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310A3A04-4FF2-4210-904B-775270EF3CFE}" xr6:coauthVersionLast="47" xr6:coauthVersionMax="47" xr10:uidLastSave="{00000000-0000-0000-0000-000000000000}"/>
  <bookViews>
    <workbookView xWindow="51480" yWindow="-120" windowWidth="57840" windowHeight="31920" activeTab="5" xr2:uid="{00000000-000D-0000-FFFF-FFFF00000000}"/>
  </bookViews>
  <sheets>
    <sheet name="テーブル一覧" sheetId="1" r:id="rId1"/>
    <sheet name="テーブル定義_一覧" sheetId="2" r:id="rId2"/>
    <sheet name="enum定義" sheetId="11" r:id="rId3"/>
    <sheet name="|→マスターデータ" sheetId="4" r:id="rId4"/>
    <sheet name="各テーブル(システム管理(静的))" sheetId="7" r:id="rId5"/>
    <sheet name="各テーブル(コンテンツ(動的))" sheetId="9" r:id="rId6"/>
    <sheet name="監査列" sheetId="8" r:id="rId7"/>
    <sheet name="|→付録" sheetId="10" r:id="rId8"/>
    <sheet name="型とバイト数" sheetId="3" r:id="rId9"/>
  </sheets>
  <definedNames>
    <definedName name="_xlnm._FilterDatabase" localSheetId="0" hidden="1">テーブル一覧!$B$1:$I$29</definedName>
    <definedName name="_xlnm._FilterDatabase" localSheetId="1" hidden="1">テーブル定義_一覧!$A$1:$U$278</definedName>
    <definedName name="_xlnm._FilterDatabase" localSheetId="8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6" i="7" l="1"/>
  <c r="B58" i="7"/>
  <c r="B32" i="7"/>
  <c r="B33" i="7"/>
  <c r="B34" i="7"/>
  <c r="B35" i="7"/>
  <c r="B23" i="7"/>
  <c r="B24" i="7"/>
  <c r="B25" i="7"/>
  <c r="O1" i="7"/>
  <c r="I38" i="2"/>
  <c r="M37" i="2"/>
  <c r="I37" i="2"/>
  <c r="C37" i="2"/>
  <c r="A6" i="11"/>
  <c r="A7" i="11"/>
  <c r="A8" i="11"/>
  <c r="A5" i="11"/>
  <c r="A10" i="11"/>
  <c r="A4" i="11"/>
  <c r="A2" i="11"/>
  <c r="B12" i="8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3" i="7"/>
  <c r="B14" i="7"/>
  <c r="B15" i="7"/>
  <c r="B16" i="7"/>
  <c r="B17" i="7"/>
  <c r="B18" i="7"/>
  <c r="B19" i="7"/>
  <c r="B20" i="7"/>
  <c r="B21" i="7"/>
  <c r="B22" i="7"/>
  <c r="B26" i="7"/>
  <c r="B27" i="7"/>
  <c r="B28" i="7"/>
  <c r="B29" i="7"/>
  <c r="B30" i="7"/>
  <c r="B31" i="7"/>
  <c r="B36" i="7"/>
  <c r="B37" i="7"/>
  <c r="B38" i="7"/>
  <c r="B39" i="7"/>
  <c r="B40" i="7"/>
  <c r="B41" i="7"/>
  <c r="B42" i="7"/>
  <c r="B43" i="7"/>
  <c r="B44" i="7"/>
  <c r="B45" i="7"/>
  <c r="B47" i="7"/>
  <c r="B48" i="7"/>
  <c r="B49" i="7"/>
  <c r="B50" i="7"/>
  <c r="B51" i="7"/>
  <c r="B52" i="7"/>
  <c r="B53" i="7"/>
  <c r="B54" i="7"/>
  <c r="B55" i="7"/>
  <c r="B56" i="7"/>
  <c r="B57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12" i="7"/>
  <c r="A9" i="11"/>
  <c r="A11" i="11"/>
  <c r="A3" i="11"/>
  <c r="AR1" i="7"/>
  <c r="AI1" i="7"/>
  <c r="AG1" i="7"/>
  <c r="AH2" i="7" s="1"/>
  <c r="AE1" i="7"/>
  <c r="AF2" i="7" s="1"/>
  <c r="AC1" i="7"/>
  <c r="AD2" i="7" s="1"/>
  <c r="X1" i="7"/>
  <c r="Y1" i="7" s="1"/>
  <c r="Z1" i="7" s="1"/>
  <c r="AA1" i="7" s="1"/>
  <c r="AB2" i="7" s="1"/>
  <c r="U1" i="7"/>
  <c r="V1" i="7" s="1"/>
  <c r="W2" i="7" s="1"/>
  <c r="R1" i="7"/>
  <c r="S1" i="7" s="1"/>
  <c r="T2" i="7" s="1"/>
  <c r="K1" i="7"/>
  <c r="L1" i="7" s="1"/>
  <c r="M1" i="7" s="1"/>
  <c r="N2" i="7" s="1"/>
  <c r="I1" i="7"/>
  <c r="J2" i="7" s="1"/>
  <c r="D1" i="7"/>
  <c r="E1" i="7" s="1"/>
  <c r="F1" i="7" s="1"/>
  <c r="G1" i="7" s="1"/>
  <c r="H2" i="7" s="1"/>
  <c r="AI1" i="9"/>
  <c r="AJ1" i="9" s="1"/>
  <c r="D1" i="9"/>
  <c r="E1" i="9" s="1"/>
  <c r="F1" i="9" s="1"/>
  <c r="G1" i="9" s="1"/>
  <c r="H1" i="9" s="1"/>
  <c r="J1" i="9" s="1"/>
  <c r="K1" i="9" s="1"/>
  <c r="L1" i="9" s="1"/>
  <c r="N1" i="9" s="1"/>
  <c r="O1" i="9" s="1"/>
  <c r="P1" i="9" s="1"/>
  <c r="Q1" i="9" s="1"/>
  <c r="R1" i="9" s="1"/>
  <c r="S1" i="9" s="1"/>
  <c r="T1" i="9" s="1"/>
  <c r="U1" i="9" s="1"/>
  <c r="W1" i="9" s="1"/>
  <c r="Y1" i="9" s="1"/>
  <c r="Z1" i="9" s="1"/>
  <c r="AA1" i="9" s="1"/>
  <c r="AB1" i="9" s="1"/>
  <c r="AD1" i="9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8" i="2"/>
  <c r="M39" i="2"/>
  <c r="M40" i="2"/>
  <c r="M41" i="2"/>
  <c r="M42" i="2"/>
  <c r="M43" i="2"/>
  <c r="M44" i="2"/>
  <c r="M47" i="2"/>
  <c r="M48" i="2"/>
  <c r="M49" i="2"/>
  <c r="M50" i="2"/>
  <c r="M51" i="2"/>
  <c r="M52" i="2"/>
  <c r="M53" i="2"/>
  <c r="M54" i="2"/>
  <c r="M57" i="2"/>
  <c r="M58" i="2"/>
  <c r="M59" i="2"/>
  <c r="M60" i="2"/>
  <c r="M61" i="2"/>
  <c r="M62" i="2"/>
  <c r="M63" i="2"/>
  <c r="M64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7" i="2"/>
  <c r="M108" i="2"/>
  <c r="M109" i="2"/>
  <c r="M110" i="2"/>
  <c r="M111" i="2"/>
  <c r="M112" i="2"/>
  <c r="M113" i="2"/>
  <c r="M115" i="2"/>
  <c r="M116" i="2"/>
  <c r="M117" i="2"/>
  <c r="M118" i="2"/>
  <c r="M119" i="2"/>
  <c r="M120" i="2"/>
  <c r="M121" i="2"/>
  <c r="M122" i="2"/>
  <c r="M123" i="2"/>
  <c r="M124" i="2"/>
  <c r="M126" i="2"/>
  <c r="M127" i="2"/>
  <c r="M128" i="2"/>
  <c r="M129" i="2"/>
  <c r="M130" i="2"/>
  <c r="M131" i="2"/>
  <c r="M132" i="2"/>
  <c r="M133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5" i="2"/>
  <c r="M157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8" i="2"/>
  <c r="M219" i="2"/>
  <c r="M220" i="2"/>
  <c r="M221" i="2"/>
  <c r="M222" i="2"/>
  <c r="M223" i="2"/>
  <c r="M224" i="2"/>
  <c r="M225" i="2"/>
  <c r="M227" i="2"/>
  <c r="M228" i="2"/>
  <c r="M229" i="2"/>
  <c r="M230" i="2"/>
  <c r="M231" i="2"/>
  <c r="M232" i="2"/>
  <c r="M233" i="2"/>
  <c r="M236" i="2"/>
  <c r="M237" i="2"/>
  <c r="M238" i="2"/>
  <c r="M239" i="2"/>
  <c r="M240" i="2"/>
  <c r="M241" i="2"/>
  <c r="M242" i="2"/>
  <c r="M243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6" i="2"/>
  <c r="M267" i="2"/>
  <c r="M268" i="2"/>
  <c r="M269" i="2"/>
  <c r="M270" i="2"/>
  <c r="M271" i="2"/>
  <c r="M273" i="2"/>
  <c r="M274" i="2"/>
  <c r="M275" i="2"/>
  <c r="M276" i="2"/>
  <c r="M277" i="2"/>
  <c r="M278" i="2"/>
  <c r="M2" i="2"/>
  <c r="C2" i="9"/>
  <c r="G271" i="2"/>
  <c r="F271" i="2"/>
  <c r="B271" i="2" s="1"/>
  <c r="G263" i="2"/>
  <c r="F263" i="2"/>
  <c r="B263" i="2" s="1"/>
  <c r="G242" i="2"/>
  <c r="F242" i="2"/>
  <c r="B242" i="2" s="1"/>
  <c r="G233" i="2"/>
  <c r="F233" i="2"/>
  <c r="B233" i="2" s="1"/>
  <c r="G225" i="2"/>
  <c r="F225" i="2"/>
  <c r="B225" i="2" s="1"/>
  <c r="G215" i="2"/>
  <c r="F215" i="2"/>
  <c r="B215" i="2" s="1"/>
  <c r="G208" i="2"/>
  <c r="F208" i="2"/>
  <c r="B208" i="2" s="1"/>
  <c r="G194" i="2"/>
  <c r="F194" i="2"/>
  <c r="B194" i="2" s="1"/>
  <c r="G179" i="2"/>
  <c r="F179" i="2"/>
  <c r="B179" i="2" s="1"/>
  <c r="G172" i="2"/>
  <c r="F172" i="2"/>
  <c r="B172" i="2" s="1"/>
  <c r="G165" i="2"/>
  <c r="F165" i="2"/>
  <c r="B165" i="2" s="1"/>
  <c r="G151" i="2"/>
  <c r="F151" i="2"/>
  <c r="B151" i="2" s="1"/>
  <c r="G144" i="2"/>
  <c r="F144" i="2"/>
  <c r="B144" i="2" s="1"/>
  <c r="G133" i="2"/>
  <c r="F133" i="2"/>
  <c r="B133" i="2" s="1"/>
  <c r="G123" i="2"/>
  <c r="F123" i="2"/>
  <c r="B123" i="2" s="1"/>
  <c r="G113" i="2"/>
  <c r="F113" i="2"/>
  <c r="B113" i="2" s="1"/>
  <c r="G104" i="2"/>
  <c r="F104" i="2"/>
  <c r="B104" i="2" s="1"/>
  <c r="G96" i="2"/>
  <c r="F96" i="2"/>
  <c r="B96" i="2" s="1"/>
  <c r="G88" i="2"/>
  <c r="F88" i="2"/>
  <c r="B88" i="2" s="1"/>
  <c r="G77" i="2"/>
  <c r="F77" i="2"/>
  <c r="B77" i="2" s="1"/>
  <c r="G64" i="2"/>
  <c r="F64" i="2"/>
  <c r="B64" i="2" s="1"/>
  <c r="G54" i="2"/>
  <c r="F54" i="2"/>
  <c r="B54" i="2" s="1"/>
  <c r="G44" i="2"/>
  <c r="F44" i="2"/>
  <c r="B44" i="2" s="1"/>
  <c r="G36" i="2"/>
  <c r="F36" i="2"/>
  <c r="B36" i="2" s="1"/>
  <c r="F29" i="2"/>
  <c r="B29" i="2" s="1"/>
  <c r="G29" i="2"/>
  <c r="G22" i="2"/>
  <c r="G13" i="2"/>
  <c r="G2" i="2"/>
  <c r="F22" i="2"/>
  <c r="B22" i="2" s="1"/>
  <c r="F13" i="2"/>
  <c r="B13" i="2" s="1"/>
  <c r="F2" i="2"/>
  <c r="C2" i="8"/>
  <c r="D2" i="8"/>
  <c r="E2" i="8" s="1"/>
  <c r="F2" i="8" s="1"/>
  <c r="G2" i="8" s="1"/>
  <c r="C2" i="7"/>
  <c r="C116" i="2"/>
  <c r="E19" i="3"/>
  <c r="C29" i="1"/>
  <c r="C270" i="2"/>
  <c r="C269" i="2"/>
  <c r="C268" i="2"/>
  <c r="C267" i="2"/>
  <c r="C266" i="2"/>
  <c r="C265" i="2"/>
  <c r="C264" i="2"/>
  <c r="C263" i="2"/>
  <c r="I2" i="2"/>
  <c r="C271" i="2"/>
  <c r="C272" i="2"/>
  <c r="C273" i="2"/>
  <c r="C278" i="2"/>
  <c r="C277" i="2"/>
  <c r="C276" i="2"/>
  <c r="C275" i="2"/>
  <c r="C274" i="2"/>
  <c r="B2" i="2"/>
  <c r="M272" i="2" s="1"/>
  <c r="C28" i="1"/>
  <c r="C244" i="2"/>
  <c r="C27" i="1"/>
  <c r="C24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2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" i="1"/>
  <c r="C25" i="1"/>
  <c r="C26" i="1"/>
  <c r="E18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M55" i="2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105" i="2" a="1"/>
  <c r="D114" i="2" a="1"/>
  <c r="D264" i="2" a="1"/>
  <c r="D166" i="2" a="1"/>
  <c r="E114" i="2" a="1"/>
  <c r="E145" i="2" a="1"/>
  <c r="D173" i="2" a="1"/>
  <c r="E264" i="2" a="1"/>
  <c r="E78" i="2" a="1"/>
  <c r="D97" i="2" a="1"/>
  <c r="E166" i="2" a="1"/>
  <c r="E45" i="2" a="1"/>
  <c r="E272" i="2" a="1"/>
  <c r="E243" i="2" a="1"/>
  <c r="E152" i="2" a="1"/>
  <c r="E124" i="2" a="1"/>
  <c r="E97" i="2" a="1"/>
  <c r="E3" i="2" a="1"/>
  <c r="D105" i="2" a="1"/>
  <c r="E30" i="2" a="1"/>
  <c r="D209" i="2" a="1"/>
  <c r="E14" i="2" a="1"/>
  <c r="D78" i="2" a="1"/>
  <c r="E234" i="2" a="1"/>
  <c r="E134" i="2" a="1"/>
  <c r="D23" i="2" a="1"/>
  <c r="E89" i="2" a="1"/>
  <c r="D145" i="2" a="1"/>
  <c r="E23" i="2" a="1"/>
  <c r="D234" i="2" a="1"/>
  <c r="D124" i="2" a="1"/>
  <c r="E55" i="2" a="1"/>
  <c r="D45" i="2" a="1"/>
  <c r="D14" i="2" a="1"/>
  <c r="D30" i="2" a="1"/>
  <c r="D55" i="2" a="1"/>
  <c r="D272" i="2" a="1"/>
  <c r="E216" i="2" a="1"/>
  <c r="D3" i="2" a="1"/>
  <c r="D134" i="2" a="1"/>
  <c r="E37" i="2" a="1"/>
  <c r="D152" i="2" a="1"/>
  <c r="E173" i="2" a="1"/>
  <c r="D243" i="2" a="1"/>
  <c r="D65" i="2" a="1"/>
  <c r="D89" i="2" a="1"/>
  <c r="E65" i="2" a="1"/>
  <c r="E209" i="2" a="1"/>
  <c r="D37" i="2" a="1"/>
  <c r="O2" i="7" l="1"/>
  <c r="P1" i="7"/>
  <c r="Q2" i="7" s="1"/>
  <c r="R2" i="7" s="1"/>
  <c r="S2" i="7" s="1"/>
  <c r="D37" i="2"/>
  <c r="E37" i="2"/>
  <c r="M235" i="2"/>
  <c r="M264" i="2"/>
  <c r="M234" i="2"/>
  <c r="M226" i="2"/>
  <c r="M45" i="2"/>
  <c r="M135" i="2"/>
  <c r="M66" i="2"/>
  <c r="K2" i="7"/>
  <c r="L2" i="7" s="1"/>
  <c r="M2" i="7" s="1"/>
  <c r="X2" i="7"/>
  <c r="Y2" i="7" s="1"/>
  <c r="Z2" i="7" s="1"/>
  <c r="AA2" i="7" s="1"/>
  <c r="U2" i="7"/>
  <c r="CO1" i="9"/>
  <c r="D2" i="9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AE2" i="7"/>
  <c r="V2" i="7"/>
  <c r="I2" i="7"/>
  <c r="AG2" i="7"/>
  <c r="D2" i="7"/>
  <c r="E2" i="7" s="1"/>
  <c r="F2" i="7" s="1"/>
  <c r="G2" i="7" s="1"/>
  <c r="AI2" i="7"/>
  <c r="AJ1" i="7"/>
  <c r="AC2" i="7"/>
  <c r="AW1" i="9"/>
  <c r="AX1" i="9" s="1"/>
  <c r="AQ1" i="9"/>
  <c r="AK1" i="9"/>
  <c r="AE1" i="9"/>
  <c r="AF1" i="9" s="1"/>
  <c r="D264" i="2"/>
  <c r="E264" i="2"/>
  <c r="D272" i="2"/>
  <c r="B272" i="2" s="1"/>
  <c r="E272" i="2"/>
  <c r="D243" i="2"/>
  <c r="B243" i="2" s="1"/>
  <c r="E243" i="2"/>
  <c r="D234" i="2"/>
  <c r="B234" i="2" s="1"/>
  <c r="E234" i="2"/>
  <c r="E216" i="2"/>
  <c r="B216" i="2"/>
  <c r="D209" i="2"/>
  <c r="B209" i="2" s="1"/>
  <c r="E209" i="2"/>
  <c r="D173" i="2"/>
  <c r="B173" i="2" s="1"/>
  <c r="E173" i="2"/>
  <c r="D166" i="2"/>
  <c r="B166" i="2" s="1"/>
  <c r="E166" i="2"/>
  <c r="D152" i="2"/>
  <c r="B152" i="2" s="1"/>
  <c r="E152" i="2"/>
  <c r="E145" i="2"/>
  <c r="D145" i="2"/>
  <c r="B145" i="2" s="1"/>
  <c r="D134" i="2"/>
  <c r="B134" i="2" s="1"/>
  <c r="E134" i="2"/>
  <c r="D124" i="2"/>
  <c r="B124" i="2" s="1"/>
  <c r="E124" i="2"/>
  <c r="E114" i="2"/>
  <c r="D114" i="2"/>
  <c r="B114" i="2" s="1"/>
  <c r="D105" i="2"/>
  <c r="B105" i="2" s="1"/>
  <c r="E105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D30" i="2"/>
  <c r="B30" i="2" s="1"/>
  <c r="E30" i="2"/>
  <c r="E23" i="2"/>
  <c r="D23" i="2"/>
  <c r="B23" i="2" s="1"/>
  <c r="D14" i="2"/>
  <c r="B14" i="2" s="1"/>
  <c r="E14" i="2"/>
  <c r="E3" i="2"/>
  <c r="D3" i="2"/>
  <c r="E210" i="2" a="1"/>
  <c r="E90" i="2" a="1"/>
  <c r="D90" i="2" a="1"/>
  <c r="D56" i="2" a="1"/>
  <c r="E98" i="2" a="1"/>
  <c r="E180" i="2" a="1"/>
  <c r="E273" i="2" a="1"/>
  <c r="D235" i="2" a="1"/>
  <c r="D38" i="2" a="1"/>
  <c r="D226" i="2" a="1"/>
  <c r="D15" i="2" a="1"/>
  <c r="D79" i="2" a="1"/>
  <c r="D46" i="2" a="1"/>
  <c r="E79" i="2" a="1"/>
  <c r="E217" i="2" a="1"/>
  <c r="D217" i="2" a="1"/>
  <c r="D135" i="2" a="1"/>
  <c r="E4" i="2" a="1"/>
  <c r="E38" i="2" a="1"/>
  <c r="D153" i="2" a="1"/>
  <c r="E235" i="2" a="1"/>
  <c r="E135" i="2" a="1"/>
  <c r="E265" i="2" a="1"/>
  <c r="D115" i="2" a="1"/>
  <c r="D210" i="2" a="1"/>
  <c r="D265" i="2" a="1"/>
  <c r="D195" i="2" a="1"/>
  <c r="E66" i="2" a="1"/>
  <c r="D4" i="2" a="1"/>
  <c r="D98" i="2" a="1"/>
  <c r="E195" i="2" a="1"/>
  <c r="E15" i="2" a="1"/>
  <c r="E56" i="2" a="1"/>
  <c r="D244" i="2" a="1"/>
  <c r="D24" i="2" a="1"/>
  <c r="E226" i="2" a="1"/>
  <c r="D273" i="2" a="1"/>
  <c r="D180" i="2" a="1"/>
  <c r="E115" i="2" a="1"/>
  <c r="E153" i="2" a="1"/>
  <c r="E24" i="2" a="1"/>
  <c r="E244" i="2" a="1"/>
  <c r="E46" i="2" a="1"/>
  <c r="D66" i="2" a="1"/>
  <c r="P2" i="7" l="1"/>
  <c r="E38" i="2"/>
  <c r="D38" i="2"/>
  <c r="B38" i="2" s="1"/>
  <c r="B37" i="2"/>
  <c r="CP1" i="9"/>
  <c r="AY1" i="9"/>
  <c r="AK1" i="7"/>
  <c r="AG1" i="9"/>
  <c r="AJ2" i="7"/>
  <c r="AR1" i="9"/>
  <c r="AL1" i="9"/>
  <c r="Z2" i="9"/>
  <c r="AA2" i="9" s="1"/>
  <c r="AB2" i="9" s="1"/>
  <c r="AC2" i="9" s="1"/>
  <c r="AD2" i="9" s="1"/>
  <c r="AE2" i="9" s="1"/>
  <c r="AF2" i="9" s="1"/>
  <c r="B3" i="2"/>
  <c r="E265" i="2"/>
  <c r="D265" i="2"/>
  <c r="B264" i="2"/>
  <c r="E273" i="2"/>
  <c r="D273" i="2"/>
  <c r="B273" i="2" s="1"/>
  <c r="D244" i="2"/>
  <c r="B244" i="2" s="1"/>
  <c r="E244" i="2"/>
  <c r="E235" i="2"/>
  <c r="D235" i="2"/>
  <c r="B235" i="2" s="1"/>
  <c r="E226" i="2"/>
  <c r="D226" i="2"/>
  <c r="B226" i="2" s="1"/>
  <c r="E217" i="2"/>
  <c r="D217" i="2"/>
  <c r="B217" i="2" s="1"/>
  <c r="D210" i="2"/>
  <c r="B210" i="2" s="1"/>
  <c r="E210" i="2"/>
  <c r="E195" i="2"/>
  <c r="D195" i="2"/>
  <c r="B195" i="2" s="1"/>
  <c r="D180" i="2"/>
  <c r="B180" i="2" s="1"/>
  <c r="E180" i="2"/>
  <c r="D153" i="2"/>
  <c r="B153" i="2" s="1"/>
  <c r="E153" i="2"/>
  <c r="D135" i="2"/>
  <c r="B135" i="2" s="1"/>
  <c r="E135" i="2"/>
  <c r="E115" i="2"/>
  <c r="D11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24" i="2"/>
  <c r="D24" i="2"/>
  <c r="B24" i="2" s="1"/>
  <c r="D15" i="2"/>
  <c r="B15" i="2" s="1"/>
  <c r="E15" i="2"/>
  <c r="E4" i="2"/>
  <c r="D4" i="2"/>
  <c r="D266" i="2" a="1"/>
  <c r="D80" i="2" a="1"/>
  <c r="D116" i="2" a="1"/>
  <c r="E174" i="2" a="1"/>
  <c r="D174" i="2" a="1"/>
  <c r="D218" i="2" a="1"/>
  <c r="D106" i="2" a="1"/>
  <c r="E196" i="2" a="1"/>
  <c r="D5" i="2" a="1"/>
  <c r="D181" i="2" a="1"/>
  <c r="E125" i="2" a="1"/>
  <c r="E227" i="2" a="1"/>
  <c r="E31" i="2" a="1"/>
  <c r="D227" i="2" a="1"/>
  <c r="E5" i="2" a="1"/>
  <c r="D39" i="2" a="1"/>
  <c r="D16" i="2" a="1"/>
  <c r="E25" i="2" a="1"/>
  <c r="E116" i="2" a="1"/>
  <c r="E39" i="2" a="1"/>
  <c r="E211" i="2" a="1"/>
  <c r="E146" i="2" a="1"/>
  <c r="E236" i="2" a="1"/>
  <c r="E274" i="2" a="1"/>
  <c r="D211" i="2" a="1"/>
  <c r="D146" i="2" a="1"/>
  <c r="D91" i="2" a="1"/>
  <c r="E57" i="2" a="1"/>
  <c r="D25" i="2" a="1"/>
  <c r="E245" i="2" a="1"/>
  <c r="D245" i="2" a="1"/>
  <c r="D236" i="2" a="1"/>
  <c r="D167" i="2" a="1"/>
  <c r="D196" i="2" a="1"/>
  <c r="E67" i="2" a="1"/>
  <c r="E167" i="2" a="1"/>
  <c r="D31" i="2" a="1"/>
  <c r="E47" i="2" a="1"/>
  <c r="D67" i="2" a="1"/>
  <c r="D136" i="2" a="1"/>
  <c r="E136" i="2" a="1"/>
  <c r="E80" i="2" a="1"/>
  <c r="E266" i="2" a="1"/>
  <c r="E218" i="2" a="1"/>
  <c r="E106" i="2" a="1"/>
  <c r="E154" i="2" a="1"/>
  <c r="D125" i="2" a="1"/>
  <c r="D154" i="2" a="1"/>
  <c r="E181" i="2" a="1"/>
  <c r="D57" i="2" a="1"/>
  <c r="E16" i="2" a="1"/>
  <c r="D99" i="2" a="1"/>
  <c r="E91" i="2" a="1"/>
  <c r="D47" i="2" a="1"/>
  <c r="E99" i="2" a="1"/>
  <c r="D274" i="2" a="1"/>
  <c r="CQ2" i="9" l="1"/>
  <c r="AZ1" i="9"/>
  <c r="AG2" i="9"/>
  <c r="AH2" i="9" s="1"/>
  <c r="AI2" i="9" s="1"/>
  <c r="AJ2" i="9" s="1"/>
  <c r="AK2" i="9" s="1"/>
  <c r="AL2" i="9" s="1"/>
  <c r="AL1" i="7"/>
  <c r="AM1" i="7" s="1"/>
  <c r="AK2" i="7"/>
  <c r="AS1" i="9"/>
  <c r="AM1" i="9"/>
  <c r="B4" i="2"/>
  <c r="D116" i="2"/>
  <c r="E116" i="2"/>
  <c r="B115" i="2"/>
  <c r="D266" i="2"/>
  <c r="E266" i="2"/>
  <c r="B265" i="2"/>
  <c r="D274" i="2"/>
  <c r="E274" i="2"/>
  <c r="E245" i="2"/>
  <c r="D245" i="2"/>
  <c r="B245" i="2" s="1"/>
  <c r="D236" i="2"/>
  <c r="B236" i="2" s="1"/>
  <c r="E236" i="2"/>
  <c r="D227" i="2"/>
  <c r="B227" i="2" s="1"/>
  <c r="E227" i="2"/>
  <c r="E218" i="2"/>
  <c r="D218" i="2"/>
  <c r="B218" i="2" s="1"/>
  <c r="D211" i="2"/>
  <c r="B211" i="2" s="1"/>
  <c r="E211" i="2"/>
  <c r="E196" i="2"/>
  <c r="D196" i="2"/>
  <c r="B196" i="2" s="1"/>
  <c r="D181" i="2"/>
  <c r="B181" i="2" s="1"/>
  <c r="E181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1" i="2"/>
  <c r="B31" i="2" s="1"/>
  <c r="E31" i="2"/>
  <c r="E25" i="2"/>
  <c r="D25" i="2"/>
  <c r="B25" i="2" s="1"/>
  <c r="D16" i="2"/>
  <c r="B16" i="2" s="1"/>
  <c r="E16" i="2"/>
  <c r="E5" i="2"/>
  <c r="D5" i="2"/>
  <c r="D237" i="2" a="1"/>
  <c r="D17" i="2" a="1"/>
  <c r="D40" i="2" a="1"/>
  <c r="E237" i="2" a="1"/>
  <c r="D100" i="2" a="1"/>
  <c r="E126" i="2" a="1"/>
  <c r="D168" i="2" a="1"/>
  <c r="D58" i="2" a="1"/>
  <c r="E267" i="2" a="1"/>
  <c r="E92" i="2" a="1"/>
  <c r="E117" i="2" a="1"/>
  <c r="E17" i="2" a="1"/>
  <c r="E6" i="2" a="1"/>
  <c r="D182" i="2" a="1"/>
  <c r="D26" i="2" a="1"/>
  <c r="D48" i="2" a="1"/>
  <c r="E212" i="2" a="1"/>
  <c r="E228" i="2" a="1"/>
  <c r="D137" i="2" a="1"/>
  <c r="D275" i="2" a="1"/>
  <c r="D81" i="2" a="1"/>
  <c r="D175" i="2" a="1"/>
  <c r="E155" i="2" a="1"/>
  <c r="D117" i="2" a="1"/>
  <c r="D6" i="2" a="1"/>
  <c r="E168" i="2" a="1"/>
  <c r="D246" i="2" a="1"/>
  <c r="E275" i="2" a="1"/>
  <c r="E246" i="2" a="1"/>
  <c r="E175" i="2" a="1"/>
  <c r="E197" i="2" a="1"/>
  <c r="D147" i="2" a="1"/>
  <c r="D197" i="2" a="1"/>
  <c r="D32" i="2" a="1"/>
  <c r="E182" i="2" a="1"/>
  <c r="D219" i="2" a="1"/>
  <c r="E40" i="2" a="1"/>
  <c r="E137" i="2" a="1"/>
  <c r="D212" i="2" a="1"/>
  <c r="D155" i="2" a="1"/>
  <c r="D68" i="2" a="1"/>
  <c r="D107" i="2" a="1"/>
  <c r="D126" i="2" a="1"/>
  <c r="E81" i="2" a="1"/>
  <c r="E68" i="2" a="1"/>
  <c r="D228" i="2" a="1"/>
  <c r="E26" i="2" a="1"/>
  <c r="E107" i="2" a="1"/>
  <c r="D267" i="2" a="1"/>
  <c r="E100" i="2" a="1"/>
  <c r="E48" i="2" a="1"/>
  <c r="E32" i="2" a="1"/>
  <c r="E219" i="2" a="1"/>
  <c r="E58" i="2" a="1"/>
  <c r="E147" i="2" a="1"/>
  <c r="D92" i="2" a="1"/>
  <c r="AL2" i="7" l="1"/>
  <c r="AM2" i="7" s="1"/>
  <c r="CR1" i="9"/>
  <c r="BA1" i="9"/>
  <c r="AN1" i="7"/>
  <c r="AT1" i="9"/>
  <c r="AU1" i="9" s="1"/>
  <c r="AN1" i="9"/>
  <c r="AM2" i="9"/>
  <c r="B5" i="2"/>
  <c r="E117" i="2"/>
  <c r="D117" i="2"/>
  <c r="B116" i="2"/>
  <c r="E267" i="2"/>
  <c r="D267" i="2"/>
  <c r="B266" i="2"/>
  <c r="E275" i="2"/>
  <c r="D275" i="2"/>
  <c r="B274" i="2"/>
  <c r="D246" i="2"/>
  <c r="B246" i="2" s="1"/>
  <c r="E246" i="2"/>
  <c r="E237" i="2"/>
  <c r="D237" i="2"/>
  <c r="B237" i="2" s="1"/>
  <c r="E228" i="2"/>
  <c r="D228" i="2"/>
  <c r="B228" i="2" s="1"/>
  <c r="E219" i="2"/>
  <c r="D219" i="2"/>
  <c r="B219" i="2" s="1"/>
  <c r="D212" i="2"/>
  <c r="B212" i="2" s="1"/>
  <c r="E212" i="2"/>
  <c r="E197" i="2"/>
  <c r="D197" i="2"/>
  <c r="B197" i="2" s="1"/>
  <c r="D182" i="2"/>
  <c r="B182" i="2" s="1"/>
  <c r="E182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2" i="2"/>
  <c r="B32" i="2" s="1"/>
  <c r="E32" i="2"/>
  <c r="E26" i="2"/>
  <c r="D26" i="2"/>
  <c r="B26" i="2" s="1"/>
  <c r="D17" i="2"/>
  <c r="B17" i="2" s="1"/>
  <c r="E17" i="2"/>
  <c r="E6" i="2"/>
  <c r="D6" i="2"/>
  <c r="D59" i="2" a="1"/>
  <c r="D156" i="2" a="1"/>
  <c r="E148" i="2" a="1"/>
  <c r="D33" i="2" a="1"/>
  <c r="E220" i="2" a="1"/>
  <c r="E268" i="2" a="1"/>
  <c r="D176" i="2" a="1"/>
  <c r="E169" i="2" a="1"/>
  <c r="D220" i="2" a="1"/>
  <c r="D229" i="2" a="1"/>
  <c r="D82" i="2" a="1"/>
  <c r="E18" i="2" a="1"/>
  <c r="D238" i="2" a="1"/>
  <c r="E213" i="2" a="1"/>
  <c r="E27" i="2" a="1"/>
  <c r="D49" i="2" a="1"/>
  <c r="D276" i="2" a="1"/>
  <c r="D198" i="2" a="1"/>
  <c r="D148" i="2" a="1"/>
  <c r="E108" i="2" a="1"/>
  <c r="D27" i="2" a="1"/>
  <c r="E238" i="2" a="1"/>
  <c r="E276" i="2" a="1"/>
  <c r="D93" i="2" a="1"/>
  <c r="D213" i="2" a="1"/>
  <c r="D118" i="2" a="1"/>
  <c r="E138" i="2" a="1"/>
  <c r="D138" i="2" a="1"/>
  <c r="E118" i="2" a="1"/>
  <c r="D247" i="2" a="1"/>
  <c r="E176" i="2" a="1"/>
  <c r="D101" i="2" a="1"/>
  <c r="E127" i="2" a="1"/>
  <c r="E101" i="2" a="1"/>
  <c r="E49" i="2" a="1"/>
  <c r="E247" i="2" a="1"/>
  <c r="D108" i="2" a="1"/>
  <c r="D268" i="2" a="1"/>
  <c r="E69" i="2" a="1"/>
  <c r="E93" i="2" a="1"/>
  <c r="D183" i="2" a="1"/>
  <c r="E33" i="2" a="1"/>
  <c r="E41" i="2" a="1"/>
  <c r="D127" i="2" a="1"/>
  <c r="E59" i="2" a="1"/>
  <c r="E82" i="2" a="1"/>
  <c r="E156" i="2" a="1"/>
  <c r="E198" i="2" a="1"/>
  <c r="D41" i="2" a="1"/>
  <c r="E183" i="2" a="1"/>
  <c r="E229" i="2" a="1"/>
  <c r="D18" i="2" a="1"/>
  <c r="D69" i="2" a="1"/>
  <c r="D169" i="2" a="1"/>
  <c r="AN2" i="7" l="1"/>
  <c r="CS1" i="9"/>
  <c r="CR2" i="9"/>
  <c r="AO1" i="7"/>
  <c r="AO1" i="9"/>
  <c r="AP2" i="9" s="1"/>
  <c r="AQ2" i="9" s="1"/>
  <c r="AR2" i="9" s="1"/>
  <c r="AN2" i="9"/>
  <c r="B6" i="2"/>
  <c r="D118" i="2"/>
  <c r="E118" i="2"/>
  <c r="B117" i="2"/>
  <c r="D268" i="2"/>
  <c r="E268" i="2"/>
  <c r="B267" i="2"/>
  <c r="D276" i="2"/>
  <c r="E276" i="2"/>
  <c r="B275" i="2"/>
  <c r="E247" i="2"/>
  <c r="D247" i="2"/>
  <c r="B247" i="2" s="1"/>
  <c r="D238" i="2"/>
  <c r="B238" i="2" s="1"/>
  <c r="E238" i="2"/>
  <c r="D229" i="2"/>
  <c r="B229" i="2" s="1"/>
  <c r="E229" i="2"/>
  <c r="E220" i="2"/>
  <c r="D220" i="2"/>
  <c r="B220" i="2" s="1"/>
  <c r="D213" i="2"/>
  <c r="B213" i="2" s="1"/>
  <c r="E213" i="2"/>
  <c r="E198" i="2"/>
  <c r="D198" i="2"/>
  <c r="B198" i="2" s="1"/>
  <c r="D183" i="2"/>
  <c r="B183" i="2" s="1"/>
  <c r="E183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3" i="2"/>
  <c r="B33" i="2" s="1"/>
  <c r="E33" i="2"/>
  <c r="E27" i="2"/>
  <c r="D27" i="2"/>
  <c r="B27" i="2" s="1"/>
  <c r="D18" i="2"/>
  <c r="B18" i="2" s="1"/>
  <c r="E18" i="2"/>
  <c r="D177" i="2" a="1"/>
  <c r="E177" i="2" a="1"/>
  <c r="D277" i="2" a="1"/>
  <c r="D139" i="2" a="1"/>
  <c r="D83" i="2" a="1"/>
  <c r="E60" i="2" a="1"/>
  <c r="D94" i="2" a="1"/>
  <c r="D7" i="2" a="1"/>
  <c r="D170" i="2" a="1"/>
  <c r="E269" i="2" a="1"/>
  <c r="D28" i="2" a="1"/>
  <c r="E28" i="2" a="1"/>
  <c r="D34" i="2" a="1"/>
  <c r="D70" i="2" a="1"/>
  <c r="E109" i="2" a="1"/>
  <c r="E83" i="2" a="1"/>
  <c r="D50" i="2" a="1"/>
  <c r="E50" i="2" a="1"/>
  <c r="D221" i="2" a="1"/>
  <c r="E230" i="2" a="1"/>
  <c r="E128" i="2" a="1"/>
  <c r="E214" i="2" a="1"/>
  <c r="E70" i="2" a="1"/>
  <c r="D230" i="2" a="1"/>
  <c r="D239" i="2" a="1"/>
  <c r="E139" i="2" a="1"/>
  <c r="E19" i="2" a="1"/>
  <c r="D199" i="2" a="1"/>
  <c r="D60" i="2" a="1"/>
  <c r="D184" i="2" a="1"/>
  <c r="D102" i="2" a="1"/>
  <c r="E34" i="2" a="1"/>
  <c r="E239" i="2" a="1"/>
  <c r="E119" i="2" a="1"/>
  <c r="E102" i="2" a="1"/>
  <c r="D109" i="2" a="1"/>
  <c r="E184" i="2" a="1"/>
  <c r="D214" i="2" a="1"/>
  <c r="D42" i="2" a="1"/>
  <c r="E94" i="2" a="1"/>
  <c r="D119" i="2" a="1"/>
  <c r="D157" i="2" a="1"/>
  <c r="D19" i="2" a="1"/>
  <c r="E199" i="2" a="1"/>
  <c r="E277" i="2" a="1"/>
  <c r="D269" i="2" a="1"/>
  <c r="D149" i="2" a="1"/>
  <c r="E170" i="2" a="1"/>
  <c r="E221" i="2" a="1"/>
  <c r="E157" i="2" a="1"/>
  <c r="E42" i="2" a="1"/>
  <c r="D128" i="2" a="1"/>
  <c r="E149" i="2" a="1"/>
  <c r="E7" i="2" a="1"/>
  <c r="AO2" i="7" l="1"/>
  <c r="CS2" i="9"/>
  <c r="BC1" i="9"/>
  <c r="AS2" i="9"/>
  <c r="AT2" i="9" s="1"/>
  <c r="AU2" i="9" s="1"/>
  <c r="AV2" i="9" s="1"/>
  <c r="AW2" i="9" s="1"/>
  <c r="AX2" i="9" s="1"/>
  <c r="AY2" i="9" s="1"/>
  <c r="AZ2" i="9" s="1"/>
  <c r="BA2" i="9" s="1"/>
  <c r="BB2" i="9" s="1"/>
  <c r="AP1" i="7"/>
  <c r="AQ2" i="7" s="1"/>
  <c r="AR2" i="7" s="1"/>
  <c r="AO2" i="9"/>
  <c r="E119" i="2"/>
  <c r="D119" i="2"/>
  <c r="B118" i="2"/>
  <c r="E269" i="2"/>
  <c r="D269" i="2"/>
  <c r="B268" i="2"/>
  <c r="E277" i="2"/>
  <c r="D277" i="2"/>
  <c r="B276" i="2"/>
  <c r="E239" i="2"/>
  <c r="D239" i="2"/>
  <c r="B239" i="2" s="1"/>
  <c r="E230" i="2"/>
  <c r="D230" i="2"/>
  <c r="B230" i="2" s="1"/>
  <c r="E221" i="2"/>
  <c r="D221" i="2"/>
  <c r="B221" i="2" s="1"/>
  <c r="D214" i="2"/>
  <c r="B214" i="2" s="1"/>
  <c r="E214" i="2"/>
  <c r="E199" i="2"/>
  <c r="D199" i="2"/>
  <c r="B199" i="2" s="1"/>
  <c r="D184" i="2"/>
  <c r="B184" i="2" s="1"/>
  <c r="E184" i="2"/>
  <c r="D177" i="2"/>
  <c r="B177" i="2" s="1"/>
  <c r="E177" i="2"/>
  <c r="D170" i="2"/>
  <c r="B170" i="2" s="1"/>
  <c r="E170" i="2"/>
  <c r="D157" i="2"/>
  <c r="B157" i="2" s="1"/>
  <c r="E157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4" i="2"/>
  <c r="B34" i="2" s="1"/>
  <c r="E34" i="2"/>
  <c r="E28" i="2"/>
  <c r="D28" i="2"/>
  <c r="B28" i="2" s="1"/>
  <c r="D19" i="2"/>
  <c r="B19" i="2" s="1"/>
  <c r="E19" i="2"/>
  <c r="E7" i="2"/>
  <c r="D7" i="2"/>
  <c r="E200" i="2" a="1"/>
  <c r="D61" i="2" a="1"/>
  <c r="D84" i="2" a="1"/>
  <c r="E71" i="2" a="1"/>
  <c r="E222" i="2" a="1"/>
  <c r="E35" i="2" a="1"/>
  <c r="D278" i="2" a="1"/>
  <c r="D231" i="2" a="1"/>
  <c r="E231" i="2" a="1"/>
  <c r="E120" i="2" a="1"/>
  <c r="E20" i="2" a="1"/>
  <c r="D110" i="2" a="1"/>
  <c r="D150" i="2" a="1"/>
  <c r="E51" i="2" a="1"/>
  <c r="D270" i="2" a="1"/>
  <c r="E150" i="2" a="1"/>
  <c r="E43" i="2" a="1"/>
  <c r="E178" i="2" a="1"/>
  <c r="E110" i="2" a="1"/>
  <c r="D140" i="2" a="1"/>
  <c r="D103" i="2" a="1"/>
  <c r="E61" i="2" a="1"/>
  <c r="D185" i="2" a="1"/>
  <c r="D120" i="2" a="1"/>
  <c r="D51" i="2" a="1"/>
  <c r="D20" i="2" a="1"/>
  <c r="E103" i="2" a="1"/>
  <c r="E84" i="2" a="1"/>
  <c r="D129" i="2" a="1"/>
  <c r="E140" i="2" a="1"/>
  <c r="D222" i="2" a="1"/>
  <c r="D200" i="2" a="1"/>
  <c r="E95" i="2" a="1"/>
  <c r="E270" i="2" a="1"/>
  <c r="E129" i="2" a="1"/>
  <c r="D35" i="2" a="1"/>
  <c r="D71" i="2" a="1"/>
  <c r="D171" i="2" a="1"/>
  <c r="D240" i="2" a="1"/>
  <c r="E240" i="2" a="1"/>
  <c r="D43" i="2" a="1"/>
  <c r="E278" i="2" a="1"/>
  <c r="E185" i="2" a="1"/>
  <c r="E248" i="2" a="1"/>
  <c r="D248" i="2" a="1"/>
  <c r="D95" i="2" a="1"/>
  <c r="D178" i="2" a="1"/>
  <c r="E171" i="2" a="1"/>
  <c r="AP2" i="7" l="1"/>
  <c r="BC2" i="9"/>
  <c r="BD1" i="9"/>
  <c r="B7" i="2"/>
  <c r="D120" i="2"/>
  <c r="E120" i="2"/>
  <c r="B119" i="2"/>
  <c r="D270" i="2"/>
  <c r="B270" i="2" s="1"/>
  <c r="E270" i="2"/>
  <c r="B269" i="2"/>
  <c r="D278" i="2"/>
  <c r="E278" i="2"/>
  <c r="B277" i="2"/>
  <c r="E248" i="2"/>
  <c r="D248" i="2"/>
  <c r="B248" i="2" s="1"/>
  <c r="D240" i="2"/>
  <c r="B240" i="2" s="1"/>
  <c r="E240" i="2"/>
  <c r="D231" i="2"/>
  <c r="B231" i="2" s="1"/>
  <c r="E231" i="2"/>
  <c r="E222" i="2"/>
  <c r="D222" i="2"/>
  <c r="B222" i="2" s="1"/>
  <c r="E200" i="2"/>
  <c r="D200" i="2"/>
  <c r="B200" i="2" s="1"/>
  <c r="D185" i="2"/>
  <c r="B185" i="2" s="1"/>
  <c r="E185" i="2"/>
  <c r="D178" i="2"/>
  <c r="B178" i="2" s="1"/>
  <c r="E178" i="2"/>
  <c r="D171" i="2"/>
  <c r="B171" i="2" s="1"/>
  <c r="E171" i="2"/>
  <c r="E150" i="2"/>
  <c r="D150" i="2"/>
  <c r="B150" i="2" s="1"/>
  <c r="D140" i="2"/>
  <c r="B140" i="2" s="1"/>
  <c r="E140" i="2"/>
  <c r="D129" i="2"/>
  <c r="B129" i="2" s="1"/>
  <c r="E129" i="2"/>
  <c r="D110" i="2"/>
  <c r="B110" i="2" s="1"/>
  <c r="E110" i="2"/>
  <c r="E103" i="2"/>
  <c r="D103" i="2"/>
  <c r="B103" i="2" s="1"/>
  <c r="D95" i="2"/>
  <c r="B95" i="2" s="1"/>
  <c r="E95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E43" i="2"/>
  <c r="D43" i="2"/>
  <c r="B43" i="2" s="1"/>
  <c r="D35" i="2"/>
  <c r="B35" i="2" s="1"/>
  <c r="E35" i="2"/>
  <c r="D20" i="2"/>
  <c r="B20" i="2" s="1"/>
  <c r="E20" i="2"/>
  <c r="E241" i="2" a="1"/>
  <c r="E223" i="2" a="1"/>
  <c r="D130" i="2" a="1"/>
  <c r="E121" i="2" a="1"/>
  <c r="E52" i="2" a="1"/>
  <c r="D85" i="2" a="1"/>
  <c r="D121" i="2" a="1"/>
  <c r="D201" i="2" a="1"/>
  <c r="D72" i="2" a="1"/>
  <c r="D241" i="2" a="1"/>
  <c r="E111" i="2" a="1"/>
  <c r="D223" i="2" a="1"/>
  <c r="D186" i="2" a="1"/>
  <c r="D141" i="2" a="1"/>
  <c r="E8" i="2" a="1"/>
  <c r="E62" i="2" a="1"/>
  <c r="D249" i="2" a="1"/>
  <c r="D8" i="2" a="1"/>
  <c r="E130" i="2" a="1"/>
  <c r="E85" i="2" a="1"/>
  <c r="D232" i="2" a="1"/>
  <c r="D52" i="2" a="1"/>
  <c r="E249" i="2" a="1"/>
  <c r="E141" i="2" a="1"/>
  <c r="E201" i="2" a="1"/>
  <c r="D62" i="2" a="1"/>
  <c r="E186" i="2" a="1"/>
  <c r="D21" i="2" a="1"/>
  <c r="D111" i="2" a="1"/>
  <c r="E21" i="2" a="1"/>
  <c r="E72" i="2" a="1"/>
  <c r="E232" i="2" a="1"/>
  <c r="BE1" i="9" l="1"/>
  <c r="BD2" i="9"/>
  <c r="BE2" i="9" s="1"/>
  <c r="B278" i="2"/>
  <c r="E121" i="2"/>
  <c r="D121" i="2"/>
  <c r="B120" i="2"/>
  <c r="D249" i="2"/>
  <c r="B249" i="2" s="1"/>
  <c r="E249" i="2"/>
  <c r="E241" i="2"/>
  <c r="D241" i="2"/>
  <c r="B241" i="2" s="1"/>
  <c r="E232" i="2"/>
  <c r="D232" i="2"/>
  <c r="B232" i="2" s="1"/>
  <c r="E223" i="2"/>
  <c r="D223" i="2"/>
  <c r="B223" i="2" s="1"/>
  <c r="E201" i="2"/>
  <c r="D201" i="2"/>
  <c r="B201" i="2" s="1"/>
  <c r="D186" i="2"/>
  <c r="B186" i="2" s="1"/>
  <c r="E186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D21" i="2"/>
  <c r="B21" i="2" s="1"/>
  <c r="E21" i="2"/>
  <c r="E8" i="2"/>
  <c r="D8" i="2"/>
  <c r="E9" i="2" a="1"/>
  <c r="D112" i="2" a="1"/>
  <c r="E86" i="2" a="1"/>
  <c r="E63" i="2" a="1"/>
  <c r="D224" i="2" a="1"/>
  <c r="E122" i="2" a="1"/>
  <c r="E131" i="2" a="1"/>
  <c r="D142" i="2" a="1"/>
  <c r="D131" i="2" a="1"/>
  <c r="D202" i="2" a="1"/>
  <c r="E250" i="2" a="1"/>
  <c r="E53" i="2" a="1"/>
  <c r="D187" i="2" a="1"/>
  <c r="D63" i="2" a="1"/>
  <c r="D86" i="2" a="1"/>
  <c r="E142" i="2" a="1"/>
  <c r="D250" i="2" a="1"/>
  <c r="D53" i="2" a="1"/>
  <c r="E224" i="2" a="1"/>
  <c r="E73" i="2" a="1"/>
  <c r="E187" i="2" a="1"/>
  <c r="E202" i="2" a="1"/>
  <c r="E112" i="2" a="1"/>
  <c r="D9" i="2" a="1"/>
  <c r="D73" i="2" a="1"/>
  <c r="D122" i="2" a="1"/>
  <c r="BF1" i="9" l="1"/>
  <c r="BF2" i="9"/>
  <c r="B8" i="2"/>
  <c r="D122" i="2"/>
  <c r="B122" i="2" s="1"/>
  <c r="E122" i="2"/>
  <c r="B121" i="2"/>
  <c r="E250" i="2"/>
  <c r="D250" i="2"/>
  <c r="B250" i="2" s="1"/>
  <c r="E224" i="2"/>
  <c r="D224" i="2"/>
  <c r="B224" i="2" s="1"/>
  <c r="E202" i="2"/>
  <c r="D202" i="2"/>
  <c r="B202" i="2" s="1"/>
  <c r="D187" i="2"/>
  <c r="B187" i="2" s="1"/>
  <c r="E187" i="2"/>
  <c r="D142" i="2"/>
  <c r="B142" i="2" s="1"/>
  <c r="E142" i="2"/>
  <c r="D131" i="2"/>
  <c r="B131" i="2" s="1"/>
  <c r="E131" i="2"/>
  <c r="D112" i="2"/>
  <c r="B112" i="2" s="1"/>
  <c r="E112" i="2"/>
  <c r="D86" i="2"/>
  <c r="B86" i="2" s="1"/>
  <c r="E86" i="2"/>
  <c r="D73" i="2"/>
  <c r="B73" i="2" s="1"/>
  <c r="E73" i="2"/>
  <c r="E63" i="2"/>
  <c r="D63" i="2"/>
  <c r="B63" i="2" s="1"/>
  <c r="D53" i="2"/>
  <c r="B53" i="2" s="1"/>
  <c r="E53" i="2"/>
  <c r="E9" i="2"/>
  <c r="D9" i="2"/>
  <c r="E132" i="2" a="1"/>
  <c r="D203" i="2" a="1"/>
  <c r="D251" i="2" a="1"/>
  <c r="D132" i="2" a="1"/>
  <c r="E87" i="2" a="1"/>
  <c r="D10" i="2" a="1"/>
  <c r="E143" i="2" a="1"/>
  <c r="E10" i="2" a="1"/>
  <c r="E74" i="2" a="1"/>
  <c r="D74" i="2" a="1"/>
  <c r="E251" i="2" a="1"/>
  <c r="E188" i="2" a="1"/>
  <c r="E203" i="2" a="1"/>
  <c r="D87" i="2" a="1"/>
  <c r="D143" i="2" a="1"/>
  <c r="D188" i="2" a="1"/>
  <c r="BG1" i="9" l="1"/>
  <c r="BH1" i="9" s="1"/>
  <c r="B9" i="2"/>
  <c r="D251" i="2"/>
  <c r="B251" i="2" s="1"/>
  <c r="E251" i="2"/>
  <c r="E203" i="2"/>
  <c r="D203" i="2"/>
  <c r="B203" i="2" s="1"/>
  <c r="D188" i="2"/>
  <c r="B188" i="2" s="1"/>
  <c r="E188" i="2"/>
  <c r="D143" i="2"/>
  <c r="B143" i="2" s="1"/>
  <c r="E143" i="2"/>
  <c r="D132" i="2"/>
  <c r="B132" i="2" s="1"/>
  <c r="E132" i="2"/>
  <c r="D87" i="2"/>
  <c r="B87" i="2" s="1"/>
  <c r="E87" i="2"/>
  <c r="D74" i="2"/>
  <c r="B74" i="2" s="1"/>
  <c r="E74" i="2"/>
  <c r="E10" i="2"/>
  <c r="D10" i="2"/>
  <c r="E204" i="2" a="1"/>
  <c r="D158" i="2" a="1"/>
  <c r="D75" i="2" a="1"/>
  <c r="E75" i="2" a="1"/>
  <c r="D204" i="2" a="1"/>
  <c r="D189" i="2" a="1"/>
  <c r="D252" i="2" a="1"/>
  <c r="E189" i="2" a="1"/>
  <c r="E11" i="2" a="1"/>
  <c r="E252" i="2" a="1"/>
  <c r="E158" i="2" a="1"/>
  <c r="D11" i="2" a="1"/>
  <c r="BG2" i="9" l="1"/>
  <c r="BH2" i="9" s="1"/>
  <c r="BI1" i="9"/>
  <c r="BJ1" i="9" s="1"/>
  <c r="BI2" i="9"/>
  <c r="BJ2" i="9" s="1"/>
  <c r="B10" i="2"/>
  <c r="E252" i="2"/>
  <c r="D252" i="2"/>
  <c r="B252" i="2" s="1"/>
  <c r="E204" i="2"/>
  <c r="D204" i="2"/>
  <c r="B204" i="2" s="1"/>
  <c r="D189" i="2"/>
  <c r="B189" i="2" s="1"/>
  <c r="E189" i="2"/>
  <c r="D158" i="2"/>
  <c r="B158" i="2" s="1"/>
  <c r="E158" i="2"/>
  <c r="D75" i="2"/>
  <c r="B75" i="2" s="1"/>
  <c r="E75" i="2"/>
  <c r="E11" i="2"/>
  <c r="D11" i="2"/>
  <c r="E76" i="2" a="1"/>
  <c r="E159" i="2" a="1"/>
  <c r="D190" i="2" a="1"/>
  <c r="D12" i="2" a="1"/>
  <c r="E12" i="2" a="1"/>
  <c r="D159" i="2" a="1"/>
  <c r="D253" i="2" a="1"/>
  <c r="E205" i="2" a="1"/>
  <c r="D76" i="2" a="1"/>
  <c r="E190" i="2" a="1"/>
  <c r="D205" i="2" a="1"/>
  <c r="E253" i="2" a="1"/>
  <c r="BK1" i="9" l="1"/>
  <c r="BK2" i="9" s="1"/>
  <c r="B11" i="2"/>
  <c r="D253" i="2"/>
  <c r="B253" i="2" s="1"/>
  <c r="E253" i="2"/>
  <c r="E205" i="2"/>
  <c r="D205" i="2"/>
  <c r="B205" i="2" s="1"/>
  <c r="D190" i="2"/>
  <c r="B190" i="2" s="1"/>
  <c r="E190" i="2"/>
  <c r="D159" i="2"/>
  <c r="B159" i="2" s="1"/>
  <c r="E159" i="2"/>
  <c r="D76" i="2"/>
  <c r="B76" i="2" s="1"/>
  <c r="E76" i="2"/>
  <c r="E12" i="2"/>
  <c r="D12" i="2"/>
  <c r="D191" i="2" a="1"/>
  <c r="E160" i="2" a="1"/>
  <c r="D254" i="2" a="1"/>
  <c r="E206" i="2" a="1"/>
  <c r="D206" i="2" a="1"/>
  <c r="E191" i="2" a="1"/>
  <c r="E254" i="2" a="1"/>
  <c r="D160" i="2" a="1"/>
  <c r="BL2" i="9" l="1"/>
  <c r="B12" i="2"/>
  <c r="E254" i="2"/>
  <c r="D254" i="2"/>
  <c r="B254" i="2" s="1"/>
  <c r="E206" i="2"/>
  <c r="D206" i="2"/>
  <c r="B206" i="2" s="1"/>
  <c r="D191" i="2"/>
  <c r="B191" i="2" s="1"/>
  <c r="E191" i="2"/>
  <c r="D160" i="2"/>
  <c r="E160" i="2"/>
  <c r="E192" i="2" a="1"/>
  <c r="E207" i="2" a="1"/>
  <c r="E161" i="2" a="1"/>
  <c r="D192" i="2" a="1"/>
  <c r="D207" i="2" a="1"/>
  <c r="E255" i="2" a="1"/>
  <c r="D161" i="2" a="1"/>
  <c r="D255" i="2" a="1"/>
  <c r="BM1" i="9" l="1"/>
  <c r="BM2" i="9"/>
  <c r="B160" i="2"/>
  <c r="D255" i="2"/>
  <c r="B255" i="2" s="1"/>
  <c r="E255" i="2"/>
  <c r="E207" i="2"/>
  <c r="D207" i="2"/>
  <c r="B207" i="2" s="1"/>
  <c r="D192" i="2"/>
  <c r="B192" i="2" s="1"/>
  <c r="E192" i="2"/>
  <c r="D161" i="2"/>
  <c r="E161" i="2"/>
  <c r="D256" i="2" a="1"/>
  <c r="E162" i="2" a="1"/>
  <c r="E256" i="2" a="1"/>
  <c r="D162" i="2" a="1"/>
  <c r="E193" i="2" a="1"/>
  <c r="D193" i="2" a="1"/>
  <c r="BN1" i="9" l="1"/>
  <c r="BN2" i="9" s="1"/>
  <c r="B161" i="2"/>
  <c r="E256" i="2"/>
  <c r="D256" i="2"/>
  <c r="B256" i="2" s="1"/>
  <c r="D193" i="2"/>
  <c r="B193" i="2" s="1"/>
  <c r="E193" i="2"/>
  <c r="D162" i="2"/>
  <c r="E162" i="2"/>
  <c r="E163" i="2" a="1"/>
  <c r="D163" i="2" a="1"/>
  <c r="D257" i="2" a="1"/>
  <c r="E257" i="2" a="1"/>
  <c r="BO1" i="9" l="1"/>
  <c r="BO2" i="9"/>
  <c r="B162" i="2"/>
  <c r="D257" i="2"/>
  <c r="B257" i="2" s="1"/>
  <c r="E257" i="2"/>
  <c r="D163" i="2"/>
  <c r="E163" i="2"/>
  <c r="D258" i="2" a="1"/>
  <c r="D164" i="2" a="1"/>
  <c r="E258" i="2" a="1"/>
  <c r="E164" i="2" a="1"/>
  <c r="BP1" i="9" l="1"/>
  <c r="B163" i="2"/>
  <c r="E258" i="2"/>
  <c r="D258" i="2"/>
  <c r="B258" i="2" s="1"/>
  <c r="D164" i="2"/>
  <c r="E164" i="2"/>
  <c r="E259" i="2" a="1"/>
  <c r="D259" i="2" a="1"/>
  <c r="BP2" i="9" l="1"/>
  <c r="BQ2" i="9" s="1"/>
  <c r="B164" i="2"/>
  <c r="D259" i="2"/>
  <c r="E259" i="2"/>
  <c r="E260" i="2" a="1"/>
  <c r="D260" i="2" a="1"/>
  <c r="BR1" i="9" l="1"/>
  <c r="BR2" i="9" s="1"/>
  <c r="B259" i="2"/>
  <c r="E260" i="2"/>
  <c r="D260" i="2"/>
  <c r="E261" i="2" a="1"/>
  <c r="D261" i="2" a="1"/>
  <c r="BS1" i="9" l="1"/>
  <c r="B260" i="2"/>
  <c r="D261" i="2"/>
  <c r="E261" i="2"/>
  <c r="E262" i="2" a="1"/>
  <c r="D262" i="2" a="1"/>
  <c r="BS2" i="9" l="1"/>
  <c r="BT2" i="9" s="1"/>
  <c r="BU1" i="9"/>
  <c r="BV1" i="9" s="1"/>
  <c r="B261" i="2"/>
  <c r="E262" i="2"/>
  <c r="D262" i="2"/>
  <c r="BW1" i="9" l="1"/>
  <c r="BU2" i="9"/>
  <c r="BV2" i="9" s="1"/>
  <c r="AR9" i="7" a="1"/>
  <c r="AR9" i="7" s="1"/>
  <c r="AQ4" i="7" a="1"/>
  <c r="AQ4" i="7" s="1"/>
  <c r="AR8" i="7" a="1"/>
  <c r="AR8" i="7" s="1"/>
  <c r="AR3" i="7" a="1"/>
  <c r="AR3" i="7" s="1"/>
  <c r="AQ11" i="7" a="1"/>
  <c r="AQ11" i="7" s="1"/>
  <c r="AQ10" i="7" a="1"/>
  <c r="AQ10" i="7" s="1"/>
  <c r="AQ6" i="7" a="1"/>
  <c r="AQ6" i="7" s="1"/>
  <c r="AQ7" i="7" a="1"/>
  <c r="AQ7" i="7" s="1"/>
  <c r="AR7" i="7" a="1"/>
  <c r="AR7" i="7" s="1"/>
  <c r="AR5" i="7" a="1"/>
  <c r="AR5" i="7" s="1"/>
  <c r="AQ3" i="7" a="1"/>
  <c r="AQ3" i="7" s="1"/>
  <c r="AQ9" i="7" a="1"/>
  <c r="AQ9" i="7" s="1"/>
  <c r="AQ8" i="7" a="1"/>
  <c r="AQ8" i="7" s="1"/>
  <c r="AR4" i="7" a="1"/>
  <c r="AR4" i="7" s="1"/>
  <c r="AR10" i="7" a="1"/>
  <c r="AR10" i="7" s="1"/>
  <c r="AR6" i="7" a="1"/>
  <c r="AR6" i="7" s="1"/>
  <c r="AQ5" i="7" a="1"/>
  <c r="AQ5" i="7" s="1"/>
  <c r="AR11" i="7" a="1"/>
  <c r="AR11" i="7" s="1"/>
  <c r="AL11" i="7" a="1"/>
  <c r="AL11" i="7" s="1"/>
  <c r="AK8" i="7" a="1"/>
  <c r="AK8" i="7" s="1"/>
  <c r="AN7" i="7" a="1"/>
  <c r="AN7" i="7" s="1"/>
  <c r="AK9" i="7" a="1"/>
  <c r="AK9" i="7" s="1"/>
  <c r="AK7" i="7" a="1"/>
  <c r="AK7" i="7" s="1"/>
  <c r="AN6" i="7" a="1"/>
  <c r="AN6" i="7" s="1"/>
  <c r="AO3" i="7" a="1"/>
  <c r="AO3" i="7" s="1"/>
  <c r="AN3" i="7" a="1"/>
  <c r="AN3" i="7" s="1"/>
  <c r="AN11" i="7" a="1"/>
  <c r="AN11" i="7" s="1"/>
  <c r="AL7" i="7" a="1"/>
  <c r="AL7" i="7" s="1"/>
  <c r="AK5" i="7" a="1"/>
  <c r="AK5" i="7" s="1"/>
  <c r="AN9" i="7" a="1"/>
  <c r="AN9" i="7" s="1"/>
  <c r="AN8" i="7" a="1"/>
  <c r="AN8" i="7" s="1"/>
  <c r="AL5" i="7" a="1"/>
  <c r="AL5" i="7" s="1"/>
  <c r="AO7" i="7" a="1"/>
  <c r="AO7" i="7" s="1"/>
  <c r="AO6" i="7" a="1"/>
  <c r="AO6" i="7" s="1"/>
  <c r="AO9" i="7" a="1"/>
  <c r="AO9" i="7" s="1"/>
  <c r="AO11" i="7" a="1"/>
  <c r="AO11" i="7" s="1"/>
  <c r="AN4" i="7" a="1"/>
  <c r="AN4" i="7" s="1"/>
  <c r="AO4" i="7" a="1"/>
  <c r="AO4" i="7" s="1"/>
  <c r="AO10" i="7" a="1"/>
  <c r="AO10" i="7" s="1"/>
  <c r="AN10" i="7" a="1"/>
  <c r="AN10" i="7" s="1"/>
  <c r="AN5" i="7" a="1"/>
  <c r="AN5" i="7" s="1"/>
  <c r="AO5" i="7" a="1"/>
  <c r="AO5" i="7" s="1"/>
  <c r="AP8" i="7" a="1"/>
  <c r="AP8" i="7" s="1"/>
  <c r="AP10" i="7" a="1"/>
  <c r="AP10" i="7" s="1"/>
  <c r="AL4" i="7" a="1"/>
  <c r="AL4" i="7" s="1"/>
  <c r="AP11" i="7" a="1"/>
  <c r="AP11" i="7" s="1"/>
  <c r="AP7" i="7" a="1"/>
  <c r="AP7" i="7" s="1"/>
  <c r="AP3" i="7" a="1"/>
  <c r="AP3" i="7" s="1"/>
  <c r="AP6" i="7" a="1"/>
  <c r="AP6" i="7" s="1"/>
  <c r="AP5" i="7" a="1"/>
  <c r="AP5" i="7" s="1"/>
  <c r="AK4" i="7" a="1"/>
  <c r="AK4" i="7" s="1"/>
  <c r="AO8" i="7" a="1"/>
  <c r="AO8" i="7" s="1"/>
  <c r="AP9" i="7" a="1"/>
  <c r="AP9" i="7" s="1"/>
  <c r="AM3" i="7" a="1"/>
  <c r="AM3" i="7" s="1"/>
  <c r="AP4" i="7" a="1"/>
  <c r="AP4" i="7" s="1"/>
  <c r="AM11" i="7" a="1"/>
  <c r="AM11" i="7" s="1"/>
  <c r="AM5" i="7" a="1"/>
  <c r="AM5" i="7" s="1"/>
  <c r="AM4" i="7" a="1"/>
  <c r="AM4" i="7" s="1"/>
  <c r="AM6" i="7" a="1"/>
  <c r="AM6" i="7" s="1"/>
  <c r="AM8" i="7" a="1"/>
  <c r="AM8" i="7" s="1"/>
  <c r="AM7" i="7" a="1"/>
  <c r="AM7" i="7" s="1"/>
  <c r="AK6" i="7" a="1"/>
  <c r="AK6" i="7" s="1"/>
  <c r="AK3" i="7" a="1"/>
  <c r="AK3" i="7" s="1"/>
  <c r="AM9" i="7" a="1"/>
  <c r="AM9" i="7" s="1"/>
  <c r="AL9" i="7" a="1"/>
  <c r="AL9" i="7" s="1"/>
  <c r="AL10" i="7" a="1"/>
  <c r="AL10" i="7" s="1"/>
  <c r="AK11" i="7" a="1"/>
  <c r="AK11" i="7" s="1"/>
  <c r="AM10" i="7" a="1"/>
  <c r="AM10" i="7" s="1"/>
  <c r="AL8" i="7" a="1"/>
  <c r="AL8" i="7" s="1"/>
  <c r="AL3" i="7" a="1"/>
  <c r="AL3" i="7" s="1"/>
  <c r="AK10" i="7" a="1"/>
  <c r="AK10" i="7" s="1"/>
  <c r="AL6" i="7" a="1"/>
  <c r="AL6" i="7" s="1"/>
  <c r="AH6" i="7" a="1"/>
  <c r="AH6" i="7" s="1"/>
  <c r="AH9" i="7" a="1"/>
  <c r="AH9" i="7" s="1"/>
  <c r="AH11" i="7" a="1"/>
  <c r="AH11" i="7" s="1"/>
  <c r="AH7" i="7" a="1"/>
  <c r="AH7" i="7" s="1"/>
  <c r="AH8" i="7" a="1"/>
  <c r="AH8" i="7" s="1"/>
  <c r="AH3" i="7" a="1"/>
  <c r="AH3" i="7" s="1"/>
  <c r="AH10" i="7" a="1"/>
  <c r="AH10" i="7" s="1"/>
  <c r="AH4" i="7" a="1"/>
  <c r="AH4" i="7" s="1"/>
  <c r="AH5" i="7" a="1"/>
  <c r="AH5" i="7" s="1"/>
  <c r="AI9" i="7" a="1"/>
  <c r="AI9" i="7" s="1"/>
  <c r="AI8" i="7" a="1"/>
  <c r="AI8" i="7" s="1"/>
  <c r="AI11" i="7" a="1"/>
  <c r="AI11" i="7" s="1"/>
  <c r="AI3" i="7" a="1"/>
  <c r="AI3" i="7" s="1"/>
  <c r="AI5" i="7" a="1"/>
  <c r="AI5" i="7" s="1"/>
  <c r="AI4" i="7" a="1"/>
  <c r="AI4" i="7" s="1"/>
  <c r="AI6" i="7" a="1"/>
  <c r="AI6" i="7" s="1"/>
  <c r="AI7" i="7" a="1"/>
  <c r="AI7" i="7" s="1"/>
  <c r="AI10" i="7" a="1"/>
  <c r="AI10" i="7" s="1"/>
  <c r="AJ3" i="7" a="1"/>
  <c r="AJ3" i="7" s="1"/>
  <c r="AJ10" i="7" a="1"/>
  <c r="AJ10" i="7" s="1"/>
  <c r="AJ4" i="7" a="1"/>
  <c r="AJ4" i="7" s="1"/>
  <c r="AJ6" i="7" a="1"/>
  <c r="AJ6" i="7" s="1"/>
  <c r="AJ9" i="7" a="1"/>
  <c r="AJ9" i="7" s="1"/>
  <c r="AJ8" i="7" a="1"/>
  <c r="AJ8" i="7" s="1"/>
  <c r="AJ5" i="7" a="1"/>
  <c r="AJ5" i="7" s="1"/>
  <c r="AJ7" i="7" a="1"/>
  <c r="AJ7" i="7" s="1"/>
  <c r="AJ11" i="7" a="1"/>
  <c r="AJ11" i="7" s="1"/>
  <c r="AF7" i="7" a="1"/>
  <c r="AF7" i="7" s="1"/>
  <c r="AB6" i="7" a="1"/>
  <c r="AB6" i="7" s="1"/>
  <c r="I5" i="7" a="1"/>
  <c r="I5" i="7" s="1"/>
  <c r="R6" i="7" a="1"/>
  <c r="R6" i="7" s="1"/>
  <c r="AC4" i="7" a="1"/>
  <c r="AC4" i="7" s="1"/>
  <c r="P7" i="7" a="1"/>
  <c r="P7" i="7" s="1"/>
  <c r="Q3" i="7" a="1"/>
  <c r="Q3" i="7" s="1"/>
  <c r="S10" i="7" a="1"/>
  <c r="S10" i="7" s="1"/>
  <c r="AB8" i="7" a="1"/>
  <c r="AB8" i="7" s="1"/>
  <c r="V11" i="7" a="1"/>
  <c r="V11" i="7" s="1"/>
  <c r="I11" i="7" a="1"/>
  <c r="I11" i="7" s="1"/>
  <c r="V10" i="7" a="1"/>
  <c r="V10" i="7" s="1"/>
  <c r="AE7" i="7" a="1"/>
  <c r="AE7" i="7" s="1"/>
  <c r="I4" i="7" a="1"/>
  <c r="I4" i="7" s="1"/>
  <c r="T9" i="7" a="1"/>
  <c r="T9" i="7" s="1"/>
  <c r="AC10" i="7" a="1"/>
  <c r="AC10" i="7" s="1"/>
  <c r="AC7" i="7" a="1"/>
  <c r="AC7" i="7" s="1"/>
  <c r="Q10" i="7" a="1"/>
  <c r="Q10" i="7" s="1"/>
  <c r="V3" i="7" a="1"/>
  <c r="V3" i="7" s="1"/>
  <c r="AE8" i="7" a="1"/>
  <c r="AE8" i="7" s="1"/>
  <c r="N6" i="7" a="1"/>
  <c r="N6" i="7" s="1"/>
  <c r="AC6" i="7" a="1"/>
  <c r="AC6" i="7" s="1"/>
  <c r="I6" i="7" a="1"/>
  <c r="I6" i="7" s="1"/>
  <c r="AG4" i="7" a="1"/>
  <c r="AG4" i="7" s="1"/>
  <c r="Q8" i="7" a="1"/>
  <c r="Q8" i="7" s="1"/>
  <c r="N3" i="7" a="1"/>
  <c r="N3" i="7" s="1"/>
  <c r="AE10" i="7" a="1"/>
  <c r="AE10" i="7" s="1"/>
  <c r="H4" i="7" a="1"/>
  <c r="H4" i="7" s="1"/>
  <c r="T11" i="7" a="1"/>
  <c r="T11" i="7" s="1"/>
  <c r="T12" i="7" s="1"/>
  <c r="T13" i="7" s="1"/>
  <c r="T14" i="7" s="1"/>
  <c r="T15" i="7" s="1"/>
  <c r="T16" i="7" s="1"/>
  <c r="I10" i="7" a="1"/>
  <c r="I10" i="7" s="1"/>
  <c r="AD9" i="7" a="1"/>
  <c r="AD9" i="7" s="1"/>
  <c r="N11" i="7" a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AG8" i="7" a="1"/>
  <c r="AG8" i="7" s="1"/>
  <c r="AB9" i="7" a="1"/>
  <c r="AB9" i="7" s="1"/>
  <c r="S5" i="7" a="1"/>
  <c r="S5" i="7" s="1"/>
  <c r="P10" i="7" a="1"/>
  <c r="P10" i="7" s="1"/>
  <c r="AC8" i="7" a="1"/>
  <c r="AC8" i="7" s="1"/>
  <c r="N7" i="7" a="1"/>
  <c r="N7" i="7" s="1"/>
  <c r="I8" i="7" a="1"/>
  <c r="I8" i="7" s="1"/>
  <c r="AB3" i="7" a="1"/>
  <c r="AB3" i="7" s="1"/>
  <c r="U10" i="7" a="1"/>
  <c r="U10" i="7" s="1"/>
  <c r="V6" i="7" a="1"/>
  <c r="V6" i="7" s="1"/>
  <c r="AF11" i="7" a="1"/>
  <c r="AF11" i="7" s="1"/>
  <c r="AF12" i="7" s="1"/>
  <c r="AF13" i="7" s="1"/>
  <c r="AF14" i="7" s="1"/>
  <c r="AF15" i="7" s="1"/>
  <c r="AF16" i="7" s="1"/>
  <c r="AF17" i="7" s="1"/>
  <c r="AF18" i="7" s="1"/>
  <c r="AF19" i="7" s="1"/>
  <c r="AB10" i="7" a="1"/>
  <c r="AB10" i="7" s="1"/>
  <c r="P11" i="7" a="1"/>
  <c r="P11" i="7" s="1"/>
  <c r="AF3" i="7" a="1"/>
  <c r="AF3" i="7" s="1"/>
  <c r="U9" i="7" a="1"/>
  <c r="U9" i="7" s="1"/>
  <c r="S4" i="7" a="1"/>
  <c r="S4" i="7" s="1"/>
  <c r="H11" i="7" a="1"/>
  <c r="H11" i="7" s="1"/>
  <c r="H12" i="7" s="1"/>
  <c r="H13" i="7" s="1"/>
  <c r="H14" i="7" s="1"/>
  <c r="AG10" i="7" a="1"/>
  <c r="AG10" i="7" s="1"/>
  <c r="AB5" i="7" a="1"/>
  <c r="AB5" i="7" s="1"/>
  <c r="S8" i="7" a="1"/>
  <c r="S8" i="7" s="1"/>
  <c r="U7" i="7" a="1"/>
  <c r="U7" i="7" s="1"/>
  <c r="AG9" i="7" a="1"/>
  <c r="AG9" i="7" s="1"/>
  <c r="AG6" i="7" a="1"/>
  <c r="AG6" i="7" s="1"/>
  <c r="AD5" i="7" a="1"/>
  <c r="AD5" i="7" s="1"/>
  <c r="P5" i="7" a="1"/>
  <c r="P5" i="7" s="1"/>
  <c r="H10" i="7" a="1"/>
  <c r="H10" i="7" s="1"/>
  <c r="V5" i="7" a="1"/>
  <c r="V5" i="7" s="1"/>
  <c r="T3" i="7" a="1"/>
  <c r="T3" i="7" s="1"/>
  <c r="U5" i="7" a="1"/>
  <c r="U5" i="7" s="1"/>
  <c r="Q5" i="7" a="1"/>
  <c r="Q5" i="7" s="1"/>
  <c r="Q6" i="7" a="1"/>
  <c r="Q6" i="7" s="1"/>
  <c r="AF6" i="7" a="1"/>
  <c r="AF6" i="7" s="1"/>
  <c r="R8" i="7" a="1"/>
  <c r="R8" i="7" s="1"/>
  <c r="P6" i="7" a="1"/>
  <c r="P6" i="7" s="1"/>
  <c r="AD8" i="7" a="1"/>
  <c r="AD8" i="7" s="1"/>
  <c r="AF5" i="7" a="1"/>
  <c r="AF5" i="7" s="1"/>
  <c r="AC9" i="7" a="1"/>
  <c r="AC9" i="7" s="1"/>
  <c r="H5" i="7" a="1"/>
  <c r="H5" i="7" s="1"/>
  <c r="AC5" i="7" a="1"/>
  <c r="AC5" i="7" s="1"/>
  <c r="R4" i="7" a="1"/>
  <c r="R4" i="7" s="1"/>
  <c r="R5" i="7" a="1"/>
  <c r="R5" i="7" s="1"/>
  <c r="AE11" i="7" a="1"/>
  <c r="AE11" i="7" s="1"/>
  <c r="S11" i="7" a="1"/>
  <c r="S11" i="7" s="1"/>
  <c r="U8" i="7" a="1"/>
  <c r="U8" i="7" s="1"/>
  <c r="U4" i="7" a="1"/>
  <c r="U4" i="7" s="1"/>
  <c r="P8" i="7" a="1"/>
  <c r="P8" i="7" s="1"/>
  <c r="AD3" i="7" a="1"/>
  <c r="AD3" i="7" s="1"/>
  <c r="V7" i="7" a="1"/>
  <c r="V7" i="7" s="1"/>
  <c r="AB7" i="7" a="1"/>
  <c r="AB7" i="7" s="1"/>
  <c r="V9" i="7" a="1"/>
  <c r="V9" i="7" s="1"/>
  <c r="P9" i="7" a="1"/>
  <c r="P9" i="7" s="1"/>
  <c r="AE3" i="7" a="1"/>
  <c r="AE3" i="7" s="1"/>
  <c r="H6" i="7" a="1"/>
  <c r="H6" i="7" s="1"/>
  <c r="AF8" i="7" a="1"/>
  <c r="AF8" i="7" s="1"/>
  <c r="AD10" i="7" a="1"/>
  <c r="AD10" i="7" s="1"/>
  <c r="Q9" i="7" a="1"/>
  <c r="Q9" i="7" s="1"/>
  <c r="Q11" i="7" a="1"/>
  <c r="Q11" i="7" s="1"/>
  <c r="Q12" i="7" s="1"/>
  <c r="Q13" i="7" s="1"/>
  <c r="Q14" i="7" s="1"/>
  <c r="H7" i="7" a="1"/>
  <c r="H7" i="7" s="1"/>
  <c r="AD7" i="7" a="1"/>
  <c r="AD7" i="7" s="1"/>
  <c r="AD4" i="7" a="1"/>
  <c r="AD4" i="7" s="1"/>
  <c r="AE4" i="7" a="1"/>
  <c r="AE4" i="7" s="1"/>
  <c r="AF10" i="7" a="1"/>
  <c r="AF10" i="7" s="1"/>
  <c r="AD6" i="7" a="1"/>
  <c r="AD6" i="7" s="1"/>
  <c r="S6" i="7" a="1"/>
  <c r="S6" i="7" s="1"/>
  <c r="AE6" i="7" a="1"/>
  <c r="AE6" i="7" s="1"/>
  <c r="I7" i="7" a="1"/>
  <c r="I7" i="7" s="1"/>
  <c r="AD11" i="7" a="1"/>
  <c r="AD11" i="7" s="1"/>
  <c r="AD12" i="7" s="1"/>
  <c r="AD13" i="7" s="1"/>
  <c r="AD14" i="7" s="1"/>
  <c r="AD15" i="7" s="1"/>
  <c r="R7" i="7" a="1"/>
  <c r="R7" i="7" s="1"/>
  <c r="AG3" i="7" a="1"/>
  <c r="AG3" i="7" s="1"/>
  <c r="N8" i="7" a="1"/>
  <c r="N8" i="7" s="1"/>
  <c r="AC3" i="7" a="1"/>
  <c r="AC3" i="7" s="1"/>
  <c r="N5" i="7" a="1"/>
  <c r="N5" i="7" s="1"/>
  <c r="AE9" i="7" a="1"/>
  <c r="AE9" i="7" s="1"/>
  <c r="V8" i="7" a="1"/>
  <c r="V8" i="7" s="1"/>
  <c r="Q7" i="7" a="1"/>
  <c r="Q7" i="7" s="1"/>
  <c r="S3" i="7" a="1"/>
  <c r="S3" i="7" s="1"/>
  <c r="T4" i="7" a="1"/>
  <c r="T4" i="7" s="1"/>
  <c r="U6" i="7" a="1"/>
  <c r="U6" i="7" s="1"/>
  <c r="U11" i="7" a="1"/>
  <c r="U11" i="7" s="1"/>
  <c r="S7" i="7" a="1"/>
  <c r="S7" i="7" s="1"/>
  <c r="P4" i="7" a="1"/>
  <c r="P4" i="7" s="1"/>
  <c r="R9" i="7" a="1"/>
  <c r="R9" i="7" s="1"/>
  <c r="T10" i="7" a="1"/>
  <c r="T10" i="7" s="1"/>
  <c r="P3" i="7" a="1"/>
  <c r="P3" i="7" s="1"/>
  <c r="AF4" i="7" a="1"/>
  <c r="AF4" i="7" s="1"/>
  <c r="V4" i="7" a="1"/>
  <c r="V4" i="7" s="1"/>
  <c r="N9" i="7" a="1"/>
  <c r="N9" i="7" s="1"/>
  <c r="N4" i="7" a="1"/>
  <c r="N4" i="7" s="1"/>
  <c r="I9" i="7" a="1"/>
  <c r="I9" i="7" s="1"/>
  <c r="R3" i="7" a="1"/>
  <c r="R3" i="7" s="1"/>
  <c r="R10" i="7" a="1"/>
  <c r="R10" i="7" s="1"/>
  <c r="I3" i="7" a="1"/>
  <c r="I3" i="7" s="1"/>
  <c r="AC11" i="7" a="1"/>
  <c r="AC11" i="7" s="1"/>
  <c r="AG7" i="7" a="1"/>
  <c r="AG7" i="7" s="1"/>
  <c r="N10" i="7" a="1"/>
  <c r="N10" i="7" s="1"/>
  <c r="AE5" i="7" a="1"/>
  <c r="AE5" i="7" s="1"/>
  <c r="R11" i="7" a="1"/>
  <c r="R11" i="7" s="1"/>
  <c r="H9" i="7" a="1"/>
  <c r="H9" i="7" s="1"/>
  <c r="T8" i="7" a="1"/>
  <c r="T8" i="7" s="1"/>
  <c r="H8" i="7" a="1"/>
  <c r="H8" i="7" s="1"/>
  <c r="H3" i="7" a="1"/>
  <c r="H3" i="7" s="1"/>
  <c r="S9" i="7" a="1"/>
  <c r="S9" i="7" s="1"/>
  <c r="AF9" i="7" a="1"/>
  <c r="AF9" i="7" s="1"/>
  <c r="T5" i="7" a="1"/>
  <c r="T5" i="7" s="1"/>
  <c r="U3" i="7" a="1"/>
  <c r="U3" i="7" s="1"/>
  <c r="AG5" i="7" a="1"/>
  <c r="AG5" i="7" s="1"/>
  <c r="AB4" i="7" a="1"/>
  <c r="AB4" i="7" s="1"/>
  <c r="AB11" i="7" a="1"/>
  <c r="AB11" i="7" s="1"/>
  <c r="AB12" i="7" s="1"/>
  <c r="AB13" i="7" s="1"/>
  <c r="AB14" i="7" s="1"/>
  <c r="AB15" i="7" s="1"/>
  <c r="AB16" i="7" s="1"/>
  <c r="AB17" i="7" s="1"/>
  <c r="Q4" i="7" a="1"/>
  <c r="Q4" i="7" s="1"/>
  <c r="T7" i="7" a="1"/>
  <c r="T7" i="7" s="1"/>
  <c r="AG11" i="7" a="1"/>
  <c r="AG11" i="7" s="1"/>
  <c r="T6" i="7" a="1"/>
  <c r="T6" i="7" s="1"/>
  <c r="D2" i="1" a="1"/>
  <c r="F28" i="1" s="1"/>
  <c r="B262" i="2"/>
  <c r="BW2" i="9" l="1"/>
  <c r="BX2" i="9"/>
  <c r="A4" i="1"/>
  <c r="E8" i="1"/>
  <c r="E21" i="1"/>
  <c r="E19" i="1"/>
  <c r="F9" i="1"/>
  <c r="A26" i="1"/>
  <c r="F14" i="1"/>
  <c r="A12" i="1"/>
  <c r="F20" i="1"/>
  <c r="E26" i="1"/>
  <c r="A29" i="1"/>
  <c r="A13" i="1"/>
  <c r="A18" i="1"/>
  <c r="E18" i="1"/>
  <c r="E23" i="1"/>
  <c r="E13" i="1"/>
  <c r="E11" i="1"/>
  <c r="F24" i="1"/>
  <c r="F6" i="1"/>
  <c r="F12" i="1"/>
  <c r="A27" i="1"/>
  <c r="A24" i="1"/>
  <c r="A5" i="1"/>
  <c r="E10" i="1"/>
  <c r="E15" i="1"/>
  <c r="E5" i="1"/>
  <c r="E3" i="1"/>
  <c r="F16" i="1"/>
  <c r="F29" i="1"/>
  <c r="F4" i="1"/>
  <c r="A14" i="1"/>
  <c r="A17" i="1"/>
  <c r="A22" i="1"/>
  <c r="E25" i="1"/>
  <c r="E7" i="1"/>
  <c r="E28" i="1"/>
  <c r="D2" i="1"/>
  <c r="A2" i="1" s="1"/>
  <c r="F8" i="1"/>
  <c r="F21" i="1"/>
  <c r="F27" i="1"/>
  <c r="A8" i="1"/>
  <c r="A25" i="1"/>
  <c r="A15" i="1"/>
  <c r="E17" i="1"/>
  <c r="E22" i="1"/>
  <c r="E20" i="1"/>
  <c r="F26" i="1"/>
  <c r="F23" i="1"/>
  <c r="F13" i="1"/>
  <c r="F19" i="1"/>
  <c r="A7" i="1"/>
  <c r="A16" i="1"/>
  <c r="A11" i="1"/>
  <c r="A6" i="1"/>
  <c r="E9" i="1"/>
  <c r="E14" i="1"/>
  <c r="E12" i="1"/>
  <c r="F18" i="1"/>
  <c r="F15" i="1"/>
  <c r="F5" i="1"/>
  <c r="F11" i="1"/>
  <c r="A19" i="1"/>
  <c r="A9" i="1"/>
  <c r="A21" i="1"/>
  <c r="A28" i="1"/>
  <c r="E24" i="1"/>
  <c r="E6" i="1"/>
  <c r="E4" i="1"/>
  <c r="F10" i="1"/>
  <c r="F7" i="1"/>
  <c r="F25" i="1"/>
  <c r="F3" i="1"/>
  <c r="A10" i="1"/>
  <c r="A20" i="1"/>
  <c r="A23" i="1"/>
  <c r="A3" i="1"/>
  <c r="E16" i="1"/>
  <c r="E29" i="1"/>
  <c r="E27" i="1"/>
  <c r="F17" i="1"/>
  <c r="F22" i="1"/>
  <c r="M114" i="2"/>
  <c r="M81" i="2"/>
  <c r="M56" i="2"/>
  <c r="M82" i="2"/>
  <c r="M154" i="2"/>
  <c r="M5" i="2"/>
  <c r="M7" i="2"/>
  <c r="M46" i="2"/>
  <c r="M125" i="2"/>
  <c r="M106" i="2"/>
  <c r="M158" i="2"/>
  <c r="M180" i="2"/>
  <c r="M134" i="2"/>
  <c r="M65" i="2"/>
  <c r="M136" i="2"/>
  <c r="M265" i="2"/>
  <c r="M4" i="2"/>
  <c r="M67" i="2"/>
  <c r="M244" i="2"/>
  <c r="M217" i="2"/>
  <c r="M156" i="2"/>
  <c r="M216" i="2"/>
  <c r="M15" i="2"/>
  <c r="M159" i="2"/>
  <c r="O7" i="7" l="1" a="1"/>
  <c r="O7" i="7" s="1"/>
  <c r="O8" i="7" a="1"/>
  <c r="O8" i="7" s="1"/>
  <c r="O9" i="7" a="1"/>
  <c r="O9" i="7" s="1"/>
  <c r="O10" i="7" a="1"/>
  <c r="O10" i="7" s="1"/>
  <c r="O3" i="7" a="1"/>
  <c r="O3" i="7" s="1"/>
  <c r="O6" i="7" a="1"/>
  <c r="O6" i="7" s="1"/>
  <c r="O5" i="7" a="1"/>
  <c r="O5" i="7" s="1"/>
  <c r="O11" i="7" a="1"/>
  <c r="O11" i="7" s="1"/>
  <c r="O4" i="7" a="1"/>
  <c r="O4" i="7" s="1"/>
  <c r="CS10" i="9" a="1"/>
  <c r="CS10" i="9" s="1"/>
  <c r="CR5" i="9" a="1"/>
  <c r="CR5" i="9" s="1"/>
  <c r="CR7" i="9" a="1"/>
  <c r="CR7" i="9" s="1"/>
  <c r="CS7" i="9" a="1"/>
  <c r="CS7" i="9" s="1"/>
  <c r="CQ7" i="9" a="1"/>
  <c r="CQ7" i="9" s="1"/>
  <c r="CQ3" i="9" a="1"/>
  <c r="CQ3" i="9" s="1"/>
  <c r="CQ9" i="9" a="1"/>
  <c r="CQ9" i="9" s="1"/>
  <c r="CS6" i="9" a="1"/>
  <c r="CS6" i="9" s="1"/>
  <c r="CS9" i="9" a="1"/>
  <c r="CS9" i="9" s="1"/>
  <c r="CR4" i="9" a="1"/>
  <c r="CR4" i="9" s="1"/>
  <c r="CQ6" i="9" a="1"/>
  <c r="CQ6" i="9" s="1"/>
  <c r="CR11" i="9" a="1"/>
  <c r="CR11" i="9" s="1"/>
  <c r="CR8" i="9" a="1"/>
  <c r="CR8" i="9" s="1"/>
  <c r="CQ11" i="9" a="1"/>
  <c r="CQ11" i="9" s="1"/>
  <c r="CQ12" i="9" s="1"/>
  <c r="CR9" i="9" a="1"/>
  <c r="CR9" i="9" s="1"/>
  <c r="CS8" i="9" a="1"/>
  <c r="CS8" i="9" s="1"/>
  <c r="CS5" i="9" a="1"/>
  <c r="CS5" i="9" s="1"/>
  <c r="CQ4" i="9" a="1"/>
  <c r="CQ4" i="9" s="1"/>
  <c r="CS3" i="9" a="1"/>
  <c r="CS3" i="9" s="1"/>
  <c r="CS11" i="9" a="1"/>
  <c r="CS11" i="9" s="1"/>
  <c r="CQ8" i="9" a="1"/>
  <c r="CQ8" i="9" s="1"/>
  <c r="CR10" i="9" a="1"/>
  <c r="CR10" i="9" s="1"/>
  <c r="CQ10" i="9" a="1"/>
  <c r="CQ10" i="9" s="1"/>
  <c r="CS4" i="9" a="1"/>
  <c r="CS4" i="9" s="1"/>
  <c r="CQ5" i="9" a="1"/>
  <c r="CQ5" i="9" s="1"/>
  <c r="CR3" i="9" a="1"/>
  <c r="CR3" i="9" s="1"/>
  <c r="CR6" i="9" a="1"/>
  <c r="CR6" i="9" s="1"/>
  <c r="BY1" i="9"/>
  <c r="BY2" i="9" s="1"/>
  <c r="BO4" i="9" a="1"/>
  <c r="BO4" i="9" s="1"/>
  <c r="BO5" i="9" a="1"/>
  <c r="BO5" i="9" s="1"/>
  <c r="BP11" i="9" a="1"/>
  <c r="BP11" i="9" s="1"/>
  <c r="BP8" i="9" a="1"/>
  <c r="BP8" i="9" s="1"/>
  <c r="BQ8" i="9" a="1"/>
  <c r="BQ8" i="9" s="1"/>
  <c r="BP9" i="9" a="1"/>
  <c r="BP9" i="9" s="1"/>
  <c r="BT11" i="9" a="1"/>
  <c r="BT11" i="9" s="1"/>
  <c r="BT12" i="9" s="1"/>
  <c r="BT13" i="9" s="1"/>
  <c r="BT14" i="9" s="1"/>
  <c r="BT15" i="9" s="1"/>
  <c r="BS7" i="9" a="1"/>
  <c r="BS7" i="9" s="1"/>
  <c r="BS5" i="9" a="1"/>
  <c r="BS5" i="9" s="1"/>
  <c r="BM3" i="9" a="1"/>
  <c r="BM3" i="9" s="1"/>
  <c r="BT3" i="9" a="1"/>
  <c r="BT3" i="9" s="1"/>
  <c r="BU10" i="9" a="1"/>
  <c r="BU10" i="9" s="1"/>
  <c r="BX4" i="9" a="1"/>
  <c r="BX4" i="9" s="1"/>
  <c r="BX6" i="9" a="1"/>
  <c r="BX6" i="9" s="1"/>
  <c r="BM5" i="9" a="1"/>
  <c r="BM5" i="9" s="1"/>
  <c r="BN3" i="9" a="1"/>
  <c r="BN3" i="9" s="1"/>
  <c r="BP6" i="9" a="1"/>
  <c r="BP6" i="9" s="1"/>
  <c r="BS10" i="9" a="1"/>
  <c r="BS10" i="9" s="1"/>
  <c r="BR3" i="9" a="1"/>
  <c r="BR3" i="9" s="1"/>
  <c r="BT7" i="9" a="1"/>
  <c r="BT7" i="9" s="1"/>
  <c r="BS11" i="9" a="1"/>
  <c r="BS11" i="9" s="1"/>
  <c r="BS3" i="9" a="1"/>
  <c r="BS3" i="9" s="1"/>
  <c r="BU7" i="9" a="1"/>
  <c r="BU7" i="9" s="1"/>
  <c r="BN9" i="9" a="1"/>
  <c r="BN9" i="9" s="1"/>
  <c r="BV6" i="9" a="1"/>
  <c r="BV6" i="9" s="1"/>
  <c r="BW11" i="9" a="1"/>
  <c r="BW11" i="9" s="1"/>
  <c r="BX5" i="9" a="1"/>
  <c r="BX5" i="9" s="1"/>
  <c r="BX7" i="9" a="1"/>
  <c r="BX7" i="9" s="1"/>
  <c r="BN6" i="9" a="1"/>
  <c r="BN6" i="9" s="1"/>
  <c r="BN4" i="9" a="1"/>
  <c r="BN4" i="9" s="1"/>
  <c r="BP3" i="9" a="1"/>
  <c r="BP3" i="9" s="1"/>
  <c r="BR9" i="9" a="1"/>
  <c r="BR9" i="9" s="1"/>
  <c r="BM8" i="9" a="1"/>
  <c r="BM8" i="9" s="1"/>
  <c r="BQ3" i="9" a="1"/>
  <c r="BQ3" i="9" s="1"/>
  <c r="BR7" i="9" a="1"/>
  <c r="BR7" i="9" s="1"/>
  <c r="BU3" i="9" a="1"/>
  <c r="BU3" i="9" s="1"/>
  <c r="BS8" i="9" a="1"/>
  <c r="BS8" i="9" s="1"/>
  <c r="BU4" i="9" a="1"/>
  <c r="BU4" i="9" s="1"/>
  <c r="BV8" i="9" a="1"/>
  <c r="BV8" i="9" s="1"/>
  <c r="BV3" i="9" a="1"/>
  <c r="BV3" i="9" s="1"/>
  <c r="BX9" i="9" a="1"/>
  <c r="BX9" i="9" s="1"/>
  <c r="BX8" i="9" a="1"/>
  <c r="BX8" i="9" s="1"/>
  <c r="BN11" i="9" a="1"/>
  <c r="BN11" i="9" s="1"/>
  <c r="BN8" i="9" a="1"/>
  <c r="BN8" i="9" s="1"/>
  <c r="BO10" i="9" a="1"/>
  <c r="BO10" i="9" s="1"/>
  <c r="BR6" i="9" a="1"/>
  <c r="BR6" i="9" s="1"/>
  <c r="BM11" i="9" a="1"/>
  <c r="BM11" i="9" s="1"/>
  <c r="BQ7" i="9" a="1"/>
  <c r="BQ7" i="9" s="1"/>
  <c r="BR5" i="9" a="1"/>
  <c r="BR5" i="9" s="1"/>
  <c r="BT5" i="9" a="1"/>
  <c r="BT5" i="9" s="1"/>
  <c r="BU9" i="9" a="1"/>
  <c r="BU9" i="9" s="1"/>
  <c r="BT6" i="9" a="1"/>
  <c r="BT6" i="9" s="1"/>
  <c r="BV4" i="9" a="1"/>
  <c r="BV4" i="9" s="1"/>
  <c r="BX11" i="9" a="1"/>
  <c r="BX11" i="9" s="1"/>
  <c r="BX12" i="9" s="1"/>
  <c r="BW6" i="9" a="1"/>
  <c r="BW6" i="9" s="1"/>
  <c r="BO7" i="9" a="1"/>
  <c r="BO7" i="9" s="1"/>
  <c r="BO6" i="9" a="1"/>
  <c r="BO6" i="9" s="1"/>
  <c r="BO11" i="9" a="1"/>
  <c r="BO11" i="9" s="1"/>
  <c r="BP5" i="9" a="1"/>
  <c r="BP5" i="9" s="1"/>
  <c r="BR4" i="9" a="1"/>
  <c r="BR4" i="9" s="1"/>
  <c r="BQ5" i="9" a="1"/>
  <c r="BQ5" i="9" s="1"/>
  <c r="BM4" i="9" a="1"/>
  <c r="BM4" i="9" s="1"/>
  <c r="BS4" i="9" a="1"/>
  <c r="BS4" i="9" s="1"/>
  <c r="BV10" i="9" a="1"/>
  <c r="BV10" i="9" s="1"/>
  <c r="BV5" i="9" a="1"/>
  <c r="BV5" i="9" s="1"/>
  <c r="BW7" i="9" a="1"/>
  <c r="BW7" i="9" s="1"/>
  <c r="BU5" i="9" a="1"/>
  <c r="BU5" i="9" s="1"/>
  <c r="BW5" i="9" a="1"/>
  <c r="BW5" i="9" s="1"/>
  <c r="BN7" i="9" a="1"/>
  <c r="BN7" i="9" s="1"/>
  <c r="BN10" i="9" a="1"/>
  <c r="BN10" i="9" s="1"/>
  <c r="BP10" i="9" a="1"/>
  <c r="BP10" i="9" s="1"/>
  <c r="BR11" i="9" a="1"/>
  <c r="BR11" i="9" s="1"/>
  <c r="BQ4" i="9" a="1"/>
  <c r="BQ4" i="9" s="1"/>
  <c r="BT10" i="9" a="1"/>
  <c r="BT10" i="9" s="1"/>
  <c r="BM7" i="9" a="1"/>
  <c r="BM7" i="9" s="1"/>
  <c r="BT4" i="9" a="1"/>
  <c r="BT4" i="9" s="1"/>
  <c r="BT9" i="9" a="1"/>
  <c r="BT9" i="9" s="1"/>
  <c r="BM10" i="9" a="1"/>
  <c r="BM10" i="9" s="1"/>
  <c r="BU6" i="9" a="1"/>
  <c r="BU6" i="9" s="1"/>
  <c r="BU11" i="9" a="1"/>
  <c r="BU11" i="9" s="1"/>
  <c r="BX10" i="9" a="1"/>
  <c r="BX10" i="9" s="1"/>
  <c r="BO8" i="9" a="1"/>
  <c r="BO8" i="9" s="1"/>
  <c r="BP7" i="9" a="1"/>
  <c r="BP7" i="9" s="1"/>
  <c r="BO9" i="9" a="1"/>
  <c r="BO9" i="9" s="1"/>
  <c r="BQ6" i="9" a="1"/>
  <c r="BQ6" i="9" s="1"/>
  <c r="BQ11" i="9" a="1"/>
  <c r="BQ11" i="9" s="1"/>
  <c r="BQ12" i="9" s="1"/>
  <c r="BQ13" i="9" s="1"/>
  <c r="BQ14" i="9" s="1"/>
  <c r="BQ15" i="9" s="1"/>
  <c r="BQ16" i="9" s="1"/>
  <c r="BQ17" i="9" s="1"/>
  <c r="BQ18" i="9" s="1"/>
  <c r="BQ19" i="9" s="1"/>
  <c r="BQ20" i="9" s="1"/>
  <c r="BQ21" i="9" s="1"/>
  <c r="BQ22" i="9" s="1"/>
  <c r="BQ23" i="9" s="1"/>
  <c r="BS9" i="9" a="1"/>
  <c r="BS9" i="9" s="1"/>
  <c r="BT8" i="9" a="1"/>
  <c r="BT8" i="9" s="1"/>
  <c r="BN5" i="9" a="1"/>
  <c r="BN5" i="9" s="1"/>
  <c r="BV7" i="9" a="1"/>
  <c r="BV7" i="9" s="1"/>
  <c r="BU8" i="9" a="1"/>
  <c r="BU8" i="9" s="1"/>
  <c r="BW8" i="9" a="1"/>
  <c r="BW8" i="9" s="1"/>
  <c r="BV11" i="9" a="1"/>
  <c r="BV11" i="9" s="1"/>
  <c r="BW4" i="9" a="1"/>
  <c r="BW4" i="9" s="1"/>
  <c r="BX3" i="9" a="1"/>
  <c r="BX3" i="9" s="1"/>
  <c r="BO3" i="9" a="1"/>
  <c r="BO3" i="9" s="1"/>
  <c r="BP4" i="9" a="1"/>
  <c r="BP4" i="9" s="1"/>
  <c r="BR8" i="9" a="1"/>
  <c r="BR8" i="9" s="1"/>
  <c r="BQ9" i="9" a="1"/>
  <c r="BQ9" i="9" s="1"/>
  <c r="BR10" i="9" a="1"/>
  <c r="BR10" i="9" s="1"/>
  <c r="BS6" i="9" a="1"/>
  <c r="BS6" i="9" s="1"/>
  <c r="BM9" i="9" a="1"/>
  <c r="BM9" i="9" s="1"/>
  <c r="BQ10" i="9" a="1"/>
  <c r="BQ10" i="9" s="1"/>
  <c r="BM6" i="9" a="1"/>
  <c r="BM6" i="9" s="1"/>
  <c r="BV9" i="9" a="1"/>
  <c r="BV9" i="9" s="1"/>
  <c r="BW10" i="9" a="1"/>
  <c r="BW10" i="9" s="1"/>
  <c r="BW3" i="9" a="1"/>
  <c r="BW3" i="9" s="1"/>
  <c r="BW9" i="9" a="1"/>
  <c r="BW9" i="9" s="1"/>
  <c r="BF9" i="9" a="1"/>
  <c r="BF9" i="9" s="1"/>
  <c r="BE7" i="9" a="1"/>
  <c r="BE7" i="9" s="1"/>
  <c r="BH11" i="9" a="1"/>
  <c r="BH11" i="9" s="1"/>
  <c r="BG9" i="9" a="1"/>
  <c r="BG9" i="9" s="1"/>
  <c r="BJ6" i="9" a="1"/>
  <c r="BJ6" i="9" s="1"/>
  <c r="BH6" i="9" a="1"/>
  <c r="BH6" i="9" s="1"/>
  <c r="BK6" i="9" a="1"/>
  <c r="BK6" i="9" s="1"/>
  <c r="BL10" i="9" a="1"/>
  <c r="BL10" i="9" s="1"/>
  <c r="BK4" i="9" a="1"/>
  <c r="BK4" i="9" s="1"/>
  <c r="BF8" i="9" a="1"/>
  <c r="BF8" i="9" s="1"/>
  <c r="BH3" i="9" a="1"/>
  <c r="BH3" i="9" s="1"/>
  <c r="BH8" i="9" a="1"/>
  <c r="BH8" i="9" s="1"/>
  <c r="BI4" i="9" a="1"/>
  <c r="BI4" i="9" s="1"/>
  <c r="BF11" i="9" a="1"/>
  <c r="BF11" i="9" s="1"/>
  <c r="BJ3" i="9" a="1"/>
  <c r="BJ3" i="9" s="1"/>
  <c r="BL11" i="9" a="1"/>
  <c r="BL11" i="9" s="1"/>
  <c r="BK11" i="9" a="1"/>
  <c r="BK11" i="9" s="1"/>
  <c r="BL9" i="9" a="1"/>
  <c r="BL9" i="9" s="1"/>
  <c r="BE3" i="9" a="1"/>
  <c r="BE3" i="9" s="1"/>
  <c r="BG4" i="9" a="1"/>
  <c r="BG4" i="9" s="1"/>
  <c r="BH7" i="9" a="1"/>
  <c r="BH7" i="9" s="1"/>
  <c r="BI7" i="9" a="1"/>
  <c r="BI7" i="9" s="1"/>
  <c r="BJ7" i="9" a="1"/>
  <c r="BJ7" i="9" s="1"/>
  <c r="BJ5" i="9" a="1"/>
  <c r="BJ5" i="9" s="1"/>
  <c r="BL3" i="9" a="1"/>
  <c r="BL3" i="9" s="1"/>
  <c r="BL6" i="9" a="1"/>
  <c r="BL6" i="9" s="1"/>
  <c r="BE6" i="9" a="1"/>
  <c r="BE6" i="9" s="1"/>
  <c r="BF10" i="9" a="1"/>
  <c r="BF10" i="9" s="1"/>
  <c r="BG10" i="9" a="1"/>
  <c r="BG10" i="9" s="1"/>
  <c r="BH10" i="9" a="1"/>
  <c r="BH10" i="9" s="1"/>
  <c r="BJ9" i="9" a="1"/>
  <c r="BJ9" i="9" s="1"/>
  <c r="BI11" i="9" a="1"/>
  <c r="BI11" i="9" s="1"/>
  <c r="BE10" i="9" a="1"/>
  <c r="BE10" i="9" s="1"/>
  <c r="BJ8" i="9" a="1"/>
  <c r="BJ8" i="9" s="1"/>
  <c r="BE4" i="9" a="1"/>
  <c r="BE4" i="9" s="1"/>
  <c r="BK7" i="9" a="1"/>
  <c r="BK7" i="9" s="1"/>
  <c r="BF6" i="9" a="1"/>
  <c r="BF6" i="9" s="1"/>
  <c r="BH9" i="9" a="1"/>
  <c r="BH9" i="9" s="1"/>
  <c r="BH5" i="9" a="1"/>
  <c r="BH5" i="9" s="1"/>
  <c r="BI5" i="9" a="1"/>
  <c r="BI5" i="9" s="1"/>
  <c r="BJ4" i="9" a="1"/>
  <c r="BJ4" i="9" s="1"/>
  <c r="BL4" i="9" a="1"/>
  <c r="BL4" i="9" s="1"/>
  <c r="BE8" i="9" a="1"/>
  <c r="BE8" i="9" s="1"/>
  <c r="BK5" i="9" a="1"/>
  <c r="BK5" i="9" s="1"/>
  <c r="BL8" i="9" a="1"/>
  <c r="BL8" i="9" s="1"/>
  <c r="BE11" i="9" a="1"/>
  <c r="BE11" i="9" s="1"/>
  <c r="BG5" i="9" a="1"/>
  <c r="BG5" i="9" s="1"/>
  <c r="BG7" i="9" a="1"/>
  <c r="BG7" i="9" s="1"/>
  <c r="BI6" i="9" a="1"/>
  <c r="BI6" i="9" s="1"/>
  <c r="BI3" i="9" a="1"/>
  <c r="BI3" i="9" s="1"/>
  <c r="BL7" i="9" a="1"/>
  <c r="BL7" i="9" s="1"/>
  <c r="BI8" i="9" a="1"/>
  <c r="BI8" i="9" s="1"/>
  <c r="BK3" i="9" a="1"/>
  <c r="BK3" i="9" s="1"/>
  <c r="BE5" i="9" a="1"/>
  <c r="BE5" i="9" s="1"/>
  <c r="BF5" i="9" a="1"/>
  <c r="BF5" i="9" s="1"/>
  <c r="BG8" i="9" a="1"/>
  <c r="BG8" i="9" s="1"/>
  <c r="BH4" i="9" a="1"/>
  <c r="BH4" i="9" s="1"/>
  <c r="BF7" i="9" a="1"/>
  <c r="BF7" i="9" s="1"/>
  <c r="BI10" i="9" a="1"/>
  <c r="BI10" i="9" s="1"/>
  <c r="BK8" i="9" a="1"/>
  <c r="BK8" i="9" s="1"/>
  <c r="BI9" i="9" a="1"/>
  <c r="BI9" i="9" s="1"/>
  <c r="BE9" i="9" a="1"/>
  <c r="BE9" i="9" s="1"/>
  <c r="BK10" i="9" a="1"/>
  <c r="BK10" i="9" s="1"/>
  <c r="BG3" i="9" a="1"/>
  <c r="BG3" i="9" s="1"/>
  <c r="BJ11" i="9" a="1"/>
  <c r="BJ11" i="9" s="1"/>
  <c r="BG6" i="9" a="1"/>
  <c r="BG6" i="9" s="1"/>
  <c r="BJ10" i="9" a="1"/>
  <c r="BJ10" i="9" s="1"/>
  <c r="BG11" i="9" a="1"/>
  <c r="BG11" i="9" s="1"/>
  <c r="BF3" i="9" a="1"/>
  <c r="BF3" i="9" s="1"/>
  <c r="BL5" i="9" a="1"/>
  <c r="BL5" i="9" s="1"/>
  <c r="BF4" i="9" a="1"/>
  <c r="BF4" i="9" s="1"/>
  <c r="BK9" i="9" a="1"/>
  <c r="BK9" i="9" s="1"/>
  <c r="BD3" i="9" a="1"/>
  <c r="BD3" i="9" s="1"/>
  <c r="BA4" i="9" a="1"/>
  <c r="BA4" i="9" s="1"/>
  <c r="BC7" i="9" a="1"/>
  <c r="BC7" i="9" s="1"/>
  <c r="BD5" i="9" a="1"/>
  <c r="BD5" i="9" s="1"/>
  <c r="BD4" i="9" a="1"/>
  <c r="BD4" i="9" s="1"/>
  <c r="BB9" i="9" a="1"/>
  <c r="BB9" i="9" s="1"/>
  <c r="BA7" i="9" a="1"/>
  <c r="BA7" i="9" s="1"/>
  <c r="BD7" i="9" a="1"/>
  <c r="BD7" i="9" s="1"/>
  <c r="BC10" i="9" a="1"/>
  <c r="BC10" i="9" s="1"/>
  <c r="BD9" i="9" a="1"/>
  <c r="BD9" i="9" s="1"/>
  <c r="BA5" i="9" a="1"/>
  <c r="BA5" i="9" s="1"/>
  <c r="BA8" i="9" a="1"/>
  <c r="BA8" i="9" s="1"/>
  <c r="BA6" i="9" a="1"/>
  <c r="BA6" i="9" s="1"/>
  <c r="BC8" i="9" a="1"/>
  <c r="BC8" i="9" s="1"/>
  <c r="BD11" i="9" a="1"/>
  <c r="BD11" i="9" s="1"/>
  <c r="BB6" i="9" a="1"/>
  <c r="BB6" i="9" s="1"/>
  <c r="BA3" i="9" a="1"/>
  <c r="BA3" i="9" s="1"/>
  <c r="BB3" i="9" a="1"/>
  <c r="BB3" i="9" s="1"/>
  <c r="BD8" i="9" a="1"/>
  <c r="BD8" i="9" s="1"/>
  <c r="BC5" i="9" a="1"/>
  <c r="BC5" i="9" s="1"/>
  <c r="BA10" i="9" a="1"/>
  <c r="BA10" i="9" s="1"/>
  <c r="BB4" i="9" a="1"/>
  <c r="BB4" i="9" s="1"/>
  <c r="BC6" i="9" a="1"/>
  <c r="BC6" i="9" s="1"/>
  <c r="BD10" i="9" a="1"/>
  <c r="BD10" i="9" s="1"/>
  <c r="BB7" i="9" a="1"/>
  <c r="BB7" i="9" s="1"/>
  <c r="BB5" i="9" a="1"/>
  <c r="BB5" i="9" s="1"/>
  <c r="BA11" i="9" a="1"/>
  <c r="BA11" i="9" s="1"/>
  <c r="BD6" i="9" a="1"/>
  <c r="BD6" i="9" s="1"/>
  <c r="BA9" i="9" a="1"/>
  <c r="BA9" i="9" s="1"/>
  <c r="BB10" i="9" a="1"/>
  <c r="BB10" i="9" s="1"/>
  <c r="BC11" i="9" a="1"/>
  <c r="BC11" i="9" s="1"/>
  <c r="BC3" i="9" a="1"/>
  <c r="BC3" i="9" s="1"/>
  <c r="BB8" i="9" a="1"/>
  <c r="BB8" i="9" s="1"/>
  <c r="BC9" i="9" a="1"/>
  <c r="BC9" i="9" s="1"/>
  <c r="BB11" i="9" a="1"/>
  <c r="BB11" i="9" s="1"/>
  <c r="BC4" i="9" a="1"/>
  <c r="BC4" i="9" s="1"/>
  <c r="AZ11" i="9" a="1"/>
  <c r="AZ11" i="9" s="1"/>
  <c r="AZ5" i="9" a="1"/>
  <c r="AZ5" i="9" s="1"/>
  <c r="AZ3" i="9" a="1"/>
  <c r="AZ3" i="9" s="1"/>
  <c r="AY10" i="9" a="1"/>
  <c r="AY10" i="9" s="1"/>
  <c r="AY9" i="9" a="1"/>
  <c r="AY9" i="9" s="1"/>
  <c r="AY6" i="9" a="1"/>
  <c r="AY6" i="9" s="1"/>
  <c r="AY7" i="9" a="1"/>
  <c r="AY7" i="9" s="1"/>
  <c r="AZ9" i="9" a="1"/>
  <c r="AZ9" i="9" s="1"/>
  <c r="AY5" i="9" a="1"/>
  <c r="AY5" i="9" s="1"/>
  <c r="AZ6" i="9" a="1"/>
  <c r="AZ6" i="9" s="1"/>
  <c r="AY8" i="9" a="1"/>
  <c r="AY8" i="9" s="1"/>
  <c r="AZ7" i="9" a="1"/>
  <c r="AZ7" i="9" s="1"/>
  <c r="AY3" i="9" a="1"/>
  <c r="AY3" i="9" s="1"/>
  <c r="AZ8" i="9" a="1"/>
  <c r="AZ8" i="9" s="1"/>
  <c r="AZ10" i="9" a="1"/>
  <c r="AZ10" i="9" s="1"/>
  <c r="AY11" i="9" a="1"/>
  <c r="AY11" i="9" s="1"/>
  <c r="AY4" i="9" a="1"/>
  <c r="AY4" i="9" s="1"/>
  <c r="AZ4" i="9" a="1"/>
  <c r="AZ4" i="9" s="1"/>
  <c r="AX5" i="9" a="1"/>
  <c r="AX5" i="9" s="1"/>
  <c r="AX10" i="9" a="1"/>
  <c r="AX10" i="9" s="1"/>
  <c r="AX9" i="9" a="1"/>
  <c r="AX9" i="9" s="1"/>
  <c r="AX4" i="9" a="1"/>
  <c r="AX4" i="9" s="1"/>
  <c r="AX8" i="9" a="1"/>
  <c r="AX8" i="9" s="1"/>
  <c r="AX11" i="9" a="1"/>
  <c r="AX11" i="9" s="1"/>
  <c r="AX3" i="9" a="1"/>
  <c r="AX3" i="9" s="1"/>
  <c r="AX7" i="9" a="1"/>
  <c r="AX7" i="9" s="1"/>
  <c r="AX6" i="9" a="1"/>
  <c r="AX6" i="9" s="1"/>
  <c r="AT5" i="9" a="1"/>
  <c r="AT5" i="9" s="1"/>
  <c r="AW4" i="9" a="1"/>
  <c r="AW4" i="9" s="1"/>
  <c r="AT10" i="9" a="1"/>
  <c r="AT10" i="9" s="1"/>
  <c r="AW3" i="9" a="1"/>
  <c r="AW3" i="9" s="1"/>
  <c r="AV11" i="9" a="1"/>
  <c r="AV11" i="9" s="1"/>
  <c r="AT8" i="9" a="1"/>
  <c r="AT8" i="9" s="1"/>
  <c r="AU3" i="9" a="1"/>
  <c r="AU3" i="9" s="1"/>
  <c r="AV5" i="9" a="1"/>
  <c r="AV5" i="9" s="1"/>
  <c r="AU5" i="9" a="1"/>
  <c r="AU5" i="9" s="1"/>
  <c r="AV4" i="9" a="1"/>
  <c r="AV4" i="9" s="1"/>
  <c r="AU7" i="9" a="1"/>
  <c r="AU7" i="9" s="1"/>
  <c r="AV7" i="9" a="1"/>
  <c r="AV7" i="9" s="1"/>
  <c r="AV9" i="9" a="1"/>
  <c r="AV9" i="9" s="1"/>
  <c r="AT6" i="9" a="1"/>
  <c r="AT6" i="9" s="1"/>
  <c r="AW9" i="9" a="1"/>
  <c r="AW9" i="9" s="1"/>
  <c r="AW11" i="9" a="1"/>
  <c r="AW11" i="9" s="1"/>
  <c r="AV10" i="9" a="1"/>
  <c r="AV10" i="9" s="1"/>
  <c r="AW10" i="9" a="1"/>
  <c r="AW10" i="9" s="1"/>
  <c r="AU10" i="9" a="1"/>
  <c r="AU10" i="9" s="1"/>
  <c r="AT4" i="9" a="1"/>
  <c r="AT4" i="9" s="1"/>
  <c r="AV6" i="9" a="1"/>
  <c r="AV6" i="9" s="1"/>
  <c r="AU4" i="9" a="1"/>
  <c r="AU4" i="9" s="1"/>
  <c r="AV3" i="9" a="1"/>
  <c r="AV3" i="9" s="1"/>
  <c r="AW8" i="9" a="1"/>
  <c r="AW8" i="9" s="1"/>
  <c r="AU6" i="9" a="1"/>
  <c r="AU6" i="9" s="1"/>
  <c r="AW5" i="9" a="1"/>
  <c r="AW5" i="9" s="1"/>
  <c r="AT7" i="9" a="1"/>
  <c r="AT7" i="9" s="1"/>
  <c r="AU9" i="9" a="1"/>
  <c r="AU9" i="9" s="1"/>
  <c r="AU8" i="9" a="1"/>
  <c r="AU8" i="9" s="1"/>
  <c r="AU11" i="9" a="1"/>
  <c r="AU11" i="9" s="1"/>
  <c r="AT3" i="9" a="1"/>
  <c r="AT3" i="9" s="1"/>
  <c r="AW7" i="9" a="1"/>
  <c r="AW7" i="9" s="1"/>
  <c r="AW6" i="9" a="1"/>
  <c r="AW6" i="9" s="1"/>
  <c r="AT9" i="9" a="1"/>
  <c r="AT9" i="9" s="1"/>
  <c r="AV8" i="9" a="1"/>
  <c r="AV8" i="9" s="1"/>
  <c r="AT11" i="9" a="1"/>
  <c r="AT11" i="9" s="1"/>
  <c r="AO8" i="9" a="1"/>
  <c r="AO8" i="9" s="1"/>
  <c r="AR5" i="9" a="1"/>
  <c r="AR5" i="9" s="1"/>
  <c r="AR3" i="9" a="1"/>
  <c r="AR3" i="9" s="1"/>
  <c r="AQ3" i="9" a="1"/>
  <c r="AQ3" i="9" s="1"/>
  <c r="AS6" i="9" a="1"/>
  <c r="AS6" i="9" s="1"/>
  <c r="AQ10" i="9" a="1"/>
  <c r="AQ10" i="9" s="1"/>
  <c r="AO7" i="9" a="1"/>
  <c r="AO7" i="9" s="1"/>
  <c r="AR6" i="9" a="1"/>
  <c r="AR6" i="9" s="1"/>
  <c r="AQ11" i="9" a="1"/>
  <c r="AQ11" i="9" s="1"/>
  <c r="AS8" i="9" a="1"/>
  <c r="AS8" i="9" s="1"/>
  <c r="AO3" i="9" a="1"/>
  <c r="AO3" i="9" s="1"/>
  <c r="AO4" i="9" a="1"/>
  <c r="AO4" i="9" s="1"/>
  <c r="AQ7" i="9" a="1"/>
  <c r="AQ7" i="9" s="1"/>
  <c r="AR4" i="9" a="1"/>
  <c r="AR4" i="9" s="1"/>
  <c r="AS5" i="9" a="1"/>
  <c r="AS5" i="9" s="1"/>
  <c r="AS9" i="9" a="1"/>
  <c r="AS9" i="9" s="1"/>
  <c r="AS3" i="9" a="1"/>
  <c r="AS3" i="9" s="1"/>
  <c r="AO11" i="9" a="1"/>
  <c r="AO11" i="9" s="1"/>
  <c r="AP9" i="9" a="1"/>
  <c r="AP9" i="9" s="1"/>
  <c r="AR7" i="9" a="1"/>
  <c r="AR7" i="9" s="1"/>
  <c r="AQ4" i="9" a="1"/>
  <c r="AQ4" i="9" s="1"/>
  <c r="AR8" i="9" a="1"/>
  <c r="AR8" i="9" s="1"/>
  <c r="AS10" i="9" a="1"/>
  <c r="AS10" i="9" s="1"/>
  <c r="AP5" i="9" a="1"/>
  <c r="AP5" i="9" s="1"/>
  <c r="AP6" i="9" a="1"/>
  <c r="AP6" i="9" s="1"/>
  <c r="AO9" i="9" a="1"/>
  <c r="AO9" i="9" s="1"/>
  <c r="AP8" i="9" a="1"/>
  <c r="AP8" i="9" s="1"/>
  <c r="AQ9" i="9" a="1"/>
  <c r="AQ9" i="9" s="1"/>
  <c r="AS7" i="9" a="1"/>
  <c r="AS7" i="9" s="1"/>
  <c r="AO5" i="9" a="1"/>
  <c r="AO5" i="9" s="1"/>
  <c r="AO6" i="9" a="1"/>
  <c r="AO6" i="9" s="1"/>
  <c r="AQ8" i="9" a="1"/>
  <c r="AQ8" i="9" s="1"/>
  <c r="AP3" i="9" a="1"/>
  <c r="AP3" i="9" s="1"/>
  <c r="AP11" i="9" a="1"/>
  <c r="AP11" i="9" s="1"/>
  <c r="AQ5" i="9" a="1"/>
  <c r="AQ5" i="9" s="1"/>
  <c r="AR9" i="9" a="1"/>
  <c r="AR9" i="9" s="1"/>
  <c r="AP4" i="9" a="1"/>
  <c r="AP4" i="9" s="1"/>
  <c r="AR11" i="9" a="1"/>
  <c r="AR11" i="9" s="1"/>
  <c r="AS11" i="9" a="1"/>
  <c r="AS11" i="9" s="1"/>
  <c r="AS4" i="9" a="1"/>
  <c r="AS4" i="9" s="1"/>
  <c r="AQ6" i="9" a="1"/>
  <c r="AQ6" i="9" s="1"/>
  <c r="AO10" i="9" a="1"/>
  <c r="AO10" i="9" s="1"/>
  <c r="AP7" i="9" a="1"/>
  <c r="AP7" i="9" s="1"/>
  <c r="AR10" i="9" a="1"/>
  <c r="AR10" i="9" s="1"/>
  <c r="AP10" i="9" a="1"/>
  <c r="AP10" i="9" s="1"/>
  <c r="AN5" i="9" a="1"/>
  <c r="AN5" i="9" s="1"/>
  <c r="AN9" i="9" a="1"/>
  <c r="AN9" i="9" s="1"/>
  <c r="AN7" i="9" a="1"/>
  <c r="AN7" i="9" s="1"/>
  <c r="AL3" i="9" a="1"/>
  <c r="AL3" i="9" s="1"/>
  <c r="AL9" i="9" a="1"/>
  <c r="AL9" i="9" s="1"/>
  <c r="AN4" i="9" a="1"/>
  <c r="AN4" i="9" s="1"/>
  <c r="AM7" i="9" a="1"/>
  <c r="AM7" i="9" s="1"/>
  <c r="AM9" i="9" a="1"/>
  <c r="AM9" i="9" s="1"/>
  <c r="AL11" i="9" a="1"/>
  <c r="AL11" i="9" s="1"/>
  <c r="AK6" i="9" a="1"/>
  <c r="AK6" i="9" s="1"/>
  <c r="AL10" i="9" a="1"/>
  <c r="AL10" i="9" s="1"/>
  <c r="AK11" i="9" a="1"/>
  <c r="AK11" i="9" s="1"/>
  <c r="AN10" i="9" a="1"/>
  <c r="AN10" i="9" s="1"/>
  <c r="AM8" i="9" a="1"/>
  <c r="AM8" i="9" s="1"/>
  <c r="AN3" i="9" a="1"/>
  <c r="AN3" i="9" s="1"/>
  <c r="AK3" i="9" a="1"/>
  <c r="AK3" i="9" s="1"/>
  <c r="AL7" i="9" a="1"/>
  <c r="AL7" i="9" s="1"/>
  <c r="AL8" i="9" a="1"/>
  <c r="AL8" i="9" s="1"/>
  <c r="AM4" i="9" a="1"/>
  <c r="AM4" i="9" s="1"/>
  <c r="AN8" i="9" a="1"/>
  <c r="AN8" i="9" s="1"/>
  <c r="AK8" i="9" a="1"/>
  <c r="AK8" i="9" s="1"/>
  <c r="AL6" i="9" a="1"/>
  <c r="AL6" i="9" s="1"/>
  <c r="AK10" i="9" a="1"/>
  <c r="AK10" i="9" s="1"/>
  <c r="AK4" i="9" a="1"/>
  <c r="AK4" i="9" s="1"/>
  <c r="AK7" i="9" a="1"/>
  <c r="AK7" i="9" s="1"/>
  <c r="AN11" i="9" a="1"/>
  <c r="AN11" i="9" s="1"/>
  <c r="AM10" i="9" a="1"/>
  <c r="AM10" i="9" s="1"/>
  <c r="AK5" i="9" a="1"/>
  <c r="AK5" i="9" s="1"/>
  <c r="AM5" i="9" a="1"/>
  <c r="AM5" i="9" s="1"/>
  <c r="AM6" i="9" a="1"/>
  <c r="AM6" i="9" s="1"/>
  <c r="AK9" i="9" a="1"/>
  <c r="AK9" i="9" s="1"/>
  <c r="AL5" i="9" a="1"/>
  <c r="AL5" i="9" s="1"/>
  <c r="AM3" i="9" a="1"/>
  <c r="AM3" i="9" s="1"/>
  <c r="AL4" i="9" a="1"/>
  <c r="AL4" i="9" s="1"/>
  <c r="AN6" i="9" a="1"/>
  <c r="AN6" i="9" s="1"/>
  <c r="AM11" i="9" a="1"/>
  <c r="AM11" i="9" s="1"/>
  <c r="AJ8" i="9" a="1"/>
  <c r="AJ8" i="9" s="1"/>
  <c r="AJ7" i="9" a="1"/>
  <c r="AJ7" i="9" s="1"/>
  <c r="AJ6" i="9" a="1"/>
  <c r="AJ6" i="9" s="1"/>
  <c r="AI9" i="9" a="1"/>
  <c r="AI9" i="9" s="1"/>
  <c r="AG4" i="9" a="1"/>
  <c r="AG4" i="9" s="1"/>
  <c r="AI3" i="9" a="1"/>
  <c r="AI3" i="9" s="1"/>
  <c r="AH4" i="9" a="1"/>
  <c r="AH4" i="9" s="1"/>
  <c r="AJ3" i="9" a="1"/>
  <c r="AJ3" i="9" s="1"/>
  <c r="AJ5" i="9" a="1"/>
  <c r="AJ5" i="9" s="1"/>
  <c r="AI8" i="9" a="1"/>
  <c r="AI8" i="9" s="1"/>
  <c r="AG7" i="9" a="1"/>
  <c r="AG7" i="9" s="1"/>
  <c r="AG11" i="9" a="1"/>
  <c r="AG11" i="9" s="1"/>
  <c r="AJ9" i="9" a="1"/>
  <c r="AJ9" i="9" s="1"/>
  <c r="AI11" i="9" a="1"/>
  <c r="AI11" i="9" s="1"/>
  <c r="AH10" i="9" a="1"/>
  <c r="AH10" i="9" s="1"/>
  <c r="AH7" i="9" a="1"/>
  <c r="AH7" i="9" s="1"/>
  <c r="AI7" i="9" a="1"/>
  <c r="AI7" i="9" s="1"/>
  <c r="AH8" i="9" a="1"/>
  <c r="AH8" i="9" s="1"/>
  <c r="AJ11" i="9" a="1"/>
  <c r="AJ11" i="9" s="1"/>
  <c r="AH5" i="9" a="1"/>
  <c r="AH5" i="9" s="1"/>
  <c r="AJ10" i="9" a="1"/>
  <c r="AJ10" i="9" s="1"/>
  <c r="AH3" i="9" a="1"/>
  <c r="AH3" i="9" s="1"/>
  <c r="AI10" i="9" a="1"/>
  <c r="AI10" i="9" s="1"/>
  <c r="AG8" i="9" a="1"/>
  <c r="AG8" i="9" s="1"/>
  <c r="AJ4" i="9" a="1"/>
  <c r="AJ4" i="9" s="1"/>
  <c r="AH9" i="9" a="1"/>
  <c r="AH9" i="9" s="1"/>
  <c r="AI4" i="9" a="1"/>
  <c r="AI4" i="9" s="1"/>
  <c r="AG5" i="9" a="1"/>
  <c r="AG5" i="9" s="1"/>
  <c r="AG10" i="9" a="1"/>
  <c r="AG10" i="9" s="1"/>
  <c r="AI6" i="9" a="1"/>
  <c r="AI6" i="9" s="1"/>
  <c r="AG9" i="9" a="1"/>
  <c r="AG9" i="9" s="1"/>
  <c r="AH11" i="9" a="1"/>
  <c r="AH11" i="9" s="1"/>
  <c r="AH12" i="9" s="1"/>
  <c r="AH13" i="9" s="1"/>
  <c r="AH14" i="9" s="1"/>
  <c r="AH15" i="9" s="1"/>
  <c r="AH16" i="9" s="1"/>
  <c r="AH17" i="9" s="1"/>
  <c r="AH18" i="9" s="1"/>
  <c r="AH19" i="9" s="1"/>
  <c r="AH20" i="9" s="1"/>
  <c r="AH21" i="9" s="1"/>
  <c r="AH22" i="9" s="1"/>
  <c r="AG3" i="9" a="1"/>
  <c r="AG3" i="9" s="1"/>
  <c r="AH6" i="9" a="1"/>
  <c r="AH6" i="9" s="1"/>
  <c r="AG6" i="9" a="1"/>
  <c r="AG6" i="9" s="1"/>
  <c r="AI5" i="9" a="1"/>
  <c r="AI5" i="9" s="1"/>
  <c r="W6" i="9" a="1"/>
  <c r="W6" i="9" s="1"/>
  <c r="T6" i="9" a="1"/>
  <c r="T6" i="9" s="1"/>
  <c r="X7" i="9" a="1"/>
  <c r="X7" i="9" s="1"/>
  <c r="R10" i="9" a="1"/>
  <c r="R10" i="9" s="1"/>
  <c r="U10" i="9" a="1"/>
  <c r="U10" i="9" s="1"/>
  <c r="S10" i="9" a="1"/>
  <c r="S10" i="9" s="1"/>
  <c r="AE6" i="9" a="1"/>
  <c r="AE6" i="9" s="1"/>
  <c r="X5" i="9" a="1"/>
  <c r="X5" i="9" s="1"/>
  <c r="M9" i="9" a="1"/>
  <c r="M9" i="9" s="1"/>
  <c r="W3" i="9" a="1"/>
  <c r="W3" i="9" s="1"/>
  <c r="K5" i="9" a="1"/>
  <c r="K5" i="9" s="1"/>
  <c r="AC8" i="9" a="1"/>
  <c r="AC8" i="9" s="1"/>
  <c r="Q5" i="9" a="1"/>
  <c r="Q5" i="9" s="1"/>
  <c r="AD5" i="9" a="1"/>
  <c r="AD5" i="9" s="1"/>
  <c r="S3" i="9" a="1"/>
  <c r="S3" i="9" s="1"/>
  <c r="U8" i="9" a="1"/>
  <c r="U8" i="9" s="1"/>
  <c r="S4" i="9" a="1"/>
  <c r="S4" i="9" s="1"/>
  <c r="U9" i="9" a="1"/>
  <c r="U9" i="9" s="1"/>
  <c r="AA8" i="9" a="1"/>
  <c r="AA8" i="9" s="1"/>
  <c r="N9" i="9" a="1"/>
  <c r="N9" i="9" s="1"/>
  <c r="AC3" i="9" a="1"/>
  <c r="AC3" i="9" s="1"/>
  <c r="O6" i="9" a="1"/>
  <c r="O6" i="9" s="1"/>
  <c r="Z9" i="9" a="1"/>
  <c r="Z9" i="9" s="1"/>
  <c r="O7" i="9" a="1"/>
  <c r="O7" i="9" s="1"/>
  <c r="AC7" i="9" a="1"/>
  <c r="AC7" i="9" s="1"/>
  <c r="L8" i="9" a="1"/>
  <c r="L8" i="9" s="1"/>
  <c r="N6" i="9" a="1"/>
  <c r="N6" i="9" s="1"/>
  <c r="AD6" i="9" a="1"/>
  <c r="AD6" i="9" s="1"/>
  <c r="AD8" i="9" a="1"/>
  <c r="AD8" i="9" s="1"/>
  <c r="L10" i="9" a="1"/>
  <c r="L10" i="9" s="1"/>
  <c r="Y10" i="9" a="1"/>
  <c r="Y10" i="9" s="1"/>
  <c r="K8" i="9" a="1"/>
  <c r="K8" i="9" s="1"/>
  <c r="AF5" i="9" a="1"/>
  <c r="AF5" i="9" s="1"/>
  <c r="AB10" i="9" a="1"/>
  <c r="AB10" i="9" s="1"/>
  <c r="R11" i="9" a="1"/>
  <c r="R11" i="9" s="1"/>
  <c r="AF9" i="9" a="1"/>
  <c r="AF9" i="9" s="1"/>
  <c r="V6" i="9" a="1"/>
  <c r="V6" i="9" s="1"/>
  <c r="T7" i="9" a="1"/>
  <c r="T7" i="9" s="1"/>
  <c r="L7" i="9" a="1"/>
  <c r="L7" i="9" s="1"/>
  <c r="O4" i="9" a="1"/>
  <c r="O4" i="9" s="1"/>
  <c r="AA11" i="9" a="1"/>
  <c r="AA11" i="9" s="1"/>
  <c r="R6" i="9" a="1"/>
  <c r="R6" i="9" s="1"/>
  <c r="Y5" i="9" a="1"/>
  <c r="Y5" i="9" s="1"/>
  <c r="X4" i="9" a="1"/>
  <c r="X4" i="9" s="1"/>
  <c r="M11" i="9" a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AF11" i="9" a="1"/>
  <c r="AF11" i="9" s="1"/>
  <c r="AB6" i="9" a="1"/>
  <c r="AB6" i="9" s="1"/>
  <c r="S7" i="9" a="1"/>
  <c r="S7" i="9" s="1"/>
  <c r="R8" i="9" a="1"/>
  <c r="R8" i="9" s="1"/>
  <c r="Q7" i="9" a="1"/>
  <c r="Q7" i="9" s="1"/>
  <c r="Z6" i="9" a="1"/>
  <c r="Z6" i="9" s="1"/>
  <c r="O11" i="9" a="1"/>
  <c r="O11" i="9" s="1"/>
  <c r="P4" i="9" a="1"/>
  <c r="P4" i="9" s="1"/>
  <c r="Q4" i="9" a="1"/>
  <c r="Q4" i="9" s="1"/>
  <c r="AD11" i="9" a="1"/>
  <c r="AD11" i="9" s="1"/>
  <c r="AA5" i="9" a="1"/>
  <c r="AA5" i="9" s="1"/>
  <c r="T3" i="9" a="1"/>
  <c r="T3" i="9" s="1"/>
  <c r="V9" i="9" a="1"/>
  <c r="V9" i="9" s="1"/>
  <c r="O9" i="9" a="1"/>
  <c r="O9" i="9" s="1"/>
  <c r="V7" i="9" a="1"/>
  <c r="V7" i="9" s="1"/>
  <c r="AE5" i="9" a="1"/>
  <c r="AE5" i="9" s="1"/>
  <c r="N5" i="9" a="1"/>
  <c r="N5" i="9" s="1"/>
  <c r="Z5" i="9" a="1"/>
  <c r="Z5" i="9" s="1"/>
  <c r="AE10" i="9" a="1"/>
  <c r="AE10" i="9" s="1"/>
  <c r="X10" i="9" a="1"/>
  <c r="X10" i="9" s="1"/>
  <c r="AD9" i="9" a="1"/>
  <c r="AD9" i="9" s="1"/>
  <c r="AE9" i="9" a="1"/>
  <c r="AE9" i="9" s="1"/>
  <c r="N11" i="9" a="1"/>
  <c r="N11" i="9" s="1"/>
  <c r="K7" i="9" a="1"/>
  <c r="K7" i="9" s="1"/>
  <c r="M7" i="9" a="1"/>
  <c r="M7" i="9" s="1"/>
  <c r="Y11" i="9" a="1"/>
  <c r="Y11" i="9" s="1"/>
  <c r="AD7" i="9" a="1"/>
  <c r="AD7" i="9" s="1"/>
  <c r="O3" i="9" a="1"/>
  <c r="O3" i="9" s="1"/>
  <c r="T10" i="9" a="1"/>
  <c r="T10" i="9" s="1"/>
  <c r="AF3" i="9" a="1"/>
  <c r="AF3" i="9" s="1"/>
  <c r="L6" i="9" a="1"/>
  <c r="L6" i="9" s="1"/>
  <c r="W5" i="9" a="1"/>
  <c r="W5" i="9" s="1"/>
  <c r="K9" i="9" a="1"/>
  <c r="K9" i="9" s="1"/>
  <c r="R5" i="9" a="1"/>
  <c r="R5" i="9" s="1"/>
  <c r="X6" i="9" a="1"/>
  <c r="X6" i="9" s="1"/>
  <c r="N10" i="9" a="1"/>
  <c r="N10" i="9" s="1"/>
  <c r="T4" i="9" a="1"/>
  <c r="T4" i="9" s="1"/>
  <c r="U4" i="9" a="1"/>
  <c r="U4" i="9" s="1"/>
  <c r="P8" i="9" a="1"/>
  <c r="P8" i="9" s="1"/>
  <c r="Z3" i="9" a="1"/>
  <c r="Z3" i="9" s="1"/>
  <c r="M10" i="9" a="1"/>
  <c r="M10" i="9" s="1"/>
  <c r="AB5" i="9" a="1"/>
  <c r="AB5" i="9" s="1"/>
  <c r="AD3" i="9" a="1"/>
  <c r="AD3" i="9" s="1"/>
  <c r="P7" i="9" a="1"/>
  <c r="P7" i="9" s="1"/>
  <c r="X8" i="9" a="1"/>
  <c r="X8" i="9" s="1"/>
  <c r="AB4" i="9" a="1"/>
  <c r="AB4" i="9" s="1"/>
  <c r="Q3" i="9" a="1"/>
  <c r="Q3" i="9" s="1"/>
  <c r="R9" i="9" a="1"/>
  <c r="R9" i="9" s="1"/>
  <c r="AE8" i="9" a="1"/>
  <c r="AE8" i="9" s="1"/>
  <c r="W4" i="9" a="1"/>
  <c r="W4" i="9" s="1"/>
  <c r="U5" i="9" a="1"/>
  <c r="U5" i="9" s="1"/>
  <c r="AD4" i="9" a="1"/>
  <c r="AD4" i="9" s="1"/>
  <c r="M4" i="9" a="1"/>
  <c r="M4" i="9" s="1"/>
  <c r="AC6" i="9" a="1"/>
  <c r="AC6" i="9" s="1"/>
  <c r="P11" i="9" a="1"/>
  <c r="P11" i="9" s="1"/>
  <c r="AC9" i="9" a="1"/>
  <c r="AC9" i="9" s="1"/>
  <c r="K4" i="9" a="1"/>
  <c r="K4" i="9" s="1"/>
  <c r="Z4" i="9" a="1"/>
  <c r="Z4" i="9" s="1"/>
  <c r="N8" i="9" a="1"/>
  <c r="N8" i="9" s="1"/>
  <c r="N7" i="9" a="1"/>
  <c r="N7" i="9" s="1"/>
  <c r="O10" i="9" a="1"/>
  <c r="O10" i="9" s="1"/>
  <c r="Q8" i="9" a="1"/>
  <c r="Q8" i="9" s="1"/>
  <c r="S5" i="9" a="1"/>
  <c r="S5" i="9" s="1"/>
  <c r="S8" i="9" a="1"/>
  <c r="S8" i="9" s="1"/>
  <c r="AE11" i="9" a="1"/>
  <c r="AE11" i="9" s="1"/>
  <c r="AB7" i="9" a="1"/>
  <c r="AB7" i="9" s="1"/>
  <c r="U3" i="9" a="1"/>
  <c r="U3" i="9" s="1"/>
  <c r="P3" i="9" a="1"/>
  <c r="P3" i="9" s="1"/>
  <c r="U6" i="9" a="1"/>
  <c r="U6" i="9" s="1"/>
  <c r="P6" i="9" a="1"/>
  <c r="P6" i="9" s="1"/>
  <c r="V4" i="9" a="1"/>
  <c r="V4" i="9" s="1"/>
  <c r="P5" i="9" a="1"/>
  <c r="P5" i="9" s="1"/>
  <c r="W10" i="9" a="1"/>
  <c r="W10" i="9" s="1"/>
  <c r="Z10" i="9" a="1"/>
  <c r="Z10" i="9" s="1"/>
  <c r="AF6" i="9" a="1"/>
  <c r="AF6" i="9" s="1"/>
  <c r="AA4" i="9" a="1"/>
  <c r="AA4" i="9" s="1"/>
  <c r="K11" i="9" a="1"/>
  <c r="K11" i="9" s="1"/>
  <c r="Q10" i="9" a="1"/>
  <c r="Q10" i="9" s="1"/>
  <c r="AE7" i="9" a="1"/>
  <c r="AE7" i="9" s="1"/>
  <c r="AC4" i="9" a="1"/>
  <c r="AC4" i="9" s="1"/>
  <c r="Z7" i="9" a="1"/>
  <c r="Z7" i="9" s="1"/>
  <c r="X9" i="9" a="1"/>
  <c r="X9" i="9" s="1"/>
  <c r="Y3" i="9" a="1"/>
  <c r="Y3" i="9" s="1"/>
  <c r="AB11" i="9" a="1"/>
  <c r="AB11" i="9" s="1"/>
  <c r="V3" i="9" a="1"/>
  <c r="V3" i="9" s="1"/>
  <c r="Y7" i="9" a="1"/>
  <c r="Y7" i="9" s="1"/>
  <c r="AA10" i="9" a="1"/>
  <c r="AA10" i="9" s="1"/>
  <c r="X3" i="9" a="1"/>
  <c r="X3" i="9" s="1"/>
  <c r="V8" i="9" a="1"/>
  <c r="V8" i="9" s="1"/>
  <c r="P9" i="9" a="1"/>
  <c r="P9" i="9" s="1"/>
  <c r="AC5" i="9" a="1"/>
  <c r="AC5" i="9" s="1"/>
  <c r="S11" i="9" a="1"/>
  <c r="S11" i="9" s="1"/>
  <c r="L11" i="9" a="1"/>
  <c r="L11" i="9" s="1"/>
  <c r="K10" i="9" a="1"/>
  <c r="K10" i="9" s="1"/>
  <c r="N3" i="9" a="1"/>
  <c r="N3" i="9" s="1"/>
  <c r="AC10" i="9" a="1"/>
  <c r="AC10" i="9" s="1"/>
  <c r="R4" i="9" a="1"/>
  <c r="R4" i="9" s="1"/>
  <c r="O5" i="9" a="1"/>
  <c r="O5" i="9" s="1"/>
  <c r="S6" i="9" a="1"/>
  <c r="S6" i="9" s="1"/>
  <c r="V11" i="9" a="1"/>
  <c r="V11" i="9" s="1"/>
  <c r="V12" i="9" s="1"/>
  <c r="V13" i="9" s="1"/>
  <c r="V14" i="9" s="1"/>
  <c r="V15" i="9" s="1"/>
  <c r="V16" i="9" s="1"/>
  <c r="V17" i="9" s="1"/>
  <c r="V18" i="9" s="1"/>
  <c r="Q11" i="9" a="1"/>
  <c r="Q11" i="9" s="1"/>
  <c r="Y4" i="9" a="1"/>
  <c r="Y4" i="9" s="1"/>
  <c r="N4" i="9" a="1"/>
  <c r="N4" i="9" s="1"/>
  <c r="AA7" i="9" a="1"/>
  <c r="AA7" i="9" s="1"/>
  <c r="AA6" i="9" a="1"/>
  <c r="AA6" i="9" s="1"/>
  <c r="W9" i="9" a="1"/>
  <c r="W9" i="9" s="1"/>
  <c r="M6" i="9" a="1"/>
  <c r="M6" i="9" s="1"/>
  <c r="Q6" i="9" a="1"/>
  <c r="Q6" i="9" s="1"/>
  <c r="P10" i="9" a="1"/>
  <c r="P10" i="9" s="1"/>
  <c r="S9" i="9" a="1"/>
  <c r="S9" i="9" s="1"/>
  <c r="L3" i="9" a="1"/>
  <c r="L3" i="9" s="1"/>
  <c r="Q9" i="9" a="1"/>
  <c r="Q9" i="9" s="1"/>
  <c r="U11" i="9" a="1"/>
  <c r="U11" i="9" s="1"/>
  <c r="AB8" i="9" a="1"/>
  <c r="AB8" i="9" s="1"/>
  <c r="M8" i="9" a="1"/>
  <c r="M8" i="9" s="1"/>
  <c r="AF8" i="9" a="1"/>
  <c r="AF8" i="9" s="1"/>
  <c r="T8" i="9" a="1"/>
  <c r="T8" i="9" s="1"/>
  <c r="Y9" i="9" a="1"/>
  <c r="Y9" i="9" s="1"/>
  <c r="K6" i="9" a="1"/>
  <c r="K6" i="9" s="1"/>
  <c r="AD10" i="9" a="1"/>
  <c r="AD10" i="9" s="1"/>
  <c r="AC11" i="9" a="1"/>
  <c r="AC11" i="9" s="1"/>
  <c r="AC12" i="9" s="1"/>
  <c r="AC13" i="9" s="1"/>
  <c r="AB9" i="9" a="1"/>
  <c r="AB9" i="9" s="1"/>
  <c r="AA9" i="9" a="1"/>
  <c r="AA9" i="9" s="1"/>
  <c r="M3" i="9" a="1"/>
  <c r="M3" i="9" s="1"/>
  <c r="Y8" i="9" a="1"/>
  <c r="Y8" i="9" s="1"/>
  <c r="T5" i="9" a="1"/>
  <c r="T5" i="9" s="1"/>
  <c r="T9" i="9" a="1"/>
  <c r="T9" i="9" s="1"/>
  <c r="O8" i="9" a="1"/>
  <c r="O8" i="9" s="1"/>
  <c r="L5" i="9" a="1"/>
  <c r="L5" i="9" s="1"/>
  <c r="Z11" i="9" a="1"/>
  <c r="Z11" i="9" s="1"/>
  <c r="W11" i="9" a="1"/>
  <c r="W11" i="9" s="1"/>
  <c r="Y6" i="9" a="1"/>
  <c r="Y6" i="9" s="1"/>
  <c r="U7" i="9" a="1"/>
  <c r="U7" i="9" s="1"/>
  <c r="AF4" i="9" a="1"/>
  <c r="AF4" i="9" s="1"/>
  <c r="R3" i="9" a="1"/>
  <c r="R3" i="9" s="1"/>
  <c r="AB3" i="9" a="1"/>
  <c r="AB3" i="9" s="1"/>
  <c r="AA3" i="9" a="1"/>
  <c r="AA3" i="9" s="1"/>
  <c r="V5" i="9" a="1"/>
  <c r="V5" i="9" s="1"/>
  <c r="L9" i="9" a="1"/>
  <c r="L9" i="9" s="1"/>
  <c r="K3" i="9" a="1"/>
  <c r="K3" i="9" s="1"/>
  <c r="M5" i="9" a="1"/>
  <c r="M5" i="9" s="1"/>
  <c r="T11" i="9" a="1"/>
  <c r="T11" i="9" s="1"/>
  <c r="AF10" i="9" a="1"/>
  <c r="AF10" i="9" s="1"/>
  <c r="W8" i="9" a="1"/>
  <c r="W8" i="9" s="1"/>
  <c r="AE4" i="9" a="1"/>
  <c r="AE4" i="9" s="1"/>
  <c r="Z8" i="9" a="1"/>
  <c r="Z8" i="9" s="1"/>
  <c r="R7" i="9" a="1"/>
  <c r="R7" i="9" s="1"/>
  <c r="L4" i="9" a="1"/>
  <c r="L4" i="9" s="1"/>
  <c r="W7" i="9" a="1"/>
  <c r="W7" i="9" s="1"/>
  <c r="AF7" i="9" a="1"/>
  <c r="AF7" i="9" s="1"/>
  <c r="X11" i="9" a="1"/>
  <c r="X11" i="9" s="1"/>
  <c r="X12" i="9" s="1"/>
  <c r="X13" i="9" s="1"/>
  <c r="X14" i="9" s="1"/>
  <c r="X15" i="9" s="1"/>
  <c r="AE3" i="9" a="1"/>
  <c r="AE3" i="9" s="1"/>
  <c r="V10" i="9" a="1"/>
  <c r="V10" i="9" s="1"/>
  <c r="J6" i="9" a="1"/>
  <c r="J6" i="9" s="1"/>
  <c r="J8" i="9" a="1"/>
  <c r="J8" i="9" s="1"/>
  <c r="J4" i="9" a="1"/>
  <c r="J4" i="9" s="1"/>
  <c r="J9" i="9" a="1"/>
  <c r="J9" i="9" s="1"/>
  <c r="J3" i="9" a="1"/>
  <c r="J3" i="9" s="1"/>
  <c r="J5" i="9" a="1"/>
  <c r="J5" i="9" s="1"/>
  <c r="J7" i="9" a="1"/>
  <c r="J7" i="9" s="1"/>
  <c r="J10" i="9" a="1"/>
  <c r="J10" i="9" s="1"/>
  <c r="J11" i="9" a="1"/>
  <c r="J11" i="9" s="1"/>
  <c r="I7" i="9" a="1"/>
  <c r="I7" i="9" s="1"/>
  <c r="I10" i="9" a="1"/>
  <c r="I10" i="9" s="1"/>
  <c r="I6" i="9" a="1"/>
  <c r="I6" i="9" s="1"/>
  <c r="I8" i="9" a="1"/>
  <c r="I8" i="9" s="1"/>
  <c r="I11" i="9" a="1"/>
  <c r="I11" i="9" s="1"/>
  <c r="I12" i="9" s="1"/>
  <c r="I13" i="9" s="1"/>
  <c r="I14" i="9" s="1"/>
  <c r="I15" i="9" s="1"/>
  <c r="I16" i="9" s="1"/>
  <c r="I17" i="9" s="1"/>
  <c r="I5" i="9" a="1"/>
  <c r="I5" i="9" s="1"/>
  <c r="I4" i="9" a="1"/>
  <c r="I4" i="9" s="1"/>
  <c r="I9" i="9" a="1"/>
  <c r="I9" i="9" s="1"/>
  <c r="I3" i="9" a="1"/>
  <c r="I3" i="9" s="1"/>
  <c r="G8" i="9" a="1"/>
  <c r="G8" i="9" s="1"/>
  <c r="E7" i="9" a="1"/>
  <c r="E7" i="9" s="1"/>
  <c r="E5" i="9" a="1"/>
  <c r="E5" i="9" s="1"/>
  <c r="E6" i="9" a="1"/>
  <c r="E6" i="9" s="1"/>
  <c r="E8" i="9" a="1"/>
  <c r="E8" i="9" s="1"/>
  <c r="H4" i="9" a="1"/>
  <c r="H4" i="9" s="1"/>
  <c r="G6" i="9" a="1"/>
  <c r="G6" i="9" s="1"/>
  <c r="E11" i="9" a="1"/>
  <c r="E11" i="9" s="1"/>
  <c r="E3" i="9" a="1"/>
  <c r="E3" i="9" s="1"/>
  <c r="G3" i="9" a="1"/>
  <c r="G3" i="9" s="1"/>
  <c r="G11" i="9" a="1"/>
  <c r="G11" i="9" s="1"/>
  <c r="H7" i="9" a="1"/>
  <c r="H7" i="9" s="1"/>
  <c r="G7" i="9" a="1"/>
  <c r="G7" i="9" s="1"/>
  <c r="F7" i="9" a="1"/>
  <c r="F7" i="9" s="1"/>
  <c r="F9" i="9" a="1"/>
  <c r="F9" i="9" s="1"/>
  <c r="G10" i="9" a="1"/>
  <c r="G10" i="9" s="1"/>
  <c r="G4" i="9" a="1"/>
  <c r="G4" i="9" s="1"/>
  <c r="F10" i="9" a="1"/>
  <c r="F10" i="9" s="1"/>
  <c r="G5" i="9" a="1"/>
  <c r="G5" i="9" s="1"/>
  <c r="F11" i="9" a="1"/>
  <c r="F11" i="9" s="1"/>
  <c r="F8" i="9" a="1"/>
  <c r="F8" i="9" s="1"/>
  <c r="H8" i="9" a="1"/>
  <c r="H8" i="9" s="1"/>
  <c r="E9" i="9" a="1"/>
  <c r="E9" i="9" s="1"/>
  <c r="F5" i="9" a="1"/>
  <c r="F5" i="9" s="1"/>
  <c r="H3" i="9" a="1"/>
  <c r="H3" i="9" s="1"/>
  <c r="G9" i="9" a="1"/>
  <c r="G9" i="9" s="1"/>
  <c r="E4" i="9" a="1"/>
  <c r="E4" i="9" s="1"/>
  <c r="H10" i="9" a="1"/>
  <c r="H10" i="9" s="1"/>
  <c r="F6" i="9" a="1"/>
  <c r="F6" i="9" s="1"/>
  <c r="E10" i="9" a="1"/>
  <c r="E10" i="9" s="1"/>
  <c r="H11" i="9" a="1"/>
  <c r="H11" i="9" s="1"/>
  <c r="F3" i="9" a="1"/>
  <c r="F3" i="9" s="1"/>
  <c r="H5" i="9" a="1"/>
  <c r="H5" i="9" s="1"/>
  <c r="H9" i="9" a="1"/>
  <c r="H9" i="9" s="1"/>
  <c r="H6" i="9" a="1"/>
  <c r="H6" i="9" s="1"/>
  <c r="F4" i="9" a="1"/>
  <c r="F4" i="9" s="1"/>
  <c r="F2" i="1"/>
  <c r="E2" i="1"/>
  <c r="L7" i="7" a="1"/>
  <c r="L7" i="7" s="1"/>
  <c r="J7" i="7" a="1"/>
  <c r="J7" i="7" s="1"/>
  <c r="K3" i="7" a="1"/>
  <c r="K3" i="7" s="1"/>
  <c r="M9" i="7" a="1"/>
  <c r="M9" i="7" s="1"/>
  <c r="K8" i="7" a="1"/>
  <c r="K8" i="7" s="1"/>
  <c r="L10" i="7" a="1"/>
  <c r="L10" i="7" s="1"/>
  <c r="L8" i="7" a="1"/>
  <c r="L8" i="7" s="1"/>
  <c r="M4" i="7" a="1"/>
  <c r="M4" i="7" s="1"/>
  <c r="L6" i="7" a="1"/>
  <c r="L6" i="7" s="1"/>
  <c r="J9" i="7" a="1"/>
  <c r="J9" i="7" s="1"/>
  <c r="J11" i="7" a="1"/>
  <c r="J11" i="7" s="1"/>
  <c r="J12" i="7" s="1"/>
  <c r="J13" i="7" s="1"/>
  <c r="J4" i="7" a="1"/>
  <c r="J4" i="7" s="1"/>
  <c r="J10" i="7" a="1"/>
  <c r="J10" i="7" s="1"/>
  <c r="M8" i="7" a="1"/>
  <c r="M8" i="7" s="1"/>
  <c r="J8" i="7" a="1"/>
  <c r="J8" i="7" s="1"/>
  <c r="M11" i="7" a="1"/>
  <c r="M11" i="7" s="1"/>
  <c r="K7" i="7" a="1"/>
  <c r="K7" i="7" s="1"/>
  <c r="K5" i="7" a="1"/>
  <c r="K5" i="7" s="1"/>
  <c r="L11" i="7" a="1"/>
  <c r="L11" i="7" s="1"/>
  <c r="M6" i="7" a="1"/>
  <c r="M6" i="7" s="1"/>
  <c r="J6" i="7" a="1"/>
  <c r="J6" i="7" s="1"/>
  <c r="L5" i="7" a="1"/>
  <c r="L5" i="7" s="1"/>
  <c r="M3" i="7" a="1"/>
  <c r="M3" i="7" s="1"/>
  <c r="K10" i="7" a="1"/>
  <c r="K10" i="7" s="1"/>
  <c r="K11" i="7" a="1"/>
  <c r="K11" i="7" s="1"/>
  <c r="M7" i="7" a="1"/>
  <c r="M7" i="7" s="1"/>
  <c r="J5" i="7" a="1"/>
  <c r="J5" i="7" s="1"/>
  <c r="K6" i="7" a="1"/>
  <c r="K6" i="7" s="1"/>
  <c r="K9" i="7" a="1"/>
  <c r="K9" i="7" s="1"/>
  <c r="M10" i="7" a="1"/>
  <c r="M10" i="7" s="1"/>
  <c r="L9" i="7" a="1"/>
  <c r="L9" i="7" s="1"/>
  <c r="L3" i="7" a="1"/>
  <c r="L3" i="7" s="1"/>
  <c r="M5" i="7" a="1"/>
  <c r="M5" i="7" s="1"/>
  <c r="K4" i="7" a="1"/>
  <c r="K4" i="7" s="1"/>
  <c r="J3" i="7" a="1"/>
  <c r="J3" i="7" s="1"/>
  <c r="L4" i="7" a="1"/>
  <c r="L4" i="7" s="1"/>
  <c r="W9" i="7" a="1"/>
  <c r="W9" i="7" s="1"/>
  <c r="W10" i="7" a="1"/>
  <c r="W10" i="7" s="1"/>
  <c r="W5" i="7" a="1"/>
  <c r="W5" i="7" s="1"/>
  <c r="W6" i="7" a="1"/>
  <c r="W6" i="7" s="1"/>
  <c r="Y4" i="7" a="1"/>
  <c r="Y4" i="7" s="1"/>
  <c r="Z7" i="7" a="1"/>
  <c r="Z7" i="7" s="1"/>
  <c r="Z11" i="7" a="1"/>
  <c r="Z11" i="7" s="1"/>
  <c r="AA4" i="7" a="1"/>
  <c r="AA4" i="7" s="1"/>
  <c r="X6" i="7" a="1"/>
  <c r="X6" i="7" s="1"/>
  <c r="W11" i="7" a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X4" i="7" a="1"/>
  <c r="X4" i="7" s="1"/>
  <c r="Z3" i="7" a="1"/>
  <c r="Z3" i="7" s="1"/>
  <c r="Y7" i="7" a="1"/>
  <c r="Y7" i="7" s="1"/>
  <c r="X5" i="7" a="1"/>
  <c r="X5" i="7" s="1"/>
  <c r="Z9" i="7" a="1"/>
  <c r="Z9" i="7" s="1"/>
  <c r="AA3" i="7" a="1"/>
  <c r="AA3" i="7" s="1"/>
  <c r="Z10" i="7" a="1"/>
  <c r="Z10" i="7" s="1"/>
  <c r="X3" i="7" a="1"/>
  <c r="X3" i="7" s="1"/>
  <c r="AA10" i="7" a="1"/>
  <c r="AA10" i="7" s="1"/>
  <c r="X11" i="7" a="1"/>
  <c r="X11" i="7" s="1"/>
  <c r="W8" i="7" a="1"/>
  <c r="W8" i="7" s="1"/>
  <c r="X10" i="7" a="1"/>
  <c r="X10" i="7" s="1"/>
  <c r="Y6" i="7" a="1"/>
  <c r="Y6" i="7" s="1"/>
  <c r="Y11" i="7" a="1"/>
  <c r="Y11" i="7" s="1"/>
  <c r="AA6" i="7" a="1"/>
  <c r="AA6" i="7" s="1"/>
  <c r="X9" i="7" a="1"/>
  <c r="X9" i="7" s="1"/>
  <c r="Z8" i="7" a="1"/>
  <c r="Z8" i="7" s="1"/>
  <c r="Y10" i="7" a="1"/>
  <c r="Y10" i="7" s="1"/>
  <c r="Z5" i="7" a="1"/>
  <c r="Z5" i="7" s="1"/>
  <c r="X7" i="7" a="1"/>
  <c r="X7" i="7" s="1"/>
  <c r="AA9" i="7" a="1"/>
  <c r="AA9" i="7" s="1"/>
  <c r="Y8" i="7" a="1"/>
  <c r="Y8" i="7" s="1"/>
  <c r="Y9" i="7" a="1"/>
  <c r="Y9" i="7" s="1"/>
  <c r="X8" i="7" a="1"/>
  <c r="X8" i="7" s="1"/>
  <c r="W4" i="7" a="1"/>
  <c r="W4" i="7" s="1"/>
  <c r="AA7" i="7" a="1"/>
  <c r="AA7" i="7" s="1"/>
  <c r="AA8" i="7" a="1"/>
  <c r="AA8" i="7" s="1"/>
  <c r="AA11" i="7" a="1"/>
  <c r="AA11" i="7" s="1"/>
  <c r="Y3" i="7" a="1"/>
  <c r="Y3" i="7" s="1"/>
  <c r="W3" i="7" a="1"/>
  <c r="W3" i="7" s="1"/>
  <c r="AA5" i="7" a="1"/>
  <c r="AA5" i="7" s="1"/>
  <c r="Z6" i="7" a="1"/>
  <c r="Z6" i="7" s="1"/>
  <c r="Y5" i="7" a="1"/>
  <c r="Y5" i="7" s="1"/>
  <c r="W7" i="7" a="1"/>
  <c r="W7" i="7" s="1"/>
  <c r="Z4" i="7" a="1"/>
  <c r="Z4" i="7" s="1"/>
  <c r="C10" i="9" a="1"/>
  <c r="C10" i="9" s="1"/>
  <c r="F7" i="7" a="1"/>
  <c r="F7" i="7" s="1"/>
  <c r="F3" i="7" a="1"/>
  <c r="F3" i="7" s="1"/>
  <c r="D3" i="7" a="1"/>
  <c r="D3" i="7" s="1"/>
  <c r="D6" i="7" a="1"/>
  <c r="D6" i="7" s="1"/>
  <c r="E11" i="7" a="1"/>
  <c r="E11" i="7" s="1"/>
  <c r="F10" i="7" a="1"/>
  <c r="F10" i="7" s="1"/>
  <c r="C7" i="7" a="1"/>
  <c r="C7" i="7" s="1"/>
  <c r="E8" i="7" a="1"/>
  <c r="E8" i="7" s="1"/>
  <c r="F8" i="7" a="1"/>
  <c r="F8" i="7" s="1"/>
  <c r="C10" i="7" a="1"/>
  <c r="C10" i="7" s="1"/>
  <c r="C6" i="7" a="1"/>
  <c r="C6" i="7" s="1"/>
  <c r="D6" i="9" a="1"/>
  <c r="D6" i="9" s="1"/>
  <c r="D3" i="9" a="1"/>
  <c r="D3" i="9" s="1"/>
  <c r="D5" i="9" a="1"/>
  <c r="D5" i="9" s="1"/>
  <c r="D4" i="9" a="1"/>
  <c r="D4" i="9" s="1"/>
  <c r="C5" i="9" a="1"/>
  <c r="C5" i="9" s="1"/>
  <c r="D11" i="7" a="1"/>
  <c r="D11" i="7" s="1"/>
  <c r="G8" i="7" a="1"/>
  <c r="G8" i="7" s="1"/>
  <c r="G3" i="7" a="1"/>
  <c r="G3" i="7" s="1"/>
  <c r="F9" i="7" a="1"/>
  <c r="F9" i="7" s="1"/>
  <c r="G11" i="7" a="1"/>
  <c r="G11" i="7" s="1"/>
  <c r="C11" i="7" a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G10" i="7" a="1"/>
  <c r="G10" i="7" s="1"/>
  <c r="D9" i="9" a="1"/>
  <c r="D9" i="9" s="1"/>
  <c r="C9" i="9" a="1"/>
  <c r="C9" i="9" s="1"/>
  <c r="D8" i="7" a="1"/>
  <c r="D8" i="7" s="1"/>
  <c r="E4" i="7" a="1"/>
  <c r="E4" i="7" s="1"/>
  <c r="G5" i="7" a="1"/>
  <c r="G5" i="7" s="1"/>
  <c r="E7" i="7" a="1"/>
  <c r="E7" i="7" s="1"/>
  <c r="F5" i="7" a="1"/>
  <c r="F5" i="7" s="1"/>
  <c r="F4" i="7" a="1"/>
  <c r="F4" i="7" s="1"/>
  <c r="G4" i="7" a="1"/>
  <c r="G4" i="7" s="1"/>
  <c r="C4" i="7" a="1"/>
  <c r="C4" i="7" s="1"/>
  <c r="E9" i="7" a="1"/>
  <c r="E9" i="7" s="1"/>
  <c r="C8" i="9" a="1"/>
  <c r="C8" i="9" s="1"/>
  <c r="D7" i="9" a="1"/>
  <c r="D7" i="9" s="1"/>
  <c r="D8" i="9" a="1"/>
  <c r="D8" i="9" s="1"/>
  <c r="C4" i="9" a="1"/>
  <c r="C4" i="9" s="1"/>
  <c r="E5" i="7" a="1"/>
  <c r="E5" i="7" s="1"/>
  <c r="G9" i="7" a="1"/>
  <c r="G9" i="7" s="1"/>
  <c r="D9" i="7" a="1"/>
  <c r="D9" i="7" s="1"/>
  <c r="D4" i="7" a="1"/>
  <c r="D4" i="7" s="1"/>
  <c r="F6" i="7" a="1"/>
  <c r="F6" i="7" s="1"/>
  <c r="D11" i="9" a="1"/>
  <c r="D11" i="9" s="1"/>
  <c r="C7" i="9" a="1"/>
  <c r="C7" i="9" s="1"/>
  <c r="D7" i="7" a="1"/>
  <c r="D7" i="7" s="1"/>
  <c r="E10" i="7" a="1"/>
  <c r="E10" i="7" s="1"/>
  <c r="E3" i="7" a="1"/>
  <c r="E3" i="7" s="1"/>
  <c r="C11" i="9" a="1"/>
  <c r="C11" i="9" s="1"/>
  <c r="C12" i="9" s="1"/>
  <c r="C13" i="9" s="1"/>
  <c r="C14" i="9" s="1"/>
  <c r="C15" i="9" s="1"/>
  <c r="C16" i="9" s="1"/>
  <c r="C17" i="9" s="1"/>
  <c r="C3" i="9" a="1"/>
  <c r="C3" i="9" s="1"/>
  <c r="D10" i="9" a="1"/>
  <c r="D10" i="9" s="1"/>
  <c r="C6" i="9" a="1"/>
  <c r="C6" i="9" s="1"/>
  <c r="E6" i="7" a="1"/>
  <c r="E6" i="7" s="1"/>
  <c r="G6" i="7" a="1"/>
  <c r="G6" i="7" s="1"/>
  <c r="D10" i="7" a="1"/>
  <c r="D10" i="7" s="1"/>
  <c r="G7" i="7" a="1"/>
  <c r="G7" i="7" s="1"/>
  <c r="D5" i="7" a="1"/>
  <c r="D5" i="7" s="1"/>
  <c r="F11" i="7" a="1"/>
  <c r="F11" i="7" s="1"/>
  <c r="C9" i="7" a="1"/>
  <c r="C9" i="7" s="1"/>
  <c r="C8" i="7" a="1"/>
  <c r="C8" i="7" s="1"/>
  <c r="C5" i="7" a="1"/>
  <c r="C5" i="7" s="1"/>
  <c r="C3" i="7" a="1"/>
  <c r="C3" i="7" s="1"/>
  <c r="C45" i="7" l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8" i="7" s="1"/>
  <c r="C46" i="7"/>
  <c r="BY3" i="9" a="1"/>
  <c r="BY3" i="9" s="1"/>
  <c r="BY5" i="9" a="1"/>
  <c r="BY5" i="9" s="1"/>
  <c r="BY6" i="9" a="1"/>
  <c r="BY6" i="9" s="1"/>
  <c r="BY10" i="9" a="1"/>
  <c r="BY10" i="9" s="1"/>
  <c r="BY11" i="9" a="1"/>
  <c r="BY11" i="9" s="1"/>
  <c r="BY8" i="9" a="1"/>
  <c r="BY8" i="9" s="1"/>
  <c r="BY7" i="9" a="1"/>
  <c r="BY7" i="9" s="1"/>
  <c r="BY4" i="9" a="1"/>
  <c r="BY4" i="9" s="1"/>
  <c r="BY9" i="9" a="1"/>
  <c r="BY9" i="9" s="1"/>
  <c r="BZ1" i="9"/>
  <c r="BZ2" i="9" s="1"/>
  <c r="C57" i="7" l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A1" i="9"/>
  <c r="BZ10" i="9" a="1"/>
  <c r="BZ10" i="9" s="1"/>
  <c r="BZ3" i="9" a="1"/>
  <c r="BZ3" i="9" s="1"/>
  <c r="BZ9" i="9" a="1"/>
  <c r="BZ9" i="9" s="1"/>
  <c r="BZ5" i="9" a="1"/>
  <c r="BZ5" i="9" s="1"/>
  <c r="BZ8" i="9" a="1"/>
  <c r="BZ8" i="9" s="1"/>
  <c r="BZ4" i="9" a="1"/>
  <c r="BZ4" i="9" s="1"/>
  <c r="BZ11" i="9" a="1"/>
  <c r="BZ11" i="9" s="1"/>
  <c r="BZ6" i="9" a="1"/>
  <c r="BZ6" i="9" s="1"/>
  <c r="BZ7" i="9" a="1"/>
  <c r="BZ7" i="9" s="1"/>
  <c r="CA2" i="9" l="1"/>
  <c r="CB1" i="9"/>
  <c r="CC1" i="9" s="1"/>
  <c r="CA7" i="9" a="1"/>
  <c r="CA7" i="9" s="1"/>
  <c r="CA5" i="9" a="1"/>
  <c r="CA5" i="9" s="1"/>
  <c r="CA9" i="9" a="1"/>
  <c r="CA9" i="9" s="1"/>
  <c r="CA4" i="9" a="1"/>
  <c r="CA4" i="9" s="1"/>
  <c r="CA10" i="9" a="1"/>
  <c r="CA10" i="9" s="1"/>
  <c r="CA3" i="9" a="1"/>
  <c r="CA3" i="9" s="1"/>
  <c r="CA8" i="9" a="1"/>
  <c r="CA8" i="9" s="1"/>
  <c r="CA6" i="9" a="1"/>
  <c r="CA6" i="9" s="1"/>
  <c r="CA11" i="9" a="1"/>
  <c r="CA11" i="9" s="1"/>
  <c r="CD1" i="9" l="1"/>
  <c r="CB2" i="9"/>
  <c r="CC2" i="9" s="1"/>
  <c r="CB7" i="9" a="1"/>
  <c r="CB7" i="9" s="1"/>
  <c r="CB11" i="9" a="1"/>
  <c r="CB11" i="9" s="1"/>
  <c r="CB6" i="9" a="1"/>
  <c r="CB6" i="9" s="1"/>
  <c r="CB5" i="9" a="1"/>
  <c r="CB5" i="9" s="1"/>
  <c r="CB8" i="9" a="1"/>
  <c r="CB8" i="9" s="1"/>
  <c r="CB3" i="9" a="1"/>
  <c r="CB3" i="9" s="1"/>
  <c r="CB9" i="9" a="1"/>
  <c r="CB9" i="9" s="1"/>
  <c r="CB10" i="9" a="1"/>
  <c r="CB10" i="9" s="1"/>
  <c r="CB4" i="9" a="1"/>
  <c r="CB4" i="9" s="1"/>
  <c r="CC9" i="9" l="1" a="1"/>
  <c r="CC9" i="9" s="1"/>
  <c r="CC3" i="9" a="1"/>
  <c r="CC3" i="9" s="1"/>
  <c r="CC11" i="9" a="1"/>
  <c r="CC11" i="9" s="1"/>
  <c r="CC8" i="9" a="1"/>
  <c r="CC8" i="9" s="1"/>
  <c r="CC5" i="9" a="1"/>
  <c r="CC5" i="9" s="1"/>
  <c r="CC10" i="9" a="1"/>
  <c r="CC10" i="9" s="1"/>
  <c r="CC7" i="9" a="1"/>
  <c r="CC7" i="9" s="1"/>
  <c r="CC6" i="9" a="1"/>
  <c r="CC6" i="9" s="1"/>
  <c r="CC4" i="9" a="1"/>
  <c r="CC4" i="9" s="1"/>
  <c r="CD2" i="9"/>
  <c r="CD6" i="9" s="1" a="1"/>
  <c r="CD6" i="9" s="1"/>
  <c r="CE1" i="9"/>
  <c r="CD8" i="9" a="1"/>
  <c r="CD8" i="9" s="1"/>
  <c r="CD11" i="9" a="1"/>
  <c r="CD11" i="9" s="1"/>
  <c r="CD5" i="9" a="1"/>
  <c r="CD5" i="9" s="1"/>
  <c r="CD9" i="9" l="1" a="1"/>
  <c r="CD9" i="9" s="1"/>
  <c r="CD3" i="9" a="1"/>
  <c r="CD3" i="9" s="1"/>
  <c r="CD7" i="9" a="1"/>
  <c r="CD7" i="9" s="1"/>
  <c r="CD10" i="9" a="1"/>
  <c r="CD10" i="9" s="1"/>
  <c r="CE2" i="9"/>
  <c r="CD4" i="9" a="1"/>
  <c r="CD4" i="9" s="1"/>
  <c r="CF1" i="9"/>
  <c r="CF2" i="9"/>
  <c r="CE11" i="9" a="1"/>
  <c r="CE11" i="9" s="1"/>
  <c r="CE5" i="9" a="1"/>
  <c r="CE5" i="9" s="1"/>
  <c r="CE7" i="9" a="1"/>
  <c r="CE7" i="9" s="1"/>
  <c r="CE8" i="9" a="1"/>
  <c r="CE8" i="9" s="1"/>
  <c r="CE3" i="9" a="1"/>
  <c r="CE3" i="9" s="1"/>
  <c r="CE9" i="9" a="1"/>
  <c r="CE9" i="9" s="1"/>
  <c r="CE10" i="9" a="1"/>
  <c r="CE10" i="9" s="1"/>
  <c r="CE4" i="9" a="1"/>
  <c r="CE4" i="9" s="1"/>
  <c r="CE6" i="9" a="1"/>
  <c r="CE6" i="9" s="1"/>
  <c r="CG1" i="9" l="1"/>
  <c r="CF4" i="9" a="1"/>
  <c r="CF4" i="9" s="1"/>
  <c r="CF6" i="9" a="1"/>
  <c r="CF6" i="9" s="1"/>
  <c r="CF11" i="9" a="1"/>
  <c r="CF11" i="9" s="1"/>
  <c r="CF10" i="9" a="1"/>
  <c r="CF10" i="9" s="1"/>
  <c r="CF7" i="9" a="1"/>
  <c r="CF7" i="9" s="1"/>
  <c r="CF8" i="9" a="1"/>
  <c r="CF8" i="9" s="1"/>
  <c r="CF9" i="9" a="1"/>
  <c r="CF9" i="9" s="1"/>
  <c r="CF3" i="9" a="1"/>
  <c r="CF3" i="9" s="1"/>
  <c r="CF5" i="9" a="1"/>
  <c r="CF5" i="9" s="1"/>
  <c r="CH1" i="9" l="1"/>
  <c r="CG3" i="9" a="1"/>
  <c r="CG3" i="9" s="1"/>
  <c r="CG4" i="9" a="1"/>
  <c r="CG4" i="9" s="1"/>
  <c r="CG7" i="9" a="1"/>
  <c r="CG7" i="9" s="1"/>
  <c r="CG5" i="9" a="1"/>
  <c r="CG5" i="9" s="1"/>
  <c r="CG6" i="9" a="1"/>
  <c r="CG6" i="9" s="1"/>
  <c r="CG8" i="9" a="1"/>
  <c r="CG8" i="9" s="1"/>
  <c r="CG2" i="9"/>
  <c r="CG10" i="9" s="1" a="1"/>
  <c r="CG10" i="9" s="1"/>
  <c r="CG11" i="9" l="1" a="1"/>
  <c r="CG11" i="9" s="1"/>
  <c r="CG9" i="9" a="1"/>
  <c r="CG9" i="9" s="1"/>
  <c r="CI1" i="9"/>
  <c r="CH10" i="9" a="1"/>
  <c r="CH10" i="9" s="1"/>
  <c r="CH3" i="9" a="1"/>
  <c r="CH3" i="9" s="1"/>
  <c r="CH11" i="9" a="1"/>
  <c r="CH11" i="9" s="1"/>
  <c r="CH7" i="9" a="1"/>
  <c r="CH7" i="9" s="1"/>
  <c r="CH4" i="9" a="1"/>
  <c r="CH4" i="9" s="1"/>
  <c r="CH2" i="9"/>
  <c r="CH5" i="9" s="1" a="1"/>
  <c r="CH5" i="9" s="1"/>
  <c r="CH6" i="9" l="1" a="1"/>
  <c r="CH6" i="9" s="1"/>
  <c r="CH8" i="9" a="1"/>
  <c r="CH8" i="9" s="1"/>
  <c r="CH9" i="9" a="1"/>
  <c r="CH9" i="9" s="1"/>
  <c r="CI2" i="9"/>
  <c r="CJ1" i="9"/>
  <c r="CJ2" i="9" s="1"/>
  <c r="CI5" i="9" a="1"/>
  <c r="CI5" i="9" s="1"/>
  <c r="CI3" i="9" a="1"/>
  <c r="CI3" i="9" s="1"/>
  <c r="CI9" i="9" a="1"/>
  <c r="CI9" i="9" s="1"/>
  <c r="CI11" i="9" a="1"/>
  <c r="CI11" i="9" s="1"/>
  <c r="CI6" i="9" a="1"/>
  <c r="CI6" i="9" s="1"/>
  <c r="CI4" i="9" a="1"/>
  <c r="CI4" i="9" s="1"/>
  <c r="CI7" i="9" a="1"/>
  <c r="CI7" i="9" s="1"/>
  <c r="CI10" i="9" a="1"/>
  <c r="CI10" i="9" s="1"/>
  <c r="CI8" i="9" a="1"/>
  <c r="CI8" i="9" s="1"/>
  <c r="CK1" i="9" l="1"/>
  <c r="CJ3" i="9" a="1"/>
  <c r="CJ3" i="9" s="1"/>
  <c r="CJ5" i="9" a="1"/>
  <c r="CJ5" i="9" s="1"/>
  <c r="CJ8" i="9" a="1"/>
  <c r="CJ8" i="9" s="1"/>
  <c r="CJ6" i="9" a="1"/>
  <c r="CJ6" i="9" s="1"/>
  <c r="CJ11" i="9" a="1"/>
  <c r="CJ11" i="9" s="1"/>
  <c r="CJ9" i="9" a="1"/>
  <c r="CJ9" i="9" s="1"/>
  <c r="CJ7" i="9" a="1"/>
  <c r="CJ7" i="9" s="1"/>
  <c r="CJ4" i="9" a="1"/>
  <c r="CJ4" i="9" s="1"/>
  <c r="CJ10" i="9" a="1"/>
  <c r="CJ10" i="9" s="1"/>
  <c r="CL1" i="9" l="1"/>
  <c r="CK7" i="9" a="1"/>
  <c r="CK7" i="9" s="1"/>
  <c r="CK6" i="9" a="1"/>
  <c r="CK6" i="9" s="1"/>
  <c r="CK4" i="9" a="1"/>
  <c r="CK4" i="9" s="1"/>
  <c r="CK9" i="9" a="1"/>
  <c r="CK9" i="9" s="1"/>
  <c r="CK11" i="9" a="1"/>
  <c r="CK11" i="9" s="1"/>
  <c r="CK3" i="9" a="1"/>
  <c r="CK3" i="9" s="1"/>
  <c r="CK10" i="9" a="1"/>
  <c r="CK10" i="9" s="1"/>
  <c r="CK2" i="9"/>
  <c r="CK8" i="9" s="1" a="1"/>
  <c r="CK8" i="9" s="1"/>
  <c r="CK5" i="9" l="1" a="1"/>
  <c r="CK5" i="9" s="1"/>
  <c r="CL2" i="9"/>
  <c r="CM1" i="9"/>
  <c r="CN2" i="9" s="1"/>
  <c r="CL6" i="9" a="1"/>
  <c r="CL6" i="9" s="1"/>
  <c r="CL10" i="9" a="1"/>
  <c r="CL10" i="9" s="1"/>
  <c r="CL7" i="9" a="1"/>
  <c r="CL7" i="9" s="1"/>
  <c r="CL3" i="9" a="1"/>
  <c r="CL3" i="9" s="1"/>
  <c r="CL5" i="9" a="1"/>
  <c r="CL5" i="9" s="1"/>
  <c r="CL9" i="9" a="1"/>
  <c r="CL9" i="9" s="1"/>
  <c r="CL4" i="9" a="1"/>
  <c r="CL4" i="9" s="1"/>
  <c r="CL8" i="9" a="1"/>
  <c r="CL8" i="9" s="1"/>
  <c r="CL11" i="9" a="1"/>
  <c r="CL11" i="9" s="1"/>
  <c r="CO2" i="9" l="1"/>
  <c r="CN3" i="9" a="1"/>
  <c r="CN3" i="9" s="1"/>
  <c r="CN8" i="9" a="1"/>
  <c r="CN8" i="9" s="1"/>
  <c r="CN5" i="9" a="1"/>
  <c r="CN5" i="9" s="1"/>
  <c r="CN9" i="9" a="1"/>
  <c r="CN9" i="9" s="1"/>
  <c r="CN6" i="9" a="1"/>
  <c r="CN6" i="9" s="1"/>
  <c r="CN4" i="9" a="1"/>
  <c r="CN4" i="9" s="1"/>
  <c r="CN7" i="9" a="1"/>
  <c r="CN7" i="9" s="1"/>
  <c r="CN11" i="9" a="1"/>
  <c r="CN11" i="9" s="1"/>
  <c r="CN12" i="9" s="1"/>
  <c r="CN13" i="9" s="1"/>
  <c r="CN14" i="9" s="1"/>
  <c r="CN10" i="9" a="1"/>
  <c r="CN10" i="9" s="1"/>
  <c r="CM2" i="9"/>
  <c r="CM9" i="9" a="1"/>
  <c r="CM9" i="9" s="1"/>
  <c r="CM4" i="9" a="1"/>
  <c r="CM4" i="9" s="1"/>
  <c r="CM10" i="9" a="1"/>
  <c r="CM10" i="9" s="1"/>
  <c r="CM6" i="9" a="1"/>
  <c r="CM6" i="9" s="1"/>
  <c r="CM8" i="9" a="1"/>
  <c r="CM8" i="9" s="1"/>
  <c r="CM3" i="9" a="1"/>
  <c r="CM3" i="9" s="1"/>
  <c r="CM7" i="9" a="1"/>
  <c r="CM7" i="9" s="1"/>
  <c r="CM11" i="9" a="1"/>
  <c r="CM11" i="9" s="1"/>
  <c r="CM5" i="9" a="1"/>
  <c r="CM5" i="9" s="1"/>
  <c r="CP2" i="9" l="1"/>
  <c r="CO4" i="9" a="1"/>
  <c r="CO4" i="9" s="1"/>
  <c r="CO11" i="9" a="1"/>
  <c r="CO11" i="9" s="1"/>
  <c r="CO9" i="9" a="1"/>
  <c r="CO9" i="9" s="1"/>
  <c r="CO10" i="9" a="1"/>
  <c r="CO10" i="9" s="1"/>
  <c r="CO3" i="9" a="1"/>
  <c r="CO3" i="9" s="1"/>
  <c r="CO7" i="9" a="1"/>
  <c r="CO7" i="9" s="1"/>
  <c r="CO5" i="9" a="1"/>
  <c r="CO5" i="9" s="1"/>
  <c r="CO6" i="9" a="1"/>
  <c r="CO6" i="9" s="1"/>
  <c r="CO8" i="9" a="1"/>
  <c r="CO8" i="9" s="1"/>
  <c r="CP6" i="9" l="1" a="1"/>
  <c r="CP6" i="9" s="1"/>
  <c r="CP7" i="9" a="1"/>
  <c r="CP7" i="9" s="1"/>
  <c r="CP9" i="9" a="1"/>
  <c r="CP9" i="9" s="1"/>
  <c r="CP11" i="9" a="1"/>
  <c r="CP11" i="9" s="1"/>
  <c r="CP3" i="9" a="1"/>
  <c r="CP3" i="9" s="1"/>
  <c r="CP5" i="9" a="1"/>
  <c r="CP5" i="9" s="1"/>
  <c r="CP4" i="9" a="1"/>
  <c r="CP4" i="9" s="1"/>
  <c r="CP10" i="9" a="1"/>
  <c r="CP10" i="9" s="1"/>
  <c r="CP8" i="9" a="1"/>
  <c r="CP8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<sst xmlns="http://schemas.openxmlformats.org/spreadsheetml/2006/main" count="2730" uniqueCount="826">
  <si>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</si>
  <si>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</si>
  <si>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</si>
  <si>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</si>
  <si>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</si>
  <si>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</si>
  <si>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</si>
  <si>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</si>
  <si>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</si>
  <si>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</si>
  <si>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</si>
  <si>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</si>
  <si>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</si>
  <si>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</si>
  <si>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</si>
  <si>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</si>
  <si>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</si>
  <si>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</si>
  <si>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</si>
  <si>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</si>
  <si>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</si>
  <si>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</si>
  <si>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</si>
  <si>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</si>
  <si>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</si>
  <si>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</si>
  <si>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</si>
  <si>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</si>
  <si>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</si>
  <si>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</si>
  <si>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</si>
  <si>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</si>
  <si>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</si>
  <si>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</si>
  <si>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</si>
  <si>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</si>
  <si>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</si>
  <si>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</si>
  <si>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</si>
  <si>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</si>
  <si>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</si>
  <si>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</si>
  <si>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</si>
  <si>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</si>
  <si>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</si>
  <si>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</si>
  <si>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</si>
  <si>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uuid</t>
  </si>
  <si>
    <t>x</t>
  </si>
  <si>
    <t>vtuber_profiles_id</t>
  </si>
  <si>
    <t>VプロフィールID</t>
  </si>
  <si>
    <t>varchar(8)</t>
  </si>
  <si>
    <t>自動払い出し</t>
  </si>
  <si>
    <t>user_id</t>
  </si>
  <si>
    <t>ユーザーID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</si>
  <si>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</si>
  <si>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</si>
  <si>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</si>
  <si>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</si>
  <si>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</si>
  <si>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</si>
  <si>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</si>
  <si>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</si>
  <si>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</si>
  <si>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</si>
  <si>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</si>
  <si>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</si>
  <si>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</si>
  <si>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</si>
  <si>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</si>
  <si>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</si>
  <si>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</si>
  <si>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</si>
  <si>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</si>
  <si>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</si>
  <si>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</si>
  <si>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</si>
  <si>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</si>
  <si>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</si>
  <si>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</si>
  <si>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</si>
  <si>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</si>
  <si>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</si>
  <si>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</si>
  <si>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</si>
  <si>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</si>
  <si>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</si>
  <si>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</si>
  <si>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</si>
  <si>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</si>
  <si>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</si>
  <si>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</si>
  <si>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</si>
  <si>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</si>
  <si>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</si>
  <si>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</si>
  <si>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</si>
  <si>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</si>
  <si>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</si>
  <si>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</si>
  <si>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</si>
  <si>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</si>
  <si>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</si>
  <si>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</si>
  <si>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</si>
  <si>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</si>
  <si>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</si>
  <si>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</si>
  <si>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</si>
  <si>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</si>
  <si>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</si>
  <si>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</si>
  <si>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</si>
  <si>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</si>
  <si>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</si>
  <si>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</si>
  <si>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</si>
  <si>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</si>
  <si>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</si>
  <si>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</si>
  <si>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</si>
  <si>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</si>
  <si>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</si>
  <si>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</si>
  <si>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</si>
  <si>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</si>
  <si>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</si>
  <si>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</si>
  <si>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</si>
  <si>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</si>
  <si>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</si>
  <si>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</si>
  <si>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</si>
  <si>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</si>
  <si>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</si>
  <si>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</si>
  <si>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</si>
  <si>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</si>
  <si>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</si>
  <si>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</si>
  <si>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</si>
  <si>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</si>
  <si>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</si>
  <si>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</si>
  <si>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</si>
  <si>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</si>
  <si>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</si>
  <si>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</si>
  <si>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</si>
  <si>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</si>
  <si>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</si>
  <si>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</si>
  <si>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</si>
  <si>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</si>
  <si>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</si>
  <si>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</si>
  <si>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</si>
  <si>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</si>
  <si>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</si>
  <si>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</si>
  <si>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</si>
  <si>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</si>
  <si>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</si>
  <si>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</si>
  <si>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</si>
  <si>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</si>
  <si>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</si>
  <si>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</si>
  <si>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</si>
  <si>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</si>
  <si>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</si>
  <si>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</si>
  <si>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</si>
  <si>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</si>
  <si>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</si>
  <si>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</si>
  <si>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</si>
  <si>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</si>
  <si>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</si>
  <si>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</si>
  <si>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</si>
  <si>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</si>
  <si>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</si>
  <si>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</si>
  <si>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</si>
  <si>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</si>
  <si>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</si>
  <si>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</si>
  <si>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</si>
  <si>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</si>
  <si>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</si>
  <si>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</si>
  <si>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</si>
  <si>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</si>
  <si>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</si>
  <si>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</si>
  <si>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</si>
  <si>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</si>
  <si>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</si>
  <si>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</si>
  <si>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</si>
  <si>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</si>
  <si>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</si>
  <si>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</si>
  <si>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</si>
  <si>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</si>
  <si>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</si>
  <si>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</si>
  <si>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</si>
  <si>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</si>
  <si>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</si>
  <si>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</si>
  <si>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</si>
  <si>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</si>
  <si>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</si>
  <si>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</si>
  <si>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</si>
  <si>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</si>
  <si>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</si>
  <si>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</si>
  <si>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</si>
  <si>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</si>
  <si>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</si>
  <si>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</si>
  <si>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</si>
  <si>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</si>
  <si>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</si>
  <si>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</si>
  <si>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</si>
  <si>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</si>
  <si>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</si>
  <si>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</si>
  <si>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</si>
  <si>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</si>
  <si>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</si>
  <si>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</si>
  <si>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</si>
  <si>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</si>
  <si>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</si>
  <si>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</si>
  <si>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</si>
  <si>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</si>
  <si>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</si>
  <si>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</si>
  <si>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</si>
  <si>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</si>
  <si>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</si>
  <si>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</si>
  <si>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</si>
  <si>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</si>
  <si>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</si>
  <si>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</si>
  <si>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</si>
  <si>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</si>
  <si>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</si>
  <si>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</si>
  <si>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</si>
  <si>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</si>
  <si>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</si>
  <si>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</si>
  <si>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</si>
  <si>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</si>
  <si>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</si>
  <si>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</si>
  <si>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</si>
  <si>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</si>
  <si>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</si>
  <si>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</si>
  <si>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</si>
  <si>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</si>
  <si>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</si>
  <si>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</si>
  <si>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</si>
  <si>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</si>
  <si>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</si>
  <si>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</si>
  <si>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</si>
  <si>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</si>
  <si>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</si>
  <si>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</si>
  <si>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</si>
  <si>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</si>
  <si>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</si>
  <si>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</si>
  <si>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</si>
  <si>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</si>
  <si>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</si>
  <si>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</si>
  <si>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</si>
  <si>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</si>
  <si>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</si>
  <si>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</si>
  <si>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</si>
  <si>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</si>
  <si>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</si>
  <si>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</si>
  <si>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</si>
  <si>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</si>
  <si>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</si>
  <si>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</si>
  <si>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</si>
  <si>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</si>
  <si>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</si>
  <si>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</si>
  <si>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</si>
  <si>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</si>
  <si>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</si>
  <si>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</si>
  <si>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</si>
  <si>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</si>
  <si>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</si>
  <si>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</si>
  <si>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</si>
  <si>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</si>
  <si>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</si>
  <si>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</si>
  <si>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</si>
  <si>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</si>
  <si>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</si>
  <si>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</si>
  <si>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</si>
  <si>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</si>
  <si>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</si>
  <si>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</si>
  <si>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</si>
  <si>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</si>
  <si>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</si>
  <si>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</si>
  <si>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</si>
  <si>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</si>
  <si>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</si>
  <si>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</si>
  <si>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</si>
  <si>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</si>
  <si>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</si>
  <si>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</si>
  <si>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</si>
  <si>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</si>
  <si>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</si>
  <si>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</si>
  <si>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</si>
  <si>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</si>
  <si>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</si>
  <si>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</si>
  <si>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</si>
  <si>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</si>
  <si>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</si>
  <si>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</si>
  <si>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</si>
  <si>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</si>
  <si>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</si>
  <si>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</si>
  <si>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</si>
  <si>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</si>
  <si>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</si>
  <si>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</si>
  <si>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</si>
  <si>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</si>
  <si>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</si>
  <si>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</si>
  <si>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</si>
  <si>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</si>
  <si>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</si>
  <si>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</si>
  <si>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</si>
  <si>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</si>
  <si>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</si>
  <si>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</si>
  <si>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</si>
  <si>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</si>
  <si>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</si>
  <si>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</si>
  <si>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</si>
  <si>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</si>
  <si>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</si>
  <si>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</si>
  <si>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</si>
  <si>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</si>
  <si>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</si>
  <si>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</si>
  <si>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</si>
  <si>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</si>
  <si>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</si>
  <si>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</si>
  <si>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</si>
  <si>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</si>
  <si>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</si>
  <si>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</si>
  <si>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</si>
  <si>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</si>
  <si>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</si>
  <si>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</si>
  <si>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</si>
  <si>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</si>
  <si>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</si>
  <si>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</si>
  <si>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</si>
  <si>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</si>
  <si>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</si>
  <si>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</si>
  <si>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</si>
  <si>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</si>
  <si>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</si>
  <si>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</si>
  <si>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</si>
  <si>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</si>
  <si>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</si>
  <si>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</si>
  <si>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</si>
  <si>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</si>
  <si>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</si>
  <si>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</si>
  <si>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</si>
  <si>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</si>
  <si>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</si>
  <si>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</si>
  <si>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</si>
  <si>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</si>
  <si>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</si>
  <si>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</si>
  <si>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</si>
  <si>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</si>
  <si>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</si>
  <si>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</si>
  <si>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</si>
  <si>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</si>
  <si>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</si>
  <si>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</si>
  <si>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</si>
  <si>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</si>
  <si>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</si>
  <si>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</si>
  <si>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</si>
  <si>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</si>
  <si>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</si>
  <si>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</si>
  <si>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</si>
  <si>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</si>
  <si>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</si>
  <si>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</si>
  <si>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</si>
  <si>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</si>
  <si>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</si>
  <si>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</si>
  <si>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4"/>
  </si>
  <si>
    <t>ユーザーからユーザーへのいいねを管理する</t>
    <rPh sb="16" eb="18">
      <t>カンリ</t>
    </rPh>
    <phoneticPr fontId="4"/>
  </si>
  <si>
    <t>プロフィールにリンクされる動画を管理する</t>
    <rPh sb="13" eb="15">
      <t>ドウガ</t>
    </rPh>
    <rPh sb="16" eb="18">
      <t>カンリ</t>
    </rPh>
    <phoneticPr fontId="4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</si>
  <si>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4"/>
  </si>
  <si>
    <t>timestamp [ (p) ] [ without time zone ]</t>
    <phoneticPr fontId="4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</si>
  <si>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4"/>
  </si>
  <si>
    <t>Vtuberプロフィール(各言語)</t>
    <rPh sb="13" eb="14">
      <t>カク</t>
    </rPh>
    <rPh sb="14" eb="16">
      <t>ゲンゴ</t>
    </rPh>
    <phoneticPr fontId="4"/>
  </si>
  <si>
    <t>vtuber_profiles_lang</t>
    <phoneticPr fontId="4"/>
  </si>
  <si>
    <t>x</t>
    <phoneticPr fontId="4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</si>
  <si>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4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</si>
  <si>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4"/>
  </si>
  <si>
    <t>x</t>
    <phoneticPr fontId="4"/>
  </si>
  <si>
    <t>言語</t>
    <phoneticPr fontId="4"/>
  </si>
  <si>
    <t>lang</t>
    <phoneticPr fontId="4"/>
  </si>
  <si>
    <t>join_group</t>
    <phoneticPr fontId="4"/>
  </si>
  <si>
    <t>プロフィールのタグ</t>
    <phoneticPr fontId="4"/>
  </si>
  <si>
    <t>プロフィールに紐づくタグを管理する</t>
    <rPh sb="7" eb="8">
      <t>ヒモ</t>
    </rPh>
    <rPh sb="13" eb="15">
      <t>カンリ</t>
    </rPh>
    <phoneticPr fontId="4"/>
  </si>
  <si>
    <t>images_system</t>
    <phoneticPr fontId="4"/>
  </si>
  <si>
    <t>node_from</t>
    <phoneticPr fontId="4"/>
  </si>
  <si>
    <t>格納サイズ(byte)</t>
  </si>
  <si>
    <t>格納サイズ(bit)</t>
  </si>
  <si>
    <t>x</t>
    <phoneticPr fontId="4"/>
  </si>
  <si>
    <t>profile_tag</t>
    <phoneticPr fontId="4"/>
  </si>
  <si>
    <t>users</t>
    <phoneticPr fontId="4"/>
  </si>
  <si>
    <t>vtuber_profiles_id</t>
    <phoneticPr fontId="4"/>
  </si>
  <si>
    <t>tag</t>
    <phoneticPr fontId="4"/>
  </si>
  <si>
    <t>images_contents</t>
    <phoneticPr fontId="4"/>
  </si>
  <si>
    <t>△</t>
  </si>
  <si>
    <t>△</t>
    <phoneticPr fontId="4"/>
  </si>
  <si>
    <t>x(PK制約)</t>
    <rPh sb="4" eb="6">
      <t>セイヤク</t>
    </rPh>
    <phoneticPr fontId="4"/>
  </si>
  <si>
    <t>likes</t>
    <phoneticPr fontId="4"/>
  </si>
  <si>
    <t>likes_do_user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</si>
  <si>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</si>
  <si>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</si>
  <si>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</si>
  <si>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</si>
  <si>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4"/>
  </si>
  <si>
    <t>プロフィールの活動ジャンル</t>
    <rPh sb="7" eb="9">
      <t>カツドウ</t>
    </rPh>
    <phoneticPr fontId="4"/>
  </si>
  <si>
    <t>varchar(16)</t>
    <phoneticPr fontId="4"/>
  </si>
  <si>
    <t>activity</t>
    <phoneticPr fontId="4"/>
  </si>
  <si>
    <t>vtuber_profiles_id + activity で UNIQUEにする</t>
    <phoneticPr fontId="4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</si>
  <si>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4"/>
  </si>
  <si>
    <t>timestamptz</t>
    <phoneticPr fontId="4"/>
  </si>
  <si>
    <t>timestamptz</t>
    <phoneticPr fontId="4"/>
  </si>
  <si>
    <t>enum</t>
    <phoneticPr fontId="4"/>
  </si>
  <si>
    <t>boolean</t>
    <phoneticPr fontId="4"/>
  </si>
  <si>
    <t>管理者向けのため、日本語固定</t>
    <phoneticPr fontId="4"/>
  </si>
  <si>
    <t>実際に表示されるワード</t>
    <phoneticPr fontId="4"/>
  </si>
  <si>
    <t>enum</t>
    <phoneticPr fontId="4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</si>
  <si>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4"/>
  </si>
  <si>
    <t>論理名はscreen_wordテーブルで管理する。具体的な要素の候補：活動開始前(VTuber準備中)、活動中、卒業済み</t>
    <phoneticPr fontId="4"/>
  </si>
  <si>
    <t>論理名はscreen_wordテーブルで管理する</t>
    <phoneticPr fontId="4"/>
  </si>
  <si>
    <t>テーブル</t>
    <phoneticPr fontId="4"/>
  </si>
  <si>
    <t>badge</t>
    <phoneticPr fontId="4"/>
  </si>
  <si>
    <t>timestamptz</t>
  </si>
  <si>
    <t>型</t>
    <rPh sb="0" eb="1">
      <t>カタ</t>
    </rPh>
    <phoneticPr fontId="4"/>
  </si>
  <si>
    <t>#</t>
    <phoneticPr fontId="4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</si>
  <si>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4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</si>
  <si>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4"/>
  </si>
  <si>
    <t>参考情報</t>
    <rPh sb="0" eb="2">
      <t>サンコウ</t>
    </rPh>
    <rPh sb="2" eb="4">
      <t>ジョウホウ</t>
    </rPh>
    <phoneticPr fontId="4"/>
  </si>
  <si>
    <t>レコード</t>
    <phoneticPr fontId="4"/>
  </si>
  <si>
    <t>recently_update</t>
    <phoneticPr fontId="4"/>
  </si>
  <si>
    <t>newcomer</t>
    <phoneticPr fontId="4"/>
  </si>
  <si>
    <t>most_watch</t>
    <phoneticPr fontId="4"/>
  </si>
  <si>
    <t>dev_user</t>
    <phoneticPr fontId="4"/>
  </si>
  <si>
    <t>screen_word</t>
    <phoneticPr fontId="4"/>
  </si>
  <si>
    <t/>
  </si>
  <si>
    <t>各テーブル共通</t>
    <rPh sb="0" eb="1">
      <t>カク</t>
    </rPh>
    <rPh sb="5" eb="7">
      <t>キョウツウ</t>
    </rPh>
    <phoneticPr fontId="4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</si>
  <si>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4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</si>
  <si>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4"/>
  </si>
  <si>
    <t>よく見られているVtuber</t>
    <phoneticPr fontId="4"/>
  </si>
  <si>
    <t>新人Vtuber</t>
    <phoneticPr fontId="4"/>
  </si>
  <si>
    <t>最近更新されたVtuber</t>
    <phoneticPr fontId="4"/>
  </si>
  <si>
    <t>language</t>
    <phoneticPr fontId="4"/>
  </si>
  <si>
    <t>FK参照先</t>
    <rPh sb="2" eb="4">
      <t>サンショウ</t>
    </rPh>
    <rPh sb="4" eb="5">
      <t>サキ</t>
    </rPh>
    <phoneticPr fontId="4"/>
  </si>
  <si>
    <t>FK</t>
    <phoneticPr fontId="4"/>
  </si>
  <si>
    <t>PK</t>
    <phoneticPr fontId="4"/>
  </si>
  <si>
    <t>dev</t>
    <phoneticPr fontId="4"/>
  </si>
  <si>
    <t>japan</t>
    <phoneticPr fontId="4"/>
  </si>
  <si>
    <t>NULL</t>
    <phoneticPr fontId="4"/>
  </si>
  <si>
    <t>serial</t>
    <phoneticPr fontId="4"/>
  </si>
  <si>
    <t>vtuber_profiles</t>
    <phoneticPr fontId="4"/>
  </si>
  <si>
    <t>SEQUENCE</t>
    <phoneticPr fontId="4"/>
  </si>
  <si>
    <t>serial</t>
    <phoneticPr fontId="4"/>
  </si>
  <si>
    <t>Vtuberプロフィール</t>
    <phoneticPr fontId="4"/>
  </si>
  <si>
    <t>URLに使用する。可変</t>
    <rPh sb="9" eb="11">
      <t>カヘン</t>
    </rPh>
    <phoneticPr fontId="4"/>
  </si>
  <si>
    <t>users.users_sequence_id</t>
  </si>
  <si>
    <t>join_group.join_group_sequence_id</t>
  </si>
  <si>
    <t>activity_status.activity_status_sequence_id</t>
  </si>
  <si>
    <t>vtuber_profiles.vtuber_profiles_sequence_id</t>
  </si>
  <si>
    <t>sns_support.sns_support_sequence_id</t>
  </si>
  <si>
    <t>screen_word.screen_word_sequence_id</t>
  </si>
  <si>
    <t>priority.priority_sequence_id</t>
  </si>
  <si>
    <t>response_status.response_status_sequence_id</t>
  </si>
  <si>
    <t>language.language_sequence_id</t>
  </si>
  <si>
    <t>images_system.images_system_sequence_id</t>
  </si>
  <si>
    <t>report_reason.report_reason_sequence_id</t>
  </si>
  <si>
    <t>user_role.user_role_sequence_id</t>
  </si>
  <si>
    <t>theme.theme_sequence_id</t>
  </si>
  <si>
    <t>tag.tag_sequence_id</t>
  </si>
  <si>
    <t>user_id</t>
    <phoneticPr fontId="4"/>
  </si>
  <si>
    <t>"default"のID</t>
    <phoneticPr fontId="4"/>
  </si>
  <si>
    <t>"japan"のID</t>
    <phoneticPr fontId="4"/>
  </si>
  <si>
    <t>ワードの検索キー。screen_element.screen_element_sequence_idかそれ以外のテーブルの対象IDが入る(実質的なFKとして運用)</t>
    <rPh sb="69" eb="72">
      <t xml:space="preserve">ジッシツテキナ </t>
    </rPh>
    <rPh sb="78" eb="80">
      <t xml:space="preserve">ウンヨウ </t>
    </rPh>
    <phoneticPr fontId="4"/>
  </si>
  <si>
    <t>紐づけられたVtuberアカウント。型はFK参照先と同じ整数型</t>
    <rPh sb="18" eb="19">
      <t xml:space="preserve">カタハ </t>
    </rPh>
    <phoneticPr fontId="4"/>
  </si>
  <si>
    <t>型はFK参照先と同じ整数型</t>
  </si>
  <si>
    <t>SNSアイコン。型はFK参照先と同じ整数型</t>
    <phoneticPr fontId="4"/>
  </si>
  <si>
    <t>型はFK参照先と同じ整数型</t>
    <phoneticPr fontId="4"/>
  </si>
  <si>
    <t>likes_do_user + likes_target_user + likes_type で UNIQUEにする。型はFK参照先と同じ整数型</t>
    <phoneticPr fontId="4"/>
  </si>
  <si>
    <t>likes_do_user + likes_target_user + likes_type で UNIQUEにする。型はFK参照先と同じ整数型</t>
    <rPh sb="58" eb="59">
      <t>。</t>
    </rPh>
    <phoneticPr fontId="4"/>
  </si>
  <si>
    <t>node_from + node_to で UNIQUEにする。型はFK参照先と同じ整数型</t>
    <phoneticPr fontId="4"/>
  </si>
  <si>
    <t>node_from + node_to で UNIQUEにする。型はFK参照先と同じ整数型</t>
    <rPh sb="31" eb="32">
      <t>。</t>
    </rPh>
    <phoneticPr fontId="4"/>
  </si>
  <si>
    <t>vtuber_profiles_id + lang で UNIQUEにする。型はFK参照先と同じ整数型</t>
    <phoneticPr fontId="4"/>
  </si>
  <si>
    <t>vtuber_profiles_id + lang で UNIQUEにする。型はFK参照先と同じ整数型</t>
    <rPh sb="37" eb="38">
      <t>。</t>
    </rPh>
    <phoneticPr fontId="4"/>
  </si>
  <si>
    <t>vtuber_profiles_id + tag で UNIQUEにする。型はFK参照先と同じ整数型</t>
    <phoneticPr fontId="4"/>
  </si>
  <si>
    <t>vtuber_profiles_id + tag で UNIQUEにする。型はFK参照先と同じ整数型</t>
    <rPh sb="36" eb="37">
      <t>。</t>
    </rPh>
    <phoneticPr fontId="4"/>
  </si>
  <si>
    <t>vtuber_profiles_id + activity で UNIQUEにする。型はFK参照先と同じ整数型</t>
    <phoneticPr fontId="4"/>
  </si>
  <si>
    <t>images_system.images_system_sequence_id</t>
    <phoneticPr fontId="4"/>
  </si>
  <si>
    <t>DMLマスタ作成完了</t>
    <rPh sb="6" eb="10">
      <t xml:space="preserve">サクセイカンリョウ </t>
    </rPh>
    <phoneticPr fontId="4"/>
  </si>
  <si>
    <t>activity_status</t>
    <phoneticPr fontId="4"/>
  </si>
  <si>
    <r>
      <rPr>
        <sz val="11"/>
        <color theme="1"/>
        <rFont val="MS Gothic"/>
        <family val="2"/>
        <charset val="128"/>
      </rPr>
      <t>活動開始前</t>
    </r>
    <r>
      <rPr>
        <sz val="11"/>
        <color theme="1"/>
        <rFont val="Calibri"/>
        <family val="2"/>
        <scheme val="minor"/>
      </rPr>
      <t>(VTuber</t>
    </r>
    <r>
      <rPr>
        <sz val="11"/>
        <color theme="1"/>
        <rFont val="MS Gothic"/>
        <family val="2"/>
        <charset val="128"/>
      </rPr>
      <t>準備中</t>
    </r>
    <r>
      <rPr>
        <sz val="11"/>
        <color theme="1"/>
        <rFont val="Calibri"/>
        <family val="2"/>
        <scheme val="minor"/>
      </rPr>
      <t>)</t>
    </r>
    <phoneticPr fontId="4"/>
  </si>
  <si>
    <t>活動中</t>
    <phoneticPr fontId="4"/>
  </si>
  <si>
    <t>卒業済み</t>
    <phoneticPr fontId="4"/>
  </si>
  <si>
    <t>その他</t>
    <phoneticPr fontId="4"/>
  </si>
  <si>
    <t>active</t>
    <phoneticPr fontId="4"/>
  </si>
  <si>
    <t>other</t>
    <phoneticPr fontId="4"/>
  </si>
  <si>
    <t>graduete</t>
    <phoneticPr fontId="4"/>
  </si>
  <si>
    <t>休止中</t>
    <rPh sb="0" eb="3">
      <t xml:space="preserve">キュウシチュウ </t>
    </rPh>
    <phoneticPr fontId="4"/>
  </si>
  <si>
    <t>deactive</t>
    <phoneticPr fontId="4"/>
  </si>
  <si>
    <t>ready</t>
    <phoneticPr fontId="4"/>
  </si>
  <si>
    <t>priority</t>
    <phoneticPr fontId="4"/>
  </si>
  <si>
    <t>message_id_table</t>
    <phoneticPr fontId="4"/>
  </si>
  <si>
    <t>メッセージID参照元テーブル</t>
    <rPh sb="7" eb="10">
      <t xml:space="preserve">サンショウモト </t>
    </rPh>
    <phoneticPr fontId="4"/>
  </si>
  <si>
    <t>VプロフィールID</t>
    <phoneticPr fontId="4"/>
  </si>
  <si>
    <t>高</t>
    <rPh sb="0" eb="1">
      <t xml:space="preserve">タカイ </t>
    </rPh>
    <phoneticPr fontId="4"/>
  </si>
  <si>
    <t>中</t>
    <rPh sb="0" eb="1">
      <t xml:space="preserve">ナカ </t>
    </rPh>
    <phoneticPr fontId="4"/>
  </si>
  <si>
    <t>低</t>
    <rPh sb="0" eb="1">
      <t xml:space="preserve">ヒクイ </t>
    </rPh>
    <phoneticPr fontId="4"/>
  </si>
  <si>
    <t>high</t>
    <phoneticPr fontId="4"/>
  </si>
  <si>
    <t>mid</t>
    <phoneticPr fontId="4"/>
  </si>
  <si>
    <t>low</t>
    <phoneticPr fontId="4"/>
  </si>
  <si>
    <t>response_status</t>
    <phoneticPr fontId="4"/>
  </si>
  <si>
    <t>対応中</t>
    <rPh sb="0" eb="1">
      <t xml:space="preserve">タイオウチュウ </t>
    </rPh>
    <phoneticPr fontId="4"/>
  </si>
  <si>
    <t>未対応</t>
    <rPh sb="0" eb="3">
      <t xml:space="preserve">ミタイオウ </t>
    </rPh>
    <phoneticPr fontId="4"/>
  </si>
  <si>
    <t>対応済</t>
    <rPh sb="0" eb="1">
      <t xml:space="preserve">タイオウズミ </t>
    </rPh>
    <phoneticPr fontId="4"/>
  </si>
  <si>
    <t>保留</t>
    <rPh sb="0" eb="2">
      <t xml:space="preserve">ホリュウ </t>
    </rPh>
    <phoneticPr fontId="4"/>
  </si>
  <si>
    <t>不要</t>
    <rPh sb="0" eb="2">
      <t xml:space="preserve">フヨウ </t>
    </rPh>
    <phoneticPr fontId="4"/>
  </si>
  <si>
    <t>not_yet</t>
    <phoneticPr fontId="4"/>
  </si>
  <si>
    <t>done</t>
    <phoneticPr fontId="4"/>
  </si>
  <si>
    <t>pendding</t>
    <phoneticPr fontId="4"/>
  </si>
  <si>
    <t>doing</t>
    <phoneticPr fontId="4"/>
  </si>
  <si>
    <t>do_not</t>
    <phoneticPr fontId="4"/>
  </si>
  <si>
    <t>sns_support</t>
    <phoneticPr fontId="4"/>
  </si>
  <si>
    <t>Google</t>
    <phoneticPr fontId="4"/>
  </si>
  <si>
    <t>TikTok</t>
    <phoneticPr fontId="4"/>
  </si>
  <si>
    <t>Twitch</t>
    <phoneticPr fontId="4"/>
  </si>
  <si>
    <t>X</t>
    <phoneticPr fontId="4"/>
  </si>
  <si>
    <t>Facebook</t>
    <phoneticPr fontId="4"/>
  </si>
  <si>
    <t>LINE</t>
    <phoneticPr fontId="4"/>
  </si>
  <si>
    <t>Discord</t>
    <phoneticPr fontId="4"/>
  </si>
  <si>
    <t>Steam</t>
    <phoneticPr fontId="4"/>
  </si>
  <si>
    <t>Instagram</t>
    <phoneticPr fontId="4"/>
  </si>
  <si>
    <t>ツイキャス</t>
    <phoneticPr fontId="4"/>
  </si>
  <si>
    <t>ニコニコ</t>
    <phoneticPr fontId="4"/>
  </si>
  <si>
    <t>google</t>
    <phoneticPr fontId="4"/>
  </si>
  <si>
    <t>tiktok</t>
    <phoneticPr fontId="4"/>
  </si>
  <si>
    <t>twitch</t>
    <phoneticPr fontId="4"/>
  </si>
  <si>
    <t>facebook</t>
    <phoneticPr fontId="4"/>
  </si>
  <si>
    <t>line</t>
    <phoneticPr fontId="4"/>
  </si>
  <si>
    <t>discord</t>
    <phoneticPr fontId="4"/>
  </si>
  <si>
    <t>steam</t>
    <phoneticPr fontId="4"/>
  </si>
  <si>
    <t>instagram</t>
    <phoneticPr fontId="4"/>
  </si>
  <si>
    <t>twicas</t>
    <phoneticPr fontId="4"/>
  </si>
  <si>
    <t>niconico</t>
    <phoneticPr fontId="4"/>
  </si>
  <si>
    <t>環境変数に変更する予定</t>
    <rPh sb="0" eb="4">
      <t xml:space="preserve">カンキョウヘンスウ </t>
    </rPh>
    <rPh sb="9" eb="11">
      <t xml:space="preserve">ヨテイ </t>
    </rPh>
    <phoneticPr fontId="4"/>
  </si>
  <si>
    <t>削除予定</t>
    <rPh sb="0" eb="4">
      <t xml:space="preserve">サクジョヨテイ </t>
    </rPh>
    <phoneticPr fontId="4"/>
  </si>
  <si>
    <t>スクリプトにて自動的に付与予定</t>
    <rPh sb="7" eb="10">
      <t xml:space="preserve">ジドウテキニ </t>
    </rPh>
    <rPh sb="11" eb="15">
      <t xml:space="preserve">フヨヨテイ </t>
    </rPh>
    <phoneticPr fontId="4"/>
  </si>
  <si>
    <t>report_reason</t>
    <phoneticPr fontId="4"/>
  </si>
  <si>
    <t>不適切な内容</t>
    <rPh sb="0" eb="3">
      <t xml:space="preserve">フテキセツナナイヨウ </t>
    </rPh>
    <phoneticPr fontId="4"/>
  </si>
  <si>
    <t>スパム</t>
    <phoneticPr fontId="4"/>
  </si>
  <si>
    <t>誤った情報</t>
    <rPh sb="0" eb="1">
      <t xml:space="preserve">アヤマッタジョウホウ </t>
    </rPh>
    <phoneticPr fontId="4"/>
  </si>
  <si>
    <t>著作権・権利侵害</t>
    <rPh sb="0" eb="3">
      <t xml:space="preserve">チョサクケン </t>
    </rPh>
    <rPh sb="4" eb="8">
      <t xml:space="preserve">ケンリシンガイ </t>
    </rPh>
    <phoneticPr fontId="4"/>
  </si>
  <si>
    <t>なりすまし</t>
    <phoneticPr fontId="4"/>
  </si>
  <si>
    <t>other</t>
  </si>
  <si>
    <t>rights</t>
  </si>
  <si>
    <t>rights</t>
    <phoneticPr fontId="4"/>
  </si>
  <si>
    <t>not_him</t>
  </si>
  <si>
    <t>not_him</t>
    <phoneticPr fontId="4"/>
  </si>
  <si>
    <t>incorrect</t>
  </si>
  <si>
    <t>incorrect</t>
    <phoneticPr fontId="4"/>
  </si>
  <si>
    <t>spam</t>
  </si>
  <si>
    <t>spam</t>
    <phoneticPr fontId="4"/>
  </si>
  <si>
    <t>not_appropriate</t>
    <rPh sb="4" eb="7">
      <t xml:space="preserve">フテキセツナナイヨウ </t>
    </rPh>
    <phoneticPr fontId="4"/>
  </si>
  <si>
    <t>theme</t>
    <phoneticPr fontId="4"/>
  </si>
  <si>
    <t>lightmode</t>
    <phoneticPr fontId="4"/>
  </si>
  <si>
    <t>darkmode</t>
    <phoneticPr fontId="4"/>
  </si>
  <si>
    <t>heisei_profile</t>
    <phoneticPr fontId="4"/>
  </si>
  <si>
    <t>heisei_zenryaku</t>
    <phoneticPr fontId="4"/>
  </si>
  <si>
    <t>ライトモード</t>
    <phoneticPr fontId="4"/>
  </si>
  <si>
    <t>ダークモード</t>
    <phoneticPr fontId="4"/>
  </si>
  <si>
    <t>プロフィール帳（平成風）</t>
    <rPh sb="8" eb="10">
      <t xml:space="preserve">ヘイセイフウ </t>
    </rPh>
    <rPh sb="10" eb="11">
      <t xml:space="preserve">フウ </t>
    </rPh>
    <phoneticPr fontId="4"/>
  </si>
  <si>
    <t>前略プロフィール風</t>
    <rPh sb="0" eb="2">
      <t xml:space="preserve">ゼンリャクプロフィール </t>
    </rPh>
    <rPh sb="8" eb="9">
      <t xml:space="preserve">フウ </t>
    </rPh>
    <phoneticPr fontId="4"/>
  </si>
  <si>
    <t>user_role</t>
    <phoneticPr fontId="4"/>
  </si>
  <si>
    <t>管理者</t>
    <rPh sb="0" eb="3">
      <t xml:space="preserve">カンリシャ </t>
    </rPh>
    <phoneticPr fontId="4"/>
  </si>
  <si>
    <t>一般</t>
    <rPh sb="0" eb="2">
      <t xml:space="preserve">イッパン </t>
    </rPh>
    <phoneticPr fontId="4"/>
  </si>
  <si>
    <t>未ログイン</t>
    <rPh sb="0" eb="1">
      <t xml:space="preserve">ミログイン </t>
    </rPh>
    <phoneticPr fontId="4"/>
  </si>
  <si>
    <t>開発者</t>
    <rPh sb="0" eb="3">
      <t xml:space="preserve">カイハツシャ </t>
    </rPh>
    <phoneticPr fontId="4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</si>
  <si>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</t>
    </r>
    <rPh sb="0" eb="3">
      <t xml:space="preserve">ショウニンズミ </t>
    </rPh>
    <phoneticPr fontId="4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</si>
  <si>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Vtuber(BAN</t>
    </r>
    <r>
      <rPr>
        <sz val="11"/>
        <color theme="1"/>
        <rFont val="MS Gothic"/>
        <family val="2"/>
        <charset val="128"/>
      </rPr>
      <t>済み</t>
    </r>
    <r>
      <rPr>
        <sz val="11"/>
        <color theme="1"/>
        <rFont val="Calibri"/>
        <family val="2"/>
      </rPr>
      <t>)</t>
    </r>
    <rPh sb="0" eb="3">
      <t xml:space="preserve">ショウニンズミ </t>
    </rPh>
    <rPh sb="14" eb="15">
      <t xml:space="preserve">ズミ </t>
    </rPh>
    <phoneticPr fontId="4"/>
  </si>
  <si>
    <t>一般(BAN済み)</t>
    <rPh sb="0" eb="2">
      <t xml:space="preserve">イッパン </t>
    </rPh>
    <phoneticPr fontId="4"/>
  </si>
  <si>
    <t>管理者(AI)</t>
    <rPh sb="0" eb="1">
      <t xml:space="preserve">カンリサ </t>
    </rPh>
    <rPh sb="2" eb="3">
      <t xml:space="preserve">シャ </t>
    </rPh>
    <phoneticPr fontId="4"/>
  </si>
  <si>
    <t>no_login</t>
    <phoneticPr fontId="4"/>
  </si>
  <si>
    <t>vtuber</t>
    <phoneticPr fontId="4"/>
  </si>
  <si>
    <t>vt_ban</t>
    <phoneticPr fontId="4"/>
  </si>
  <si>
    <t>common</t>
    <phoneticPr fontId="4"/>
  </si>
  <si>
    <t>com_ban</t>
    <phoneticPr fontId="4"/>
  </si>
  <si>
    <t>admin</t>
    <phoneticPr fontId="4"/>
  </si>
  <si>
    <t>admin_ai</t>
    <phoneticPr fontId="4"/>
  </si>
  <si>
    <t>vtuber_profiles</t>
  </si>
  <si>
    <t>mirai001</t>
    <phoneticPr fontId="4"/>
  </si>
  <si>
    <t>sns_link</t>
    <phoneticPr fontId="4"/>
  </si>
  <si>
    <t>bbs_res</t>
    <phoneticPr fontId="4"/>
  </si>
  <si>
    <t>page_author</t>
    <phoneticPr fontId="4"/>
  </si>
  <si>
    <t>contact</t>
    <phoneticPr fontId="4"/>
  </si>
  <si>
    <t>images_system</t>
  </si>
  <si>
    <t>screen_element</t>
    <phoneticPr fontId="4"/>
  </si>
  <si>
    <t>profile_report</t>
    <phoneticPr fontId="4"/>
  </si>
  <si>
    <t>images_contents</t>
  </si>
  <si>
    <t>likes</t>
  </si>
  <si>
    <t>movie_link</t>
    <phoneticPr fontId="4"/>
  </si>
  <si>
    <t>relation</t>
    <phoneticPr fontId="4"/>
  </si>
  <si>
    <t>ウィンタースカイ</t>
    <phoneticPr fontId="4"/>
  </si>
  <si>
    <t>オーシャンウェーブ</t>
    <phoneticPr fontId="4"/>
  </si>
  <si>
    <t>スターライトプロダクション</t>
    <phoneticPr fontId="4"/>
  </si>
  <si>
    <t>フォレストエンタメ</t>
    <phoneticPr fontId="4"/>
  </si>
  <si>
    <t>ムーンライトエンターテイメント</t>
    <phoneticPr fontId="4"/>
  </si>
  <si>
    <t>個人勢</t>
    <rPh sb="0" eb="3">
      <t>コジンゼイ</t>
    </rPh>
    <phoneticPr fontId="4"/>
  </si>
  <si>
    <t>u0000001</t>
    <phoneticPr fontId="4"/>
  </si>
  <si>
    <t>星空みらい</t>
    <phoneticPr fontId="4"/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</si>
  <si>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1</t>
    </r>
    <phoneticPr fontId="4"/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</si>
  <si>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</si>
  <si>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</si>
  <si>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</si>
  <si>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</si>
  <si>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</si>
  <si>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</si>
  <si>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8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</si>
  <si>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9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</si>
  <si>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charset val="128"/>
        <scheme val="minor"/>
      </rPr>
      <t/>
    </r>
  </si>
  <si>
    <t>雪華ユキ</t>
    <phoneticPr fontId="4"/>
  </si>
  <si>
    <t>月夜ルナ</t>
    <rPh sb="0" eb="2">
      <t>ツキヨ</t>
    </rPh>
    <phoneticPr fontId="4"/>
  </si>
  <si>
    <t>桜花さくら</t>
    <rPh sb="0" eb="2">
      <t>オウカ</t>
    </rPh>
    <phoneticPr fontId="4"/>
  </si>
  <si>
    <t>海風マリン</t>
    <rPh sb="0" eb="2">
      <t>ウミカゼ</t>
    </rPh>
    <phoneticPr fontId="4"/>
  </si>
  <si>
    <t>紅葉もみじ</t>
    <rPh sb="0" eb="2">
      <t>モミジ</t>
    </rPh>
    <phoneticPr fontId="4"/>
  </si>
  <si>
    <t>u0000002</t>
  </si>
  <si>
    <t>u0000003</t>
  </si>
  <si>
    <t>u0000004</t>
  </si>
  <si>
    <t>u0000005</t>
  </si>
  <si>
    <t>u0000006</t>
  </si>
  <si>
    <t>u0000007</t>
  </si>
  <si>
    <t>u0000008</t>
  </si>
  <si>
    <t>u0000009</t>
  </si>
  <si>
    <t>u0000010</t>
  </si>
  <si>
    <t>u0000011</t>
  </si>
  <si>
    <t>u0000012</t>
  </si>
  <si>
    <t>u0000013</t>
  </si>
  <si>
    <t>u0000014</t>
  </si>
  <si>
    <t>u0000015</t>
  </si>
  <si>
    <t>u0000016</t>
  </si>
  <si>
    <t>管理者</t>
    <rPh sb="0" eb="3">
      <t>カンリシャ</t>
    </rPh>
    <phoneticPr fontId="4"/>
  </si>
  <si>
    <t>管理者AI</t>
    <rPh sb="0" eb="3">
      <t>カンリシャ</t>
    </rPh>
    <phoneticPr fontId="4"/>
  </si>
  <si>
    <t>開発者アカウント</t>
    <rPh sb="0" eb="2">
      <t>カイハツ</t>
    </rPh>
    <rPh sb="2" eb="3">
      <t>シャ</t>
    </rPh>
    <phoneticPr fontId="4"/>
  </si>
  <si>
    <t>u0000017</t>
  </si>
  <si>
    <t>u0000018</t>
  </si>
  <si>
    <t>u0000019</t>
  </si>
  <si>
    <t>ASMR</t>
    <phoneticPr fontId="4"/>
  </si>
  <si>
    <t>お絵描き</t>
    <rPh sb="1" eb="3">
      <t>エカ</t>
    </rPh>
    <phoneticPr fontId="4"/>
  </si>
  <si>
    <t>ゲーム実況</t>
    <rPh sb="3" eb="5">
      <t>ジッキョウ</t>
    </rPh>
    <phoneticPr fontId="4"/>
  </si>
  <si>
    <t>歌ってみた</t>
    <rPh sb="0" eb="1">
      <t>ウタ</t>
    </rPh>
    <phoneticPr fontId="4"/>
  </si>
  <si>
    <t>環境音</t>
    <rPh sb="0" eb="3">
      <t>カンキョウオン</t>
    </rPh>
    <phoneticPr fontId="4"/>
  </si>
  <si>
    <t>雑談</t>
    <rPh sb="0" eb="2">
      <t>ザツダン</t>
    </rPh>
    <phoneticPr fontId="4"/>
  </si>
  <si>
    <t>ホラーゲーム</t>
    <phoneticPr fontId="4"/>
  </si>
  <si>
    <t>enum物理名</t>
    <rPh sb="4" eb="7">
      <t>ブツリメイ</t>
    </rPh>
    <phoneticPr fontId="4"/>
  </si>
  <si>
    <t>enum論理名</t>
    <rPh sb="4" eb="7">
      <t>ロンリメイ</t>
    </rPh>
    <phoneticPr fontId="4"/>
  </si>
  <si>
    <t>使用テーブル.カラム</t>
    <phoneticPr fontId="4"/>
  </si>
  <si>
    <t>likes_type_enum</t>
  </si>
  <si>
    <t>likes.likes_type</t>
  </si>
  <si>
    <t>message_type_enum</t>
  </si>
  <si>
    <t>文言種別</t>
  </si>
  <si>
    <t>備考</t>
    <rPh sb="0" eb="2">
      <t>ビコウ</t>
    </rPh>
    <phoneticPr fontId="4"/>
  </si>
  <si>
    <t>値</t>
    <phoneticPr fontId="4"/>
  </si>
  <si>
    <t>値の意味、説明</t>
    <rPh sb="0" eb="1">
      <t>アタイ</t>
    </rPh>
    <rPh sb="2" eb="4">
      <t>イミ</t>
    </rPh>
    <rPh sb="5" eb="7">
      <t>セツメイ</t>
    </rPh>
    <phoneticPr fontId="4"/>
  </si>
  <si>
    <t>profile</t>
    <phoneticPr fontId="4"/>
  </si>
  <si>
    <t>edit</t>
    <phoneticPr fontId="4"/>
  </si>
  <si>
    <t>プロフィールの編集に対するいいね</t>
    <rPh sb="7" eb="9">
      <t>ヘンシュウ</t>
    </rPh>
    <rPh sb="10" eb="11">
      <t>タイ</t>
    </rPh>
    <phoneticPr fontId="4"/>
  </si>
  <si>
    <t>プロフィール自体へのいいね</t>
    <rPh sb="6" eb="8">
      <t>ジタイ</t>
    </rPh>
    <phoneticPr fontId="4"/>
  </si>
  <si>
    <t>yuki0001</t>
    <phoneticPr fontId="4"/>
  </si>
  <si>
    <t>runa0001</t>
    <phoneticPr fontId="4"/>
  </si>
  <si>
    <t>sakura01</t>
    <phoneticPr fontId="4"/>
  </si>
  <si>
    <t>marine01</t>
    <phoneticPr fontId="4"/>
  </si>
  <si>
    <t>momiji01</t>
    <phoneticPr fontId="4"/>
  </si>
  <si>
    <t>活動状態対象</t>
    <rPh sb="0" eb="2">
      <t>カツドウ</t>
    </rPh>
    <rPh sb="2" eb="4">
      <t>ジョウタイ</t>
    </rPh>
    <rPh sb="4" eb="6">
      <t>タイショウ</t>
    </rPh>
    <phoneticPr fontId="4"/>
  </si>
  <si>
    <t>activity_target_enum</t>
    <phoneticPr fontId="4"/>
  </si>
  <si>
    <t>Vtuberの活動状態</t>
    <rPh sb="7" eb="11">
      <t>カツドウジョウタイ</t>
    </rPh>
    <phoneticPr fontId="4"/>
  </si>
  <si>
    <t>所属の活動状態</t>
    <rPh sb="0" eb="2">
      <t>ショゾク</t>
    </rPh>
    <rPh sb="3" eb="7">
      <t>カツドウジョウタイ</t>
    </rPh>
    <phoneticPr fontId="4"/>
  </si>
  <si>
    <t>activity_status.target</t>
    <phoneticPr fontId="4"/>
  </si>
  <si>
    <t>メッセージIDの参照元のテーブルをテーブル名のenumで管理する</t>
    <rPh sb="8" eb="10">
      <t>サンショウ</t>
    </rPh>
    <rPh sb="10" eb="11">
      <t>モト</t>
    </rPh>
    <rPh sb="21" eb="22">
      <t>メイ</t>
    </rPh>
    <rPh sb="28" eb="30">
      <t>カンリ</t>
    </rPh>
    <phoneticPr fontId="4"/>
  </si>
  <si>
    <t>screen_word.message_id_table</t>
    <phoneticPr fontId="4"/>
  </si>
  <si>
    <t>target</t>
    <phoneticPr fontId="4"/>
  </si>
  <si>
    <t>対象</t>
    <rPh sb="0" eb="2">
      <t>タイショウ</t>
    </rPh>
    <phoneticPr fontId="4"/>
  </si>
  <si>
    <t>enum</t>
    <phoneticPr fontId="4"/>
  </si>
  <si>
    <t>x</t>
    <phoneticPr fontId="4"/>
  </si>
  <si>
    <t>g_active</t>
    <phoneticPr fontId="4"/>
  </si>
  <si>
    <t>g_ready</t>
    <phoneticPr fontId="4"/>
  </si>
  <si>
    <t>g_other</t>
    <phoneticPr fontId="4"/>
  </si>
  <si>
    <t>活動開始前</t>
    <phoneticPr fontId="4"/>
  </si>
  <si>
    <t>解散</t>
    <rPh sb="0" eb="2">
      <t>カイサン</t>
    </rPh>
    <phoneticPr fontId="4"/>
  </si>
  <si>
    <t>g_break</t>
    <phoneticPr fontId="4"/>
  </si>
  <si>
    <t>大手アイドル事務所</t>
    <rPh sb="0" eb="2">
      <t>オオテ</t>
    </rPh>
    <rPh sb="6" eb="9">
      <t>ジムショ</t>
    </rPh>
    <phoneticPr fontId="4"/>
  </si>
  <si>
    <t>大手ライバー養成所</t>
    <rPh sb="0" eb="2">
      <t>オオテ</t>
    </rPh>
    <rPh sb="6" eb="8">
      <t>ヨウセイ</t>
    </rPh>
    <rPh sb="8" eb="9">
      <t>ジョ</t>
    </rPh>
    <phoneticPr fontId="4"/>
  </si>
  <si>
    <t>プレースホルダー</t>
    <phoneticPr fontId="4"/>
  </si>
  <si>
    <t>youtube</t>
    <phoneticPr fontId="4"/>
  </si>
  <si>
    <t>YouTube</t>
    <phoneticPr fontId="4"/>
  </si>
  <si>
    <r>
      <t>X</t>
    </r>
    <r>
      <rPr>
        <sz val="11"/>
        <color theme="1"/>
        <rFont val="ＭＳ Ｐゴシック"/>
        <family val="3"/>
        <charset val="128"/>
      </rPr>
      <t>（旧</t>
    </r>
    <r>
      <rPr>
        <sz val="11"/>
        <color theme="1"/>
        <rFont val="Calibri"/>
        <family val="3"/>
      </rPr>
      <t>Twitter</t>
    </r>
    <r>
      <rPr>
        <sz val="11"/>
        <color theme="1"/>
        <rFont val="ＭＳ Ｐゴシック"/>
        <family val="3"/>
        <charset val="128"/>
      </rPr>
      <t>）</t>
    </r>
    <phoneticPr fontId="4"/>
  </si>
  <si>
    <r>
      <t>Web</t>
    </r>
    <r>
      <rPr>
        <sz val="11"/>
        <color theme="1"/>
        <rFont val="ＭＳ Ｐゴシック"/>
        <family val="3"/>
        <charset val="128"/>
      </rPr>
      <t>サイト</t>
    </r>
    <phoneticPr fontId="4"/>
  </si>
  <si>
    <t>https://www.youtube.com/channel/UC1234567890</t>
    <phoneticPr fontId="4"/>
  </si>
  <si>
    <t>https://twitter.com/mirai_chan</t>
    <phoneticPr fontId="4"/>
  </si>
  <si>
    <t>https://www.tiktok.com/@mirai_chan</t>
    <phoneticPr fontId="4"/>
  </si>
  <si>
    <t>https://www.mirai-chan.com</t>
    <phoneticPr fontId="4"/>
  </si>
  <si>
    <t>https://www.youtube.com/watch?v=eRsGyueVLvQ</t>
    <phoneticPr fontId="4"/>
  </si>
  <si>
    <t>https://youtu.be/NcP8Du0cBkU</t>
    <phoneticPr fontId="4"/>
  </si>
  <si>
    <t>https://www.youtube.com/watch?v=41hv2tW5Lc4</t>
    <phoneticPr fontId="4"/>
  </si>
  <si>
    <t>https://youtu.be/Rhy0eVtudrI</t>
    <phoneticPr fontId="4"/>
  </si>
  <si>
    <t>https://www.youtube.com/watch?v=Y-rmzh0PI3c</t>
    <phoneticPr fontId="4"/>
  </si>
  <si>
    <t>https://youtu.be/K0Ilt-cP-yM</t>
    <phoneticPr fontId="4"/>
  </si>
  <si>
    <t>https://www.youtube.com/watch?v=u9lj-c29dxI</t>
    <phoneticPr fontId="4"/>
  </si>
  <si>
    <t>https://www.youtube.com/shorts/mCugN4-EO8w</t>
    <phoneticPr fontId="4"/>
  </si>
  <si>
    <t>https://www.youtube.com/watch?v=_cMxraX_5RE</t>
    <phoneticPr fontId="4"/>
  </si>
  <si>
    <t>https://www.youtube.com/shorts/lck3aPO2dXg</t>
    <phoneticPr fontId="4"/>
  </si>
  <si>
    <t>https://www.youtube.com/watch?v=Q0zri3tzbek</t>
    <phoneticPr fontId="4"/>
  </si>
  <si>
    <t>https://www.youtube.com/watch?v=DFs93KJHAHg</t>
    <phoneticPr fontId="4"/>
  </si>
  <si>
    <t>星空みらい</t>
    <rPh sb="0" eb="2">
      <t>ホシゾラ</t>
    </rPh>
    <phoneticPr fontId="4"/>
  </si>
  <si>
    <t>みらいちゃん</t>
    <phoneticPr fontId="4"/>
  </si>
  <si>
    <t>A型</t>
    <phoneticPr fontId="4"/>
  </si>
  <si>
    <t>158cm</t>
    <phoneticPr fontId="4"/>
  </si>
  <si>
    <t>みんなと一緒に楽しい時間を過ごしたいな～！</t>
    <phoneticPr fontId="4"/>
  </si>
  <si>
    <t>星空から届けるキラキラの笑顔！</t>
    <phoneticPr fontId="4"/>
  </si>
  <si>
    <t>ゲーム、歌、お絵かき</t>
    <phoneticPr fontId="4"/>
  </si>
  <si>
    <t>ホラー</t>
    <phoneticPr fontId="4"/>
  </si>
  <si>
    <t>イラスト制作</t>
    <phoneticPr fontId="4"/>
  </si>
  <si>
    <t>みんなに笑顔を届けたい</t>
    <phoneticPr fontId="4"/>
  </si>
  <si>
    <t>いつも応援ありがとうございます！</t>
    <phoneticPr fontId="4"/>
  </si>
  <si>
    <r>
      <t xml:space="preserve">### </t>
    </r>
    <r>
      <rPr>
        <sz val="11"/>
        <color theme="1"/>
        <rFont val="游ゴシック"/>
        <family val="2"/>
        <charset val="128"/>
      </rPr>
      <t>みらいちゃんについて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游ゴシック"/>
        <family val="2"/>
        <charset val="128"/>
      </rPr>
      <t>みらいちゃんは、スターライトプロダクション所属の</t>
    </r>
    <r>
      <rPr>
        <sz val="11"/>
        <color theme="1"/>
        <rFont val="Calibri"/>
        <family val="2"/>
        <scheme val="minor"/>
      </rPr>
      <t>VTuber</t>
    </r>
    <r>
      <rPr>
        <sz val="11"/>
        <color theme="1"/>
        <rFont val="游ゴシック"/>
        <family val="2"/>
        <charset val="128"/>
      </rPr>
      <t>です。ゲーム実況や歌ってみた、お絵かきなど、幅広いジャンルで活動しています。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好きなこと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ゲーム</t>
    </r>
    <r>
      <rPr>
        <sz val="11"/>
        <color theme="1"/>
        <rFont val="Calibri"/>
        <family val="2"/>
        <scheme val="minor"/>
      </rPr>
      <t xml:space="preserve">
- </t>
    </r>
    <r>
      <rPr>
        <sz val="11"/>
        <color theme="1"/>
        <rFont val="游ゴシック"/>
        <family val="2"/>
        <charset val="128"/>
      </rPr>
      <t>歌</t>
    </r>
    <r>
      <rPr>
        <sz val="11"/>
        <color theme="1"/>
        <rFont val="Calibri"/>
        <family val="2"/>
        <scheme val="minor"/>
      </rPr>
      <t xml:space="preserve">
- </t>
    </r>
    <r>
      <rPr>
        <sz val="11"/>
        <color theme="1"/>
        <rFont val="游ゴシック"/>
        <family val="2"/>
        <charset val="128"/>
      </rPr>
      <t>お絵かき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嫌いなもの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ホラー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趣味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イラスト制作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キャッチフレーズ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星空から届けるキラキラの笑顔！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夢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みんなに笑顔を届けたい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メッセージ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いつも応援ありがとうございます！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ひとこと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みんなと一緒に楽しい時間を過ごしたいな～！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活動歴</t>
    </r>
    <r>
      <rPr>
        <sz val="11"/>
        <color theme="1"/>
        <rFont val="Calibri"/>
        <family val="2"/>
        <scheme val="minor"/>
      </rPr>
      <t>**
- 2</t>
    </r>
    <r>
      <rPr>
        <sz val="11"/>
        <color theme="1"/>
        <rFont val="游ゴシック"/>
        <family val="2"/>
        <charset val="128"/>
      </rPr>
      <t>年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活動ジャンル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ゲーム実況</t>
    </r>
    <phoneticPr fontId="4"/>
  </si>
  <si>
    <t>ゲーム実況</t>
    <phoneticPr fontId="4"/>
  </si>
  <si>
    <t>憧れの先輩</t>
    <rPh sb="0" eb="1">
      <t>アコガ</t>
    </rPh>
    <rPh sb="3" eb="5">
      <t>センパイ</t>
    </rPh>
    <phoneticPr fontId="4"/>
  </si>
  <si>
    <t>コラボ仲間</t>
    <rPh sb="3" eb="5">
      <t>ナカマ</t>
    </rPh>
    <phoneticPr fontId="4"/>
  </si>
  <si>
    <t>同期</t>
    <rPh sb="0" eb="2">
      <t>ドウキ</t>
    </rPh>
    <phoneticPr fontId="4"/>
  </si>
  <si>
    <t>ライバル</t>
    <phoneticPr fontId="4"/>
  </si>
  <si>
    <t>応援しています！</t>
    <phoneticPr fontId="4"/>
  </si>
  <si>
    <t>配信楽しみにしてます♪</t>
  </si>
  <si>
    <t>新規登録</t>
    <rPh sb="0" eb="4">
      <t>シンキトウロク</t>
    </rPh>
    <phoneticPr fontId="4"/>
  </si>
  <si>
    <t>ひとこと</t>
    <phoneticPr fontId="4"/>
  </si>
  <si>
    <t>よろしくお願いします！</t>
    <phoneticPr fontId="4"/>
  </si>
  <si>
    <t>星のように輝く配信を目指してます！</t>
    <phoneticPr fontId="4"/>
  </si>
  <si>
    <t>ゲーム実況, 歌枠</t>
    <phoneticPr fontId="4"/>
  </si>
  <si>
    <t>タグ</t>
    <phoneticPr fontId="4"/>
  </si>
  <si>
    <t>ゲーム実況, 歌ってみた</t>
    <phoneticPr fontId="4"/>
  </si>
  <si>
    <t>ゲーム実況, 歌ってみた, 雑談</t>
    <phoneticPr fontId="4"/>
  </si>
  <si>
    <t>ゲーム実況, 歌枠, 雑談配信</t>
    <phoneticPr fontId="4"/>
  </si>
  <si>
    <t>将来の夢</t>
    <phoneticPr fontId="4"/>
  </si>
  <si>
    <t>大きなライブをすること、みんなを笑顔にすること</t>
    <phoneticPr fontId="4"/>
  </si>
  <si>
    <t>大きなライブをすること、みんなを笑顔にすること、オリジナル曲をリリース</t>
    <phoneticPr fontId="4"/>
  </si>
  <si>
    <r>
      <t>星のように輝く配信を目指してます！一緒に楽しもう</t>
    </r>
    <r>
      <rPr>
        <sz val="11"/>
        <color theme="1"/>
        <rFont val="Segoe UI Symbol"/>
        <family val="2"/>
      </rPr>
      <t>♪</t>
    </r>
    <phoneticPr fontId="4"/>
  </si>
  <si>
    <t>趣味・特技</t>
    <phoneticPr fontId="4"/>
  </si>
  <si>
    <t>イラスト、ピアノ、料理</t>
    <phoneticPr fontId="4"/>
  </si>
  <si>
    <t>イラスト、ピアノ、料理、天体観測</t>
    <phoneticPr fontId="4"/>
  </si>
  <si>
    <t>好きなもの</t>
    <phoneticPr fontId="4"/>
  </si>
  <si>
    <t>星空、甘いもの、ゲーム</t>
    <phoneticPr fontId="4"/>
  </si>
  <si>
    <t>星空、甘いもの、ゲーム、お絵描き</t>
    <phoneticPr fontId="4"/>
  </si>
  <si>
    <t>ゲーム実況, 歌ってみた, 雑談, ASMR</t>
    <phoneticPr fontId="4"/>
  </si>
  <si>
    <t>メッセージ</t>
    <phoneticPr fontId="4"/>
  </si>
  <si>
    <t>いつも見てくれてありがとう！</t>
    <phoneticPr fontId="4"/>
  </si>
  <si>
    <r>
      <t>いつも見てくれてありがとう！これからもよろしくね</t>
    </r>
    <r>
      <rPr>
        <sz val="11"/>
        <color theme="1"/>
        <rFont val="Segoe UI Symbol"/>
        <family val="2"/>
      </rPr>
      <t>♪</t>
    </r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</si>
</sst>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Calibri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  <font>
      <sz val="11"/>
      <color theme="1"/>
      <name val="MS Gothic"/>
      <family val="2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</font>
    <font>
      <u/>
      <sz val="11"/>
      <color theme="10"/>
      <name val="Calibri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游ゴシック"/>
      <family val="2"/>
      <charset val="128"/>
    </font>
    <font>
      <sz val="12"/>
      <color theme="1"/>
      <name val="Arial"/>
      <family val="2"/>
    </font>
    <font>
      <sz val="11"/>
      <color theme="1"/>
      <name val="Segoe UI Symbol"/>
      <family val="2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90"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9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horizontal="center" vertical="center" textRotation="255"/>
    </xf>
    <xf numFmtId="0" fontId="12" fillId="7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5" fillId="9" borderId="2" xfId="0" applyFont="1" applyFill="1" applyBorder="1" applyAlignment="1">
      <alignment vertical="center"/>
    </xf>
    <xf numFmtId="0" fontId="8" fillId="7" borderId="6" xfId="0" applyFont="1" applyFill="1" applyBorder="1" applyAlignment="1">
      <alignment vertical="center"/>
    </xf>
    <xf numFmtId="0" fontId="12" fillId="7" borderId="6" xfId="0" applyFont="1" applyFill="1" applyBorder="1" applyAlignment="1">
      <alignment vertical="center"/>
    </xf>
    <xf numFmtId="0" fontId="0" fillId="7" borderId="6" xfId="0" applyFill="1" applyBorder="1" applyAlignment="1">
      <alignment vertical="center"/>
    </xf>
    <xf numFmtId="0" fontId="9" fillId="7" borderId="6" xfId="0" applyFont="1" applyFill="1" applyBorder="1" applyAlignment="1">
      <alignment vertical="center"/>
    </xf>
    <xf numFmtId="0" fontId="15" fillId="7" borderId="10" xfId="0" applyFont="1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0" fillId="8" borderId="10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9" fillId="0" borderId="10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15" fillId="7" borderId="12" xfId="0" applyFont="1" applyFill="1" applyBorder="1" applyAlignment="1">
      <alignment vertical="center"/>
    </xf>
    <xf numFmtId="0" fontId="0" fillId="7" borderId="12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16" fillId="0" borderId="12" xfId="0" applyFont="1" applyBorder="1" applyAlignment="1">
      <alignment vertical="center"/>
    </xf>
    <xf numFmtId="0" fontId="0" fillId="0" borderId="12" xfId="0" applyBorder="1" applyAlignment="1">
      <alignment vertical="center"/>
    </xf>
    <xf numFmtId="0" fontId="17" fillId="0" borderId="12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15" fillId="7" borderId="13" xfId="0" applyFont="1" applyFill="1" applyBorder="1" applyAlignment="1">
      <alignment vertical="center"/>
    </xf>
    <xf numFmtId="0" fontId="0" fillId="7" borderId="13" xfId="0" applyFill="1" applyBorder="1" applyAlignment="1">
      <alignment vertical="center"/>
    </xf>
    <xf numFmtId="0" fontId="0" fillId="8" borderId="13" xfId="0" applyFill="1" applyBorder="1" applyAlignment="1">
      <alignment vertical="center"/>
    </xf>
    <xf numFmtId="0" fontId="11" fillId="0" borderId="13" xfId="0" applyFont="1" applyBorder="1" applyAlignment="1">
      <alignment vertical="center"/>
    </xf>
    <xf numFmtId="14" fontId="9" fillId="0" borderId="12" xfId="0" applyNumberFormat="1" applyFont="1" applyBorder="1" applyAlignment="1">
      <alignment vertical="center"/>
    </xf>
    <xf numFmtId="0" fontId="14" fillId="7" borderId="6" xfId="0" applyFont="1" applyFill="1" applyBorder="1" applyAlignment="1">
      <alignment vertical="center"/>
    </xf>
    <xf numFmtId="0" fontId="13" fillId="7" borderId="11" xfId="0" applyFont="1" applyFill="1" applyBorder="1" applyAlignment="1">
      <alignment vertical="center"/>
    </xf>
    <xf numFmtId="0" fontId="13" fillId="7" borderId="7" xfId="0" applyFont="1" applyFill="1" applyBorder="1" applyAlignment="1">
      <alignment vertical="center"/>
    </xf>
    <xf numFmtId="0" fontId="0" fillId="7" borderId="15" xfId="0" applyFill="1" applyBorder="1" applyAlignment="1">
      <alignment vertical="center"/>
    </xf>
    <xf numFmtId="0" fontId="0" fillId="7" borderId="16" xfId="0" applyFill="1" applyBorder="1" applyAlignment="1">
      <alignment vertical="center"/>
    </xf>
    <xf numFmtId="0" fontId="0" fillId="7" borderId="14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16" xfId="0" applyFill="1" applyBorder="1" applyAlignment="1">
      <alignment vertical="center"/>
    </xf>
    <xf numFmtId="0" fontId="0" fillId="8" borderId="14" xfId="0" applyFill="1" applyBorder="1" applyAlignment="1">
      <alignment vertical="center"/>
    </xf>
    <xf numFmtId="0" fontId="11" fillId="0" borderId="15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11" fillId="0" borderId="16" xfId="0" applyFont="1" applyBorder="1" applyAlignment="1">
      <alignment vertical="center"/>
    </xf>
    <xf numFmtId="0" fontId="0" fillId="0" borderId="14" xfId="0" applyBorder="1" applyAlignment="1">
      <alignment vertical="center"/>
    </xf>
    <xf numFmtId="0" fontId="8" fillId="0" borderId="12" xfId="0" applyFont="1" applyBorder="1" applyAlignment="1">
      <alignment vertical="center"/>
    </xf>
    <xf numFmtId="0" fontId="20" fillId="0" borderId="12" xfId="0" applyFont="1" applyBorder="1" applyAlignment="1">
      <alignment vertical="center"/>
    </xf>
    <xf numFmtId="0" fontId="10" fillId="0" borderId="12" xfId="0" applyFont="1" applyBorder="1" applyAlignment="1">
      <alignment vertical="center"/>
    </xf>
    <xf numFmtId="14" fontId="11" fillId="0" borderId="12" xfId="0" applyNumberFormat="1" applyFont="1" applyBorder="1" applyAlignment="1">
      <alignment vertical="center"/>
    </xf>
    <xf numFmtId="0" fontId="10" fillId="7" borderId="2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9" fillId="0" borderId="12" xfId="1" applyBorder="1" applyAlignment="1">
      <alignment vertical="center"/>
    </xf>
    <xf numFmtId="56" fontId="9" fillId="0" borderId="12" xfId="0" applyNumberFormat="1" applyFont="1" applyBorder="1" applyAlignment="1">
      <alignment vertical="center"/>
    </xf>
    <xf numFmtId="0" fontId="8" fillId="7" borderId="6" xfId="0" applyFont="1" applyFill="1" applyBorder="1" applyAlignment="1">
      <alignment vertical="center"/>
    </xf>
    <xf numFmtId="0" fontId="8" fillId="7" borderId="7" xfId="0" applyFont="1" applyFill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8" fillId="7" borderId="2" xfId="0" applyFont="1" applyFill="1" applyBorder="1" applyAlignment="1">
      <alignment horizontal="center" vertical="center" textRotation="255"/>
    </xf>
    <xf numFmtId="0" fontId="8" fillId="7" borderId="11" xfId="0" applyFont="1" applyFill="1" applyBorder="1" applyAlignment="1">
      <alignment vertical="center"/>
    </xf>
    <xf numFmtId="0" fontId="7" fillId="7" borderId="11" xfId="0" applyFont="1" applyFill="1" applyBorder="1" applyAlignment="1">
      <alignment vertical="center"/>
    </xf>
    <xf numFmtId="0" fontId="8" fillId="7" borderId="5" xfId="0" applyFont="1" applyFill="1" applyBorder="1" applyAlignment="1">
      <alignment horizontal="center" vertical="center" textRotation="255"/>
    </xf>
    <xf numFmtId="0" fontId="8" fillId="7" borderId="8" xfId="0" applyFont="1" applyFill="1" applyBorder="1" applyAlignment="1">
      <alignment horizontal="center" vertical="center" textRotation="255"/>
    </xf>
    <xf numFmtId="0" fontId="8" fillId="7" borderId="9" xfId="0" applyFont="1" applyFill="1" applyBorder="1" applyAlignment="1">
      <alignment horizontal="center" vertical="center" textRotation="255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22" fontId="9" fillId="0" borderId="12" xfId="0" applyNumberFormat="1" applyFont="1" applyBorder="1" applyAlignment="1">
      <alignment vertical="center"/>
    </xf>
    <xf numFmtId="22" fontId="0" fillId="0" borderId="12" xfId="0" applyNumberFormat="1" applyBorder="1" applyAlignment="1">
      <alignment vertical="center"/>
    </xf>
  </cellXfs>
  <cellStyles count="2">
    <cellStyle name="ハイパーリンク" xfId="1" builtinId="8"/>
    <cellStyle name="標準" xfId="0" builtinId="0"/>
  </cellStyles>
  <dxfs count="6">
    <dxf>
      <border>
        <left style="dotted">
          <color auto="1"/>
        </left>
        <vertical/>
        <horizontal/>
      </border>
    </dxf>
    <dxf>
      <font>
        <strike val="0"/>
        <color theme="0" tint="-0.24994659260841701"/>
      </font>
      <border>
        <left/>
      </border>
    </dxf>
    <dxf>
      <border>
        <left style="dotted">
          <color auto="1"/>
        </left>
        <vertical/>
        <horizontal/>
      </border>
    </dxf>
    <dxf>
      <font>
        <strike val="0"/>
        <color theme="0" tint="-0.24994659260841701"/>
      </font>
      <border>
        <left/>
      </border>
    </dxf>
    <dxf>
      <font>
        <strike val="0"/>
        <color theme="0" tint="-0.24994659260841701"/>
      </font>
    </dxf>
    <dxf>
      <font>
        <strike val="0"/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32</xdr:row>
      <xdr:rowOff>5953</xdr:rowOff>
    </xdr:from>
    <xdr:to>
      <xdr:col>3</xdr:col>
      <xdr:colOff>0</xdr:colOff>
      <xdr:row>46</xdr:row>
      <xdr:rowOff>190499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84CF9CC-25D6-4413-B49A-DDA6E25B204E}"/>
            </a:ext>
          </a:extLst>
        </xdr:cNvPr>
        <xdr:cNvSpPr/>
      </xdr:nvSpPr>
      <xdr:spPr>
        <a:xfrm>
          <a:off x="1" y="6149578"/>
          <a:ext cx="3559968" cy="285154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■定義が足りないもの（</a:t>
          </a:r>
          <a:r>
            <a:rPr kumimoji="1" lang="en-US" altLang="ja-JP" sz="1100"/>
            <a:t>vtuber_profiles_lang</a:t>
          </a:r>
          <a:r>
            <a:rPr kumimoji="1" lang="ja-JP" altLang="en-US" sz="1100"/>
            <a:t>テーブル？）</a:t>
          </a:r>
          <a:endParaRPr kumimoji="1" lang="en-US" altLang="ja-JP" sz="1100"/>
        </a:p>
        <a:p>
          <a:pPr algn="l"/>
          <a:r>
            <a:rPr kumimoji="1" lang="ja-JP" altLang="en-US" sz="1100"/>
            <a:t>・体重</a:t>
          </a:r>
          <a:endParaRPr kumimoji="1" lang="en-US" altLang="ja-JP" sz="1100"/>
        </a:p>
        <a:p>
          <a:pPr algn="l"/>
          <a:r>
            <a:rPr kumimoji="1" lang="ja-JP" altLang="en-US" sz="1100"/>
            <a:t>・住んでいるところ</a:t>
          </a:r>
          <a:endParaRPr kumimoji="1" lang="en-US" altLang="ja-JP" sz="1100"/>
        </a:p>
        <a:p>
          <a:pPr algn="l"/>
          <a:r>
            <a:rPr kumimoji="1" lang="ja-JP" altLang="en-US" sz="1100"/>
            <a:t>・配信タグ</a:t>
          </a:r>
          <a:endParaRPr kumimoji="1" lang="en-US" altLang="ja-JP" sz="1100"/>
        </a:p>
        <a:p>
          <a:pPr algn="l"/>
          <a:r>
            <a:rPr kumimoji="1" lang="ja-JP" altLang="en-US" sz="1100"/>
            <a:t>・ファンアートタグ</a:t>
          </a:r>
          <a:endParaRPr kumimoji="1" lang="en-US" altLang="ja-JP" sz="1100"/>
        </a:p>
        <a:p>
          <a:pPr algn="l"/>
          <a:r>
            <a:rPr kumimoji="1" lang="ja-JP" altLang="en-US" sz="1100"/>
            <a:t>・</a:t>
          </a:r>
          <a:r>
            <a:rPr kumimoji="1" lang="en-US" altLang="ja-JP" sz="1100"/>
            <a:t>R18</a:t>
          </a:r>
          <a:r>
            <a:rPr kumimoji="1" lang="ja-JP" altLang="en-US" sz="1100"/>
            <a:t>ファンアートタグ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■テーブル追加「削除申請理由」</a:t>
          </a:r>
          <a:endParaRPr kumimoji="1" lang="en-US" altLang="ja-JP" sz="1100"/>
        </a:p>
        <a:p>
          <a:pPr algn="l"/>
          <a:r>
            <a:rPr kumimoji="1" lang="ja-JP" altLang="en-US" sz="1100"/>
            <a:t>・</a:t>
          </a:r>
          <a:r>
            <a:rPr kumimoji="1" lang="en-US" altLang="ja-JP" sz="1100"/>
            <a:t>Vtuber</a:t>
          </a:r>
          <a:r>
            <a:rPr kumimoji="1" lang="ja-JP" altLang="en-US" sz="1100"/>
            <a:t>詳細画面→編集→削除申請→削除申請理由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■課題</a:t>
          </a:r>
          <a:endParaRPr kumimoji="1" lang="en-US" altLang="ja-JP" sz="1100"/>
        </a:p>
        <a:p>
          <a:pPr algn="l"/>
          <a:r>
            <a:rPr kumimoji="1" lang="ja-JP" altLang="en-US" sz="1100"/>
            <a:t>・</a:t>
          </a:r>
          <a:r>
            <a:rPr kumimoji="1" lang="en-US" altLang="ja-JP" sz="1100"/>
            <a:t>PV</a:t>
          </a:r>
          <a:r>
            <a:rPr kumimoji="1" lang="ja-JP" altLang="en-US" sz="1100"/>
            <a:t>数をプロフに表示するが、どこで持つか</a:t>
          </a:r>
          <a:endParaRPr kumimoji="1" lang="en-US" altLang="ja-JP" sz="1100"/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Rhy0eVtudrI" TargetMode="External"/><Relationship Id="rId13" Type="http://schemas.openxmlformats.org/officeDocument/2006/relationships/hyperlink" Target="https://www.youtube.com/watch?v=_cMxraX_5RE" TargetMode="External"/><Relationship Id="rId3" Type="http://schemas.openxmlformats.org/officeDocument/2006/relationships/hyperlink" Target="https://www.tiktok.com/@mirai_chan" TargetMode="External"/><Relationship Id="rId7" Type="http://schemas.openxmlformats.org/officeDocument/2006/relationships/hyperlink" Target="https://www.youtube.com/watch?v=41hv2tW5Lc4" TargetMode="External"/><Relationship Id="rId12" Type="http://schemas.openxmlformats.org/officeDocument/2006/relationships/hyperlink" Target="https://www.youtube.com/shorts/mCugN4-EO8w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twitter.com/mirai_chan" TargetMode="External"/><Relationship Id="rId16" Type="http://schemas.openxmlformats.org/officeDocument/2006/relationships/hyperlink" Target="https://www.youtube.com/watch?v=DFs93KJHAHg" TargetMode="External"/><Relationship Id="rId1" Type="http://schemas.openxmlformats.org/officeDocument/2006/relationships/hyperlink" Target="https://www.youtube.com/channel/UC1234567890" TargetMode="External"/><Relationship Id="rId6" Type="http://schemas.openxmlformats.org/officeDocument/2006/relationships/hyperlink" Target="https://youtu.be/NcP8Du0cBkU" TargetMode="External"/><Relationship Id="rId11" Type="http://schemas.openxmlformats.org/officeDocument/2006/relationships/hyperlink" Target="https://www.youtube.com/watch?v=u9lj-c29dxI" TargetMode="External"/><Relationship Id="rId5" Type="http://schemas.openxmlformats.org/officeDocument/2006/relationships/hyperlink" Target="https://www.youtube.com/watch?v=eRsGyueVLvQ" TargetMode="External"/><Relationship Id="rId15" Type="http://schemas.openxmlformats.org/officeDocument/2006/relationships/hyperlink" Target="https://www.youtube.com/watch?v=Q0zri3tzbek" TargetMode="External"/><Relationship Id="rId10" Type="http://schemas.openxmlformats.org/officeDocument/2006/relationships/hyperlink" Target="https://youtu.be/K0Ilt-cP-yM" TargetMode="External"/><Relationship Id="rId4" Type="http://schemas.openxmlformats.org/officeDocument/2006/relationships/hyperlink" Target="https://www.mirai-chan.com/" TargetMode="External"/><Relationship Id="rId9" Type="http://schemas.openxmlformats.org/officeDocument/2006/relationships/hyperlink" Target="https://www.youtube.com/watch?v=Y-rmzh0PI3c" TargetMode="External"/><Relationship Id="rId14" Type="http://schemas.openxmlformats.org/officeDocument/2006/relationships/hyperlink" Target="https://www.youtube.com/shorts/lck3aPO2dXg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I29"/>
  <sheetViews>
    <sheetView workbookViewId="0">
      <pane xSplit="3" ySplit="1" topLeftCell="D2" activePane="bottomRight" state="frozen"/>
      <selection activeCell="B29" sqref="B29"/>
      <selection pane="topRight" activeCell="B29" sqref="B29"/>
      <selection pane="bottomLeft" activeCell="B29" sqref="B29"/>
      <selection pane="bottomRight" activeCell="B2" sqref="B2"/>
    </sheetView>
  </sheetViews>
  <sheetFormatPr defaultColWidth="14.42578125" defaultRowHeight="15" customHeight="1"/>
  <cols>
    <col min="1" max="2" width="8.7109375" customWidth="1"/>
    <col min="3" max="3" width="3.85546875" customWidth="1"/>
    <col min="4" max="4" width="23.85546875" bestFit="1" customWidth="1"/>
    <col min="5" max="5" width="31.28515625" bestFit="1" customWidth="1"/>
    <col min="6" max="6" width="28.42578125" customWidth="1"/>
    <col min="7" max="7" width="21.7109375" bestFit="1" customWidth="1"/>
    <col min="8" max="8" width="110.7109375" customWidth="1"/>
    <col min="9" max="27" width="8.7109375" customWidth="1"/>
  </cols>
  <sheetData>
    <row r="1" spans="1:9" ht="18.75" customHeight="1">
      <c r="A1" s="1" t="s">
        <v>0</v>
      </c>
      <c r="B1" s="1" t="s">
        <v>562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ht="18.75" customHeight="1">
      <c r="A2" s="1" t="str">
        <f ca="1">IF(COUNTIFS(テーブル定義_一覧!$D$1:$D$501,$D2,テーブル定義_一覧!$A$1:$A$501,"")&gt;0,"","〇")</f>
        <v>〇</v>
      </c>
      <c r="B2" s="1" t="s">
        <v>46</v>
      </c>
      <c r="C2" s="2">
        <f t="shared" ref="C2:C29" si="0">ROW()-1</f>
        <v>1</v>
      </c>
      <c r="D2" s="3" t="str" cm="1">
        <f t="array" aca="1" ref="D2:D29" ca="1">_xlfn.UNIQUE(_xlfn._xlws.FILTER(テーブル定義_一覧!$D$1:$D$501,(テーブル定義_一覧!$D$1:$D$501&lt;&gt;"")*(テーブル定義_一覧!$D$1:$D$501&lt;&gt;"テーブル名(物理名)")))</f>
        <v>vtuber_profiles</v>
      </c>
      <c r="E2" s="3" t="str">
        <f ca="1">_xlfn.XLOOKUP(D2,テーブル定義_一覧!$D$1:$D$501,テーブル定義_一覧!$E$1:$E$501,"error")</f>
        <v>Vtuberプロフィール</v>
      </c>
      <c r="F2" s="3">
        <f ca="1">SUMIF(テーブル定義_一覧!$D$1:$D$501,D2,テーブル定義_一覧!$I$1:$I$501)</f>
        <v>904</v>
      </c>
      <c r="G2" s="3" t="s">
        <v>8</v>
      </c>
      <c r="H2" s="3" t="s">
        <v>453</v>
      </c>
      <c r="I2" s="3"/>
    </row>
    <row r="3" spans="1:9" ht="18.75" customHeight="1">
      <c r="A3" s="1" t="str">
        <f ca="1">IF(COUNTIFS(テーブル定義_一覧!$D$1:$D$501,$D3,テーブル定義_一覧!$A$1:$A$501,"")&gt;0,"","〇")</f>
        <v>〇</v>
      </c>
      <c r="B3" s="1" t="s">
        <v>46</v>
      </c>
      <c r="C3" s="2">
        <f t="shared" si="0"/>
        <v>2</v>
      </c>
      <c r="D3" s="3" t="str">
        <f ca="1"/>
        <v>join_group</v>
      </c>
      <c r="E3" s="3" t="str">
        <f ca="1">_xlfn.XLOOKUP(D3,テーブル定義_一覧!$D$1:$D$501,テーブル定義_一覧!$E$1:$E$501,"error")</f>
        <v>所属</v>
      </c>
      <c r="F3" s="3">
        <f ca="1">SUMIF(テーブル定義_一覧!$D$1:$D$501,D3,テーブル定義_一覧!$I$1:$I$501)</f>
        <v>1224</v>
      </c>
      <c r="G3" s="3" t="s">
        <v>8</v>
      </c>
      <c r="H3" s="3" t="s">
        <v>9</v>
      </c>
      <c r="I3" s="3"/>
    </row>
    <row r="4" spans="1:9" ht="18.75" customHeight="1">
      <c r="A4" s="1" t="str">
        <f ca="1">IF(COUNTIFS(テーブル定義_一覧!$D$1:$D$501,$D4,テーブル定義_一覧!$A$1:$A$501,"")&gt;0,"","〇")</f>
        <v>〇</v>
      </c>
      <c r="B4" s="1" t="s">
        <v>46</v>
      </c>
      <c r="C4" s="2">
        <f t="shared" si="0"/>
        <v>3</v>
      </c>
      <c r="D4" s="3" t="str">
        <f ca="1"/>
        <v>tag</v>
      </c>
      <c r="E4" s="3" t="str">
        <f ca="1">_xlfn.XLOOKUP(D4,テーブル定義_一覧!$D$1:$D$501,テーブル定義_一覧!$E$1:$E$501,"error")</f>
        <v>タグ</v>
      </c>
      <c r="F4" s="3">
        <f ca="1">SUMIF(テーブル定義_一覧!$D$1:$D$501,D4,テーブル定義_一覧!$I$1:$I$501)</f>
        <v>680</v>
      </c>
      <c r="G4" s="3" t="s">
        <v>8</v>
      </c>
      <c r="H4" s="3" t="s">
        <v>10</v>
      </c>
      <c r="I4" s="3"/>
    </row>
    <row r="5" spans="1:9" ht="18.75" customHeight="1">
      <c r="A5" s="1" t="str">
        <f ca="1">IF(COUNTIFS(テーブル定義_一覧!$D$1:$D$501,$D5,テーブル定義_一覧!$A$1:$A$501,"")&gt;0,"","〇")</f>
        <v>〇</v>
      </c>
      <c r="B5" s="1" t="s">
        <v>46</v>
      </c>
      <c r="C5" s="2">
        <f t="shared" si="0"/>
        <v>4</v>
      </c>
      <c r="D5" s="3" t="str">
        <f ca="1"/>
        <v>badge</v>
      </c>
      <c r="E5" s="3" t="str">
        <f ca="1">_xlfn.XLOOKUP(D5,テーブル定義_一覧!$D$1:$D$501,テーブル定義_一覧!$E$1:$E$501,"error")</f>
        <v>バッジ</v>
      </c>
      <c r="F5" s="3">
        <f ca="1">SUMIF(テーブル定義_一覧!$D$1:$D$501,D5,テーブル定義_一覧!$I$1:$I$501)</f>
        <v>872</v>
      </c>
      <c r="G5" s="3" t="s">
        <v>11</v>
      </c>
      <c r="H5" s="3" t="s">
        <v>12</v>
      </c>
      <c r="I5" s="3"/>
    </row>
    <row r="6" spans="1:9" ht="18.75" customHeight="1">
      <c r="A6" s="1" t="str">
        <f ca="1">IF(COUNTIFS(テーブル定義_一覧!$D$1:$D$501,$D6,テーブル定義_一覧!$A$1:$A$501,"")&gt;0,"","〇")</f>
        <v>〇</v>
      </c>
      <c r="B6" s="1" t="s">
        <v>46</v>
      </c>
      <c r="C6" s="2">
        <f t="shared" si="0"/>
        <v>5</v>
      </c>
      <c r="D6" s="3" t="str">
        <f ca="1"/>
        <v>activity_status</v>
      </c>
      <c r="E6" s="3" t="str">
        <f ca="1">_xlfn.XLOOKUP(D6,テーブル定義_一覧!$D$1:$D$501,テーブル定義_一覧!$E$1:$E$501,"error")</f>
        <v>活動状態</v>
      </c>
      <c r="F6" s="3">
        <f ca="1">SUMIF(テーブル定義_一覧!$D$1:$D$501,D6,テーブル定義_一覧!$I$1:$I$501)</f>
        <v>744</v>
      </c>
      <c r="G6" s="3" t="s">
        <v>11</v>
      </c>
      <c r="H6" s="3" t="s">
        <v>13</v>
      </c>
      <c r="I6" s="3"/>
    </row>
    <row r="7" spans="1:9" ht="18.75" customHeight="1">
      <c r="A7" s="1" t="str">
        <f ca="1">IF(COUNTIFS(テーブル定義_一覧!$D$1:$D$501,$D7,テーブル定義_一覧!$A$1:$A$501,"")&gt;0,"","〇")</f>
        <v>〇</v>
      </c>
      <c r="B7" s="1" t="s">
        <v>472</v>
      </c>
      <c r="C7" s="2">
        <f t="shared" si="0"/>
        <v>6</v>
      </c>
      <c r="D7" s="3" t="str">
        <f ca="1"/>
        <v>sns_link</v>
      </c>
      <c r="E7" s="3" t="str">
        <f ca="1">_xlfn.XLOOKUP(D7,テーブル定義_一覧!$D$1:$D$501,テーブル定義_一覧!$E$1:$E$501,"error")</f>
        <v>SNSリンク</v>
      </c>
      <c r="F7" s="3">
        <f ca="1">SUMIF(テーブル定義_一覧!$D$1:$D$501,D7,テーブル定義_一覧!$I$1:$I$501)</f>
        <v>1000</v>
      </c>
      <c r="G7" s="3" t="s">
        <v>8</v>
      </c>
      <c r="H7" s="3" t="s">
        <v>14</v>
      </c>
      <c r="I7" s="3"/>
    </row>
    <row r="8" spans="1:9" ht="18.75" customHeight="1">
      <c r="A8" s="1" t="str">
        <f ca="1">IF(COUNTIFS(テーブル定義_一覧!$D$1:$D$501,$D8,テーブル定義_一覧!$A$1:$A$501,"")&gt;0,"","〇")</f>
        <v>〇</v>
      </c>
      <c r="B8" s="1" t="s">
        <v>472</v>
      </c>
      <c r="C8" s="2">
        <f t="shared" si="0"/>
        <v>7</v>
      </c>
      <c r="D8" s="3" t="str">
        <f ca="1"/>
        <v>bbs_res</v>
      </c>
      <c r="E8" s="3" t="str">
        <f ca="1">_xlfn.XLOOKUP(D8,テーブル定義_一覧!$D$1:$D$501,テーブル定義_一覧!$E$1:$E$501,"error")</f>
        <v>BBS</v>
      </c>
      <c r="F8" s="3">
        <f ca="1">SUMIF(テーブル定義_一覧!$D$1:$D$501,D8,テーブル定義_一覧!$I$1:$I$501)</f>
        <v>808</v>
      </c>
      <c r="G8" s="3" t="s">
        <v>8</v>
      </c>
      <c r="H8" s="3" t="s">
        <v>15</v>
      </c>
      <c r="I8" s="3"/>
    </row>
    <row r="9" spans="1:9" ht="18.75" customHeight="1">
      <c r="A9" s="1" t="str">
        <f ca="1">IF(COUNTIFS(テーブル定義_一覧!$D$1:$D$501,$D9,テーブル定義_一覧!$A$1:$A$501,"")&gt;0,"","〇")</f>
        <v>〇</v>
      </c>
      <c r="B9" s="1" t="s">
        <v>472</v>
      </c>
      <c r="C9" s="2">
        <f t="shared" si="0"/>
        <v>8</v>
      </c>
      <c r="D9" s="3" t="str">
        <f ca="1"/>
        <v>page_author</v>
      </c>
      <c r="E9" s="3" t="str">
        <f ca="1">_xlfn.XLOOKUP(D9,テーブル定義_一覧!$D$1:$D$501,テーブル定義_一覧!$E$1:$E$501,"error")</f>
        <v>ページ編集者</v>
      </c>
      <c r="F9" s="3">
        <f ca="1">SUMIF(テーブル定義_一覧!$D$1:$D$501,D9,テーブル定義_一覧!$I$1:$I$501)</f>
        <v>872</v>
      </c>
      <c r="G9" s="3" t="s">
        <v>8</v>
      </c>
      <c r="H9" s="3" t="s">
        <v>16</v>
      </c>
      <c r="I9" s="3"/>
    </row>
    <row r="10" spans="1:9" ht="18.75" customHeight="1">
      <c r="A10" s="1" t="str">
        <f ca="1">IF(COUNTIFS(テーブル定義_一覧!$D$1:$D$501,$D10,テーブル定義_一覧!$A$1:$A$501,"")&gt;0,"","〇")</f>
        <v>〇</v>
      </c>
      <c r="B10" s="1" t="s">
        <v>472</v>
      </c>
      <c r="C10" s="2">
        <f t="shared" si="0"/>
        <v>9</v>
      </c>
      <c r="D10" s="3" t="str">
        <f ca="1"/>
        <v>contact</v>
      </c>
      <c r="E10" s="3" t="str">
        <f ca="1">_xlfn.XLOOKUP(D10,テーブル定義_一覧!$D$1:$D$501,テーブル定義_一覧!$E$1:$E$501,"error")</f>
        <v>問い合わせ</v>
      </c>
      <c r="F10" s="3">
        <f ca="1">SUMIF(テーブル定義_一覧!$D$1:$D$501,D10,テーブル定義_一覧!$I$1:$I$501)</f>
        <v>4824</v>
      </c>
      <c r="G10" s="3" t="s">
        <v>8</v>
      </c>
      <c r="H10" s="3" t="s">
        <v>17</v>
      </c>
      <c r="I10" s="3"/>
    </row>
    <row r="11" spans="1:9" ht="18.75" customHeight="1">
      <c r="A11" s="1" t="str">
        <f ca="1">IF(COUNTIFS(テーブル定義_一覧!$D$1:$D$501,$D11,テーブル定義_一覧!$A$1:$A$501,"")&gt;0,"","〇")</f>
        <v>〇</v>
      </c>
      <c r="B11" s="1" t="s">
        <v>46</v>
      </c>
      <c r="C11" s="2">
        <f t="shared" si="0"/>
        <v>10</v>
      </c>
      <c r="D11" s="3" t="str">
        <f ca="1"/>
        <v>priority</v>
      </c>
      <c r="E11" s="3" t="str">
        <f ca="1">_xlfn.XLOOKUP(D11,テーブル定義_一覧!$D$1:$D$501,テーブル定義_一覧!$E$1:$E$501,"error")</f>
        <v>優先度</v>
      </c>
      <c r="F11" s="3">
        <f ca="1">SUMIF(テーブル定義_一覧!$D$1:$D$501,D11,テーブル定義_一覧!$I$1:$I$501)</f>
        <v>808</v>
      </c>
      <c r="G11" s="3" t="s">
        <v>11</v>
      </c>
      <c r="H11" s="3" t="s">
        <v>18</v>
      </c>
      <c r="I11" s="3"/>
    </row>
    <row r="12" spans="1:9" ht="18.75" customHeight="1">
      <c r="A12" s="1" t="str">
        <f ca="1">IF(COUNTIFS(テーブル定義_一覧!$D$1:$D$501,$D12,テーブル定義_一覧!$A$1:$A$501,"")&gt;0,"","〇")</f>
        <v>〇</v>
      </c>
      <c r="B12" s="1" t="s">
        <v>46</v>
      </c>
      <c r="C12" s="2">
        <f t="shared" si="0"/>
        <v>11</v>
      </c>
      <c r="D12" s="3" t="str">
        <f ca="1"/>
        <v>response_status</v>
      </c>
      <c r="E12" s="3" t="str">
        <f ca="1">_xlfn.XLOOKUP(D12,テーブル定義_一覧!$D$1:$D$501,テーブル定義_一覧!$E$1:$E$501,"error")</f>
        <v>対応状況</v>
      </c>
      <c r="F12" s="3">
        <f ca="1">SUMIF(テーブル定義_一覧!$D$1:$D$501,D12,テーブル定義_一覧!$I$1:$I$501)</f>
        <v>808</v>
      </c>
      <c r="G12" s="3" t="s">
        <v>11</v>
      </c>
      <c r="H12" s="3" t="s">
        <v>19</v>
      </c>
      <c r="I12" s="3"/>
    </row>
    <row r="13" spans="1:9" ht="18.75" customHeight="1">
      <c r="A13" s="1" t="str">
        <f ca="1">IF(COUNTIFS(テーブル定義_一覧!$D$1:$D$501,$D13,テーブル定義_一覧!$A$1:$A$501,"")&gt;0,"","〇")</f>
        <v>〇</v>
      </c>
      <c r="B13" s="1" t="s">
        <v>46</v>
      </c>
      <c r="C13" s="2">
        <f t="shared" si="0"/>
        <v>12</v>
      </c>
      <c r="D13" s="3" t="str">
        <f ca="1"/>
        <v>language</v>
      </c>
      <c r="E13" s="3" t="str">
        <f ca="1">_xlfn.XLOOKUP(D13,テーブル定義_一覧!$D$1:$D$501,テーブル定義_一覧!$E$1:$E$501,"error")</f>
        <v>表示言語</v>
      </c>
      <c r="F13" s="3">
        <f ca="1">SUMIF(テーブル定義_一覧!$D$1:$D$501,D13,テーブル定義_一覧!$I$1:$I$501)</f>
        <v>848</v>
      </c>
      <c r="G13" s="3" t="s">
        <v>11</v>
      </c>
      <c r="H13" s="3" t="s">
        <v>20</v>
      </c>
      <c r="I13" s="3"/>
    </row>
    <row r="14" spans="1:9" ht="18.75" customHeight="1">
      <c r="A14" s="1" t="str">
        <f ca="1">IF(COUNTIFS(テーブル定義_一覧!$D$1:$D$501,$D14,テーブル定義_一覧!$A$1:$A$501,"")&gt;0,"","〇")</f>
        <v>〇</v>
      </c>
      <c r="B14" s="1" t="s">
        <v>46</v>
      </c>
      <c r="C14" s="2">
        <f t="shared" si="0"/>
        <v>13</v>
      </c>
      <c r="D14" s="3" t="str">
        <f ca="1"/>
        <v>screen_word</v>
      </c>
      <c r="E14" s="3" t="str">
        <f ca="1">_xlfn.XLOOKUP(D14,テーブル定義_一覧!$D$1:$D$501,テーブル定義_一覧!$E$1:$E$501,"error")</f>
        <v>画面文言</v>
      </c>
      <c r="F14" s="3">
        <f ca="1">SUMIF(テーブル定義_一覧!$D$1:$D$501,D14,テーブル定義_一覧!$I$1:$I$501)</f>
        <v>744</v>
      </c>
      <c r="G14" s="3" t="s">
        <v>11</v>
      </c>
      <c r="H14" s="3" t="s">
        <v>21</v>
      </c>
      <c r="I14" s="3"/>
    </row>
    <row r="15" spans="1:9" ht="18.75" customHeight="1">
      <c r="A15" s="1" t="str">
        <f ca="1">IF(COUNTIFS(テーブル定義_一覧!$D$1:$D$501,$D15,テーブル定義_一覧!$A$1:$A$501,"")&gt;0,"","〇")</f>
        <v>〇</v>
      </c>
      <c r="B15" s="1" t="s">
        <v>46</v>
      </c>
      <c r="C15" s="2">
        <f t="shared" si="0"/>
        <v>14</v>
      </c>
      <c r="D15" s="3" t="str">
        <f ca="1"/>
        <v>sns_support</v>
      </c>
      <c r="E15" s="3" t="str">
        <f ca="1">_xlfn.XLOOKUP(D15,テーブル定義_一覧!$D$1:$D$501,テーブル定義_一覧!$E$1:$E$501,"error")</f>
        <v>サポートするSNS</v>
      </c>
      <c r="F15" s="3">
        <f ca="1">SUMIF(テーブル定義_一覧!$D$1:$D$501,D15,テーブル定義_一覧!$I$1:$I$501)</f>
        <v>984</v>
      </c>
      <c r="G15" s="3" t="s">
        <v>11</v>
      </c>
      <c r="H15" s="3" t="s">
        <v>22</v>
      </c>
      <c r="I15" s="3"/>
    </row>
    <row r="16" spans="1:9" ht="18.75" customHeight="1">
      <c r="A16" s="1" t="str">
        <f ca="1">IF(COUNTIFS(テーブル定義_一覧!$D$1:$D$501,$D16,テーブル定義_一覧!$A$1:$A$501,"")&gt;0,"","〇")</f>
        <v>〇</v>
      </c>
      <c r="B16" s="1" t="s">
        <v>472</v>
      </c>
      <c r="C16" s="2">
        <f t="shared" si="0"/>
        <v>15</v>
      </c>
      <c r="D16" s="3" t="str">
        <f ca="1"/>
        <v>profile_report</v>
      </c>
      <c r="E16" s="3" t="str">
        <f ca="1">_xlfn.XLOOKUP(D16,テーブル定義_一覧!$D$1:$D$501,テーブル定義_一覧!$E$1:$E$501,"error")</f>
        <v>プロフィール通報</v>
      </c>
      <c r="F16" s="3">
        <f ca="1">SUMIF(テーブル定義_一覧!$D$1:$D$501,D16,テーブル定義_一覧!$I$1:$I$501)</f>
        <v>840</v>
      </c>
      <c r="G16" s="3" t="s">
        <v>8</v>
      </c>
      <c r="H16" s="3" t="s">
        <v>23</v>
      </c>
      <c r="I16" s="3"/>
    </row>
    <row r="17" spans="1:9" ht="18.75" customHeight="1">
      <c r="A17" s="1" t="str">
        <f ca="1">IF(COUNTIFS(テーブル定義_一覧!$D$1:$D$501,$D17,テーブル定義_一覧!$A$1:$A$501,"")&gt;0,"","〇")</f>
        <v>〇</v>
      </c>
      <c r="B17" s="1" t="s">
        <v>46</v>
      </c>
      <c r="C17" s="2">
        <f t="shared" si="0"/>
        <v>16</v>
      </c>
      <c r="D17" s="3" t="str">
        <f ca="1"/>
        <v>report_reason</v>
      </c>
      <c r="E17" s="3" t="str">
        <f ca="1">_xlfn.XLOOKUP(D17,テーブル定義_一覧!$D$1:$D$501,テーブル定義_一覧!$E$1:$E$501,"error")</f>
        <v>通報理由</v>
      </c>
      <c r="F17" s="3">
        <f ca="1">SUMIF(テーブル定義_一覧!$D$1:$D$501,D17,テーブル定義_一覧!$I$1:$I$501)</f>
        <v>808</v>
      </c>
      <c r="G17" s="3" t="s">
        <v>11</v>
      </c>
      <c r="H17" s="3" t="s">
        <v>24</v>
      </c>
      <c r="I17" s="3"/>
    </row>
    <row r="18" spans="1:9" ht="18.75" customHeight="1">
      <c r="A18" s="1" t="str">
        <f ca="1">IF(COUNTIFS(テーブル定義_一覧!$D$1:$D$501,$D18,テーブル定義_一覧!$A$1:$A$501,"")&gt;0,"","〇")</f>
        <v>〇</v>
      </c>
      <c r="B18" s="1" t="s">
        <v>46</v>
      </c>
      <c r="C18" s="2">
        <f t="shared" si="0"/>
        <v>17</v>
      </c>
      <c r="D18" s="3" t="str">
        <f ca="1"/>
        <v>users</v>
      </c>
      <c r="E18" s="3" t="str">
        <f ca="1">_xlfn.XLOOKUP(D18,テーブル定義_一覧!$D$1:$D$501,テーブル定義_一覧!$E$1:$E$501,"error")</f>
        <v>ユーザー</v>
      </c>
      <c r="F18" s="3">
        <f ca="1">SUMIF(テーブル定義_一覧!$D$1:$D$501,D18,テーブル定義_一覧!$I$1:$I$501)</f>
        <v>1456</v>
      </c>
      <c r="G18" s="3" t="s">
        <v>8</v>
      </c>
      <c r="H18" s="3" t="s">
        <v>25</v>
      </c>
      <c r="I18" s="3"/>
    </row>
    <row r="19" spans="1:9" ht="18.75" customHeight="1">
      <c r="A19" s="1" t="str">
        <f ca="1">IF(COUNTIFS(テーブル定義_一覧!$D$1:$D$501,$D19,テーブル定義_一覧!$A$1:$A$501,"")&gt;0,"","〇")</f>
        <v>〇</v>
      </c>
      <c r="B19" s="1" t="s">
        <v>46</v>
      </c>
      <c r="C19" s="2">
        <f t="shared" si="0"/>
        <v>18</v>
      </c>
      <c r="D19" s="3" t="str">
        <f ca="1"/>
        <v>theme</v>
      </c>
      <c r="E19" s="3" t="str">
        <f ca="1">_xlfn.XLOOKUP(D19,テーブル定義_一覧!$D$1:$D$501,テーブル定義_一覧!$E$1:$E$501,"error")</f>
        <v>画面テーマ</v>
      </c>
      <c r="F19" s="3">
        <f ca="1">SUMIF(テーブル定義_一覧!$D$1:$D$501,D19,テーブル定義_一覧!$I$1:$I$501)</f>
        <v>808</v>
      </c>
      <c r="G19" s="3" t="s">
        <v>11</v>
      </c>
      <c r="H19" s="3" t="s">
        <v>26</v>
      </c>
      <c r="I19" s="3"/>
    </row>
    <row r="20" spans="1:9" ht="18.75" customHeight="1">
      <c r="A20" s="1" t="str">
        <f ca="1">IF(COUNTIFS(テーブル定義_一覧!$D$1:$D$501,$D20,テーブル定義_一覧!$A$1:$A$501,"")&gt;0,"","〇")</f>
        <v>〇</v>
      </c>
      <c r="B20" s="1" t="s">
        <v>46</v>
      </c>
      <c r="C20" s="2">
        <f t="shared" si="0"/>
        <v>19</v>
      </c>
      <c r="D20" s="3" t="str">
        <f ca="1"/>
        <v>user_role</v>
      </c>
      <c r="E20" s="3" t="str">
        <f ca="1">_xlfn.XLOOKUP(D20,テーブル定義_一覧!$D$1:$D$501,テーブル定義_一覧!$E$1:$E$501,"error")</f>
        <v>ユーザー権限</v>
      </c>
      <c r="F20" s="3">
        <f ca="1">SUMIF(テーブル定義_一覧!$D$1:$D$501,D20,テーブル定義_一覧!$I$1:$I$501)</f>
        <v>744</v>
      </c>
      <c r="G20" s="3" t="s">
        <v>11</v>
      </c>
      <c r="H20" s="3" t="s">
        <v>27</v>
      </c>
      <c r="I20" s="3"/>
    </row>
    <row r="21" spans="1:9" ht="18.75" customHeight="1">
      <c r="A21" s="1" t="str">
        <f ca="1">IF(COUNTIFS(テーブル定義_一覧!$D$1:$D$501,$D21,テーブル定義_一覧!$A$1:$A$501,"")&gt;0,"","〇")</f>
        <v>〇</v>
      </c>
      <c r="B21" s="1" t="s">
        <v>472</v>
      </c>
      <c r="C21" s="2">
        <f t="shared" si="0"/>
        <v>20</v>
      </c>
      <c r="D21" s="3" t="str">
        <f ca="1"/>
        <v>images_contents</v>
      </c>
      <c r="E21" s="3" t="str">
        <f ca="1">_xlfn.XLOOKUP(D21,テーブル定義_一覧!$D$1:$D$501,テーブル定義_一覧!$E$1:$E$501,"error")</f>
        <v>画像(ユーザー投稿)</v>
      </c>
      <c r="F21" s="3">
        <f ca="1">SUMIF(テーブル定義_一覧!$D$1:$D$501,D21,テーブル定義_一覧!$I$1:$I$501)</f>
        <v>12240</v>
      </c>
      <c r="G21" s="3" t="s">
        <v>8</v>
      </c>
      <c r="H21" s="3" t="s">
        <v>28</v>
      </c>
      <c r="I21" s="3"/>
    </row>
    <row r="22" spans="1:9" ht="18.75" customHeight="1">
      <c r="A22" s="1" t="str">
        <f ca="1">IF(COUNTIFS(テーブル定義_一覧!$D$1:$D$501,$D22,テーブル定義_一覧!$A$1:$A$501,"")&gt;0,"","〇")</f>
        <v>〇</v>
      </c>
      <c r="B22" s="1" t="s">
        <v>472</v>
      </c>
      <c r="C22" s="2">
        <f t="shared" si="0"/>
        <v>21</v>
      </c>
      <c r="D22" s="3" t="str">
        <f ca="1"/>
        <v>images_system</v>
      </c>
      <c r="E22" s="3" t="str">
        <f ca="1">_xlfn.XLOOKUP(D22,テーブル定義_一覧!$D$1:$D$501,テーブル定義_一覧!$E$1:$E$501,"error")</f>
        <v>画像(システム管理)</v>
      </c>
      <c r="F22" s="3">
        <f ca="1">SUMIF(テーブル定義_一覧!$D$1:$D$501,D22,テーブル定義_一覧!$I$1:$I$501)</f>
        <v>12208</v>
      </c>
      <c r="G22" s="3" t="s">
        <v>11</v>
      </c>
      <c r="H22" s="3" t="s">
        <v>29</v>
      </c>
      <c r="I22" s="3"/>
    </row>
    <row r="23" spans="1:9" ht="18.75" customHeight="1">
      <c r="A23" s="1" t="str">
        <f ca="1">IF(COUNTIFS(テーブル定義_一覧!$D$1:$D$501,$D23,テーブル定義_一覧!$A$1:$A$501,"")&gt;0,"","〇")</f>
        <v>〇</v>
      </c>
      <c r="B23" s="1" t="s">
        <v>472</v>
      </c>
      <c r="C23" s="2">
        <f t="shared" si="0"/>
        <v>22</v>
      </c>
      <c r="D23" s="5" t="str">
        <f ca="1"/>
        <v>screen_element</v>
      </c>
      <c r="E23" s="3" t="str">
        <f ca="1">_xlfn.XLOOKUP(D23,テーブル定義_一覧!$D$1:$D$501,テーブル定義_一覧!$E$1:$E$501,"error")</f>
        <v>画面要素</v>
      </c>
      <c r="F23" s="3">
        <f ca="1">SUMIF(テーブル定義_一覧!$D$1:$D$501,D23,テーブル定義_一覧!$I$1:$I$501)</f>
        <v>808</v>
      </c>
      <c r="G23" s="5" t="s">
        <v>11</v>
      </c>
      <c r="H23" s="5" t="s">
        <v>30</v>
      </c>
      <c r="I23" s="5"/>
    </row>
    <row r="24" spans="1:9" ht="18.75" customHeight="1">
      <c r="A24" s="1" t="str">
        <f ca="1">IF(COUNTIFS(テーブル定義_一覧!$D$1:$D$501,$D24,テーブル定義_一覧!$A$1:$A$501,"")&gt;0,"","〇")</f>
        <v>〇</v>
      </c>
      <c r="B24" s="1" t="s">
        <v>472</v>
      </c>
      <c r="C24" s="4">
        <f t="shared" si="0"/>
        <v>23</v>
      </c>
      <c r="D24" s="6" t="str">
        <f ca="1"/>
        <v>likes</v>
      </c>
      <c r="E24" s="3" t="str">
        <f ca="1">_xlfn.XLOOKUP(D24,テーブル定義_一覧!$D$1:$D$501,テーブル定義_一覧!$E$1:$E$501,"error")</f>
        <v>いいね</v>
      </c>
      <c r="F24" s="3">
        <f ca="1">SUMIF(テーブル定義_一覧!$D$1:$D$501,D24,テーブル定義_一覧!$I$1:$I$501)</f>
        <v>808</v>
      </c>
      <c r="G24" s="3" t="s">
        <v>8</v>
      </c>
      <c r="H24" s="6" t="s">
        <v>445</v>
      </c>
      <c r="I24" s="6"/>
    </row>
    <row r="25" spans="1:9" ht="18.75" customHeight="1">
      <c r="A25" s="1" t="str">
        <f ca="1">IF(COUNTIFS(テーブル定義_一覧!$D$1:$D$501,$D25,テーブル定義_一覧!$A$1:$A$501,"")&gt;0,"","〇")</f>
        <v>〇</v>
      </c>
      <c r="B25" s="1" t="s">
        <v>472</v>
      </c>
      <c r="C25" s="4">
        <f t="shared" si="0"/>
        <v>24</v>
      </c>
      <c r="D25" s="6" t="str">
        <f ca="1"/>
        <v>movie_link</v>
      </c>
      <c r="E25" s="3" t="str">
        <f ca="1">_xlfn.XLOOKUP(D25,テーブル定義_一覧!$D$1:$D$501,テーブル定義_一覧!$E$1:$E$501,"error")</f>
        <v>動画リンク</v>
      </c>
      <c r="F25" s="3">
        <f ca="1">SUMIF(テーブル定義_一覧!$D$1:$D$501,D25,テーブル定義_一覧!$I$1:$I$501)</f>
        <v>712</v>
      </c>
      <c r="G25" s="3" t="s">
        <v>8</v>
      </c>
      <c r="H25" s="6" t="s">
        <v>446</v>
      </c>
      <c r="I25" s="6"/>
    </row>
    <row r="26" spans="1:9" ht="18.75" customHeight="1">
      <c r="A26" s="1" t="str">
        <f ca="1">IF(COUNTIFS(テーブル定義_一覧!$D$1:$D$501,$D26,テーブル定義_一覧!$A$1:$A$501,"")&gt;0,"","〇")</f>
        <v>〇</v>
      </c>
      <c r="B26" s="1" t="s">
        <v>472</v>
      </c>
      <c r="C26" s="4">
        <f t="shared" si="0"/>
        <v>25</v>
      </c>
      <c r="D26" s="6" t="str">
        <f ca="1"/>
        <v>relation</v>
      </c>
      <c r="E26" s="3" t="str">
        <f ca="1">_xlfn.XLOOKUP(D26,テーブル定義_一覧!$D$1:$D$501,テーブル定義_一覧!$E$1:$E$501,"error")</f>
        <v>関係値</v>
      </c>
      <c r="F26" s="3">
        <f ca="1">SUMIF(テーブル定義_一覧!$D$1:$D$501,D26,テーブル定義_一覧!$I$1:$I$501)</f>
        <v>1000</v>
      </c>
      <c r="G26" s="3" t="s">
        <v>8</v>
      </c>
      <c r="H26" s="6" t="s">
        <v>447</v>
      </c>
      <c r="I26" s="6"/>
    </row>
    <row r="27" spans="1:9" ht="18.75" customHeight="1">
      <c r="A27" s="1" t="str">
        <f ca="1">IF(COUNTIFS(テーブル定義_一覧!$D$1:$D$501,$D27,テーブル定義_一覧!$A$1:$A$501,"")&gt;0,"","〇")</f>
        <v>〇</v>
      </c>
      <c r="B27" s="1" t="s">
        <v>472</v>
      </c>
      <c r="C27" s="4">
        <f t="shared" si="0"/>
        <v>26</v>
      </c>
      <c r="D27" s="8" t="str">
        <f ca="1"/>
        <v>vtuber_profiles_lang</v>
      </c>
      <c r="E27" s="3" t="str">
        <f ca="1">_xlfn.XLOOKUP(D27,テーブル定義_一覧!$D$1:$D$501,テーブル定義_一覧!$E$1:$E$501,"error")</f>
        <v>Vtuberプロフィール(各言語)</v>
      </c>
      <c r="F27" s="3">
        <f ca="1">SUMIF(テーブル定義_一覧!$D$1:$D$501,D27,テーブル定義_一覧!$I$1:$I$501)</f>
        <v>5864</v>
      </c>
      <c r="G27" s="5" t="s">
        <v>8</v>
      </c>
      <c r="H27" s="5" t="s">
        <v>454</v>
      </c>
      <c r="I27" s="5"/>
    </row>
    <row r="28" spans="1:9" ht="18.75">
      <c r="A28" s="1" t="str">
        <f ca="1">IF(COUNTIFS(テーブル定義_一覧!$D$1:$D$501,$D28,テーブル定義_一覧!$A$1:$A$501,"")&gt;0,"","〇")</f>
        <v>〇</v>
      </c>
      <c r="B28" s="1" t="s">
        <v>472</v>
      </c>
      <c r="C28" s="4">
        <f t="shared" si="0"/>
        <v>27</v>
      </c>
      <c r="D28" s="6" t="str">
        <f ca="1"/>
        <v>profile_tag</v>
      </c>
      <c r="E28" s="3" t="str">
        <f ca="1">_xlfn.XLOOKUP(D28,テーブル定義_一覧!$D$1:$D$501,テーブル定義_一覧!$E$1:$E$501,"error")</f>
        <v>プロフィールのタグ</v>
      </c>
      <c r="F28" s="3">
        <f ca="1">SUMIF(テーブル定義_一覧!$D$1:$D$501,D28,テーブル定義_一覧!$I$1:$I$501)</f>
        <v>744</v>
      </c>
      <c r="G28" s="6" t="s">
        <v>8</v>
      </c>
      <c r="H28" s="6" t="s">
        <v>460</v>
      </c>
      <c r="I28" s="6"/>
    </row>
    <row r="29" spans="1:9" ht="18.75">
      <c r="A29" s="1" t="str">
        <f ca="1">IF(COUNTIFS(テーブル定義_一覧!$D$1:$D$501,$D29,テーブル定義_一覧!$A$1:$A$501,"")&gt;0,"","〇")</f>
        <v>〇</v>
      </c>
      <c r="B29" s="1" t="s">
        <v>472</v>
      </c>
      <c r="C29" s="4">
        <f t="shared" si="0"/>
        <v>28</v>
      </c>
      <c r="D29" s="18" t="str">
        <f ca="1"/>
        <v>profile_activity</v>
      </c>
      <c r="E29" s="3" t="str">
        <f ca="1">_xlfn.XLOOKUP(D29,テーブル定義_一覧!$D$1:$D$501,テーブル定義_一覧!$E$1:$E$501,"error")</f>
        <v>プロフィールの活動ジャンル</v>
      </c>
      <c r="F29" s="3">
        <f ca="1">SUMIF(テーブル定義_一覧!$D$1:$D$501,D29,テーブル定義_一覧!$I$1:$I$501)</f>
        <v>840</v>
      </c>
      <c r="G29" s="6" t="s">
        <v>8</v>
      </c>
      <c r="H29" s="6" t="s">
        <v>485</v>
      </c>
      <c r="I29" s="6"/>
    </row>
  </sheetData>
  <autoFilter ref="B1:I29" xr:uid="{00000000-0009-0000-0000-000000000000}"/>
  <phoneticPr fontId="4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U278"/>
  <sheetViews>
    <sheetView workbookViewId="0">
      <pane xSplit="3" ySplit="1" topLeftCell="D41" activePane="bottomRight" state="frozen"/>
      <selection activeCell="B29" sqref="B29"/>
      <selection pane="topRight" activeCell="B29" sqref="B29"/>
      <selection pane="bottomLeft" activeCell="B29" sqref="B29"/>
      <selection pane="bottomRight" activeCell="N67" sqref="N67:N68"/>
    </sheetView>
  </sheetViews>
  <sheetFormatPr defaultColWidth="14.42578125" defaultRowHeight="15" customHeight="1"/>
  <cols>
    <col min="1" max="1" width="9" style="7" customWidth="1"/>
    <col min="2" max="2" width="18.85546875" style="7" customWidth="1"/>
    <col min="3" max="3" width="4.42578125" style="7" customWidth="1"/>
    <col min="4" max="4" width="23.85546875" style="7" bestFit="1" customWidth="1"/>
    <col min="5" max="5" width="31.28515625" style="7" bestFit="1" customWidth="1"/>
    <col min="6" max="6" width="36.85546875" style="7" bestFit="1" customWidth="1"/>
    <col min="7" max="7" width="41.42578125" style="7" bestFit="1" customWidth="1"/>
    <col min="8" max="8" width="14.42578125" style="7" bestFit="1" customWidth="1"/>
    <col min="9" max="9" width="8.7109375" style="7" bestFit="1" customWidth="1"/>
    <col min="10" max="10" width="4" style="7" customWidth="1"/>
    <col min="11" max="11" width="3.85546875" style="7" customWidth="1"/>
    <col min="12" max="12" width="11.42578125" style="7" customWidth="1"/>
    <col min="13" max="13" width="14.140625" style="7" customWidth="1"/>
    <col min="14" max="14" width="8.42578125" style="7" customWidth="1"/>
    <col min="15" max="15" width="7.7109375" style="7" customWidth="1"/>
    <col min="16" max="16" width="31.42578125" style="7" bestFit="1" customWidth="1"/>
    <col min="17" max="17" width="46.140625" style="7" bestFit="1" customWidth="1"/>
    <col min="18" max="20" width="13" style="7" customWidth="1"/>
    <col min="21" max="21" width="84.42578125" style="7" customWidth="1"/>
    <col min="22" max="16384" width="14.42578125" style="7"/>
  </cols>
  <sheetData>
    <row r="1" spans="1:21" ht="18.75" customHeight="1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>
      <c r="A2" s="9" t="s">
        <v>46</v>
      </c>
      <c r="B2" s="9" t="str">
        <f>D2&amp;"."&amp;F2</f>
        <v>vtuber_profiles.vtuber_profiles_sequence_id</v>
      </c>
      <c r="C2" s="10">
        <f t="shared" ref="C2:C197" si="0">ROW()-1</f>
        <v>1</v>
      </c>
      <c r="D2" s="11" t="s">
        <v>525</v>
      </c>
      <c r="E2" s="11" t="s">
        <v>528</v>
      </c>
      <c r="F2" s="11" t="str">
        <f>D2&amp;"_sequence_id"</f>
        <v>vtuber_profiles_sequence_id</v>
      </c>
      <c r="G2" s="11" t="str">
        <f>E2&amp;"ID"</f>
        <v>VtuberプロフィールID</v>
      </c>
      <c r="H2" s="11" t="s">
        <v>524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32</v>
      </c>
      <c r="J2" s="11" t="s">
        <v>465</v>
      </c>
      <c r="K2" s="11"/>
      <c r="L2" s="9"/>
      <c r="M2" s="11" t="str">
        <f>IF(K2="","",IF(L2="","参照先未定義",_xlfn.XLOOKUP(L2,$B$1:$B$501,$C$1:$C$501,"エラー")))</f>
        <v/>
      </c>
      <c r="N2" s="11" t="s">
        <v>473</v>
      </c>
      <c r="O2" s="11" t="s">
        <v>473</v>
      </c>
      <c r="P2" s="11" t="s">
        <v>526</v>
      </c>
      <c r="Q2" s="11"/>
      <c r="R2" s="9"/>
      <c r="S2" s="9"/>
      <c r="T2" s="9"/>
      <c r="U2" s="11"/>
    </row>
    <row r="3" spans="1:21" ht="18.75" customHeight="1">
      <c r="A3" s="9" t="s">
        <v>46</v>
      </c>
      <c r="B3" s="9" t="str">
        <f t="shared" ref="B3:B63" ca="1" si="1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468</v>
      </c>
      <c r="G3" s="11" t="s">
        <v>50</v>
      </c>
      <c r="H3" s="11" t="s">
        <v>51</v>
      </c>
      <c r="I3" s="11">
        <f>_xlfn.XLOOKUP(
    $H3,
    型とバイト数!$B$3:$B$54,
    型とバイト数!$E$3:$E$54,
    IF(LEFT($H3,7)="varchar",MID(H3,FIND("(",H3)+1,FIND(")",H3)-FIND("(",H3)-1)*8,
        IF(LEFT($H3,4)="char",MID(H3,FIND("(",H3)+1,FIND(")",H3)-FIND("(",H3)-1)*8,
            IF(LEFT($H3,3)="bit",MID(H3,FIND("(",H3)+1,FIND(")",H3)-FIND("(",H3)-1),"???")
        )
    )
)</f>
        <v>64</v>
      </c>
      <c r="J3" s="11"/>
      <c r="K3" s="11"/>
      <c r="L3" s="9"/>
      <c r="M3" s="11" t="str">
        <f t="shared" ref="M3:M67" si="2">IF(K3="","",IF(L3="","参照先未定義",_xlfn.XLOOKUP(L3,$B$1:$B$501,$C$1:$C$501,"エラー")))</f>
        <v/>
      </c>
      <c r="N3" s="11" t="s">
        <v>465</v>
      </c>
      <c r="O3" s="11" t="s">
        <v>465</v>
      </c>
      <c r="P3" s="11"/>
      <c r="Q3" s="11"/>
      <c r="R3" s="9"/>
      <c r="S3" s="9"/>
      <c r="T3" s="9"/>
      <c r="U3" s="11" t="s">
        <v>529</v>
      </c>
    </row>
    <row r="4" spans="1:21" ht="18.75" customHeight="1">
      <c r="A4" s="9" t="s">
        <v>46</v>
      </c>
      <c r="B4" s="9" t="str">
        <f t="shared" ca="1" si="1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544</v>
      </c>
      <c r="G4" s="11" t="s">
        <v>54</v>
      </c>
      <c r="H4" s="11" t="s">
        <v>99</v>
      </c>
      <c r="I4" s="11">
        <f>_xlfn.XLOOKUP(
    $H4,
    型とバイト数!$B$3:$B$54,
    型とバイト数!$E$3:$E$54,
    IF(LEFT($H4,7)="varchar",MID(H4,FIND("(",H4)+1,FIND(")",H4)-FIND("(",H4)-1)*8,
        IF(LEFT($H4,4)="char",MID(H4,FIND("(",H4)+1,FIND(")",H4)-FIND("(",H4)-1)*8,
            IF(LEFT($H4,3)="bit",MID(H4,FIND("(",H4)+1,FIND(")",H4)-FIND("(",H4)-1),"???")
        )
    )
)</f>
        <v>32</v>
      </c>
      <c r="J4" s="11"/>
      <c r="K4" s="11" t="s">
        <v>48</v>
      </c>
      <c r="L4" s="9" t="s">
        <v>530</v>
      </c>
      <c r="M4" s="11">
        <f t="shared" ca="1" si="2"/>
        <v>150</v>
      </c>
      <c r="N4" s="11"/>
      <c r="O4" s="11"/>
      <c r="P4" s="11"/>
      <c r="Q4" s="11" t="s">
        <v>548</v>
      </c>
      <c r="R4" s="9"/>
      <c r="S4" s="9"/>
      <c r="T4" s="9"/>
      <c r="U4" s="11"/>
    </row>
    <row r="5" spans="1:21" ht="18.75" customHeight="1">
      <c r="A5" s="9" t="s">
        <v>46</v>
      </c>
      <c r="B5" s="9" t="str">
        <f t="shared" ca="1" si="1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458</v>
      </c>
      <c r="G5" s="11" t="s">
        <v>61</v>
      </c>
      <c r="H5" s="11" t="s">
        <v>99</v>
      </c>
      <c r="I5" s="11">
        <f>_xlfn.XLOOKUP(
    $H5,
    型とバイト数!$B$3:$B$54,
    型とバイト数!$E$3:$E$54,
    IF(LEFT($H5,7)="varchar",MID(H5,FIND("(",H5)+1,FIND(")",H5)-FIND("(",H5)-1)*8,
        IF(LEFT($H5,4)="char",MID(H5,FIND("(",H5)+1,FIND(")",H5)-FIND("(",H5)-1)*8,
            IF(LEFT($H5,3)="bit",MID(H5,FIND("(",H5)+1,FIND(")",H5)-FIND("(",H5)-1),"???")
        )
    )
)</f>
        <v>32</v>
      </c>
      <c r="J5" s="11"/>
      <c r="K5" s="11" t="s">
        <v>48</v>
      </c>
      <c r="L5" s="9" t="s">
        <v>531</v>
      </c>
      <c r="M5" s="11">
        <f t="shared" ca="1" si="2"/>
        <v>12</v>
      </c>
      <c r="N5" s="11"/>
      <c r="O5" s="11"/>
      <c r="P5" s="11"/>
      <c r="Q5" s="11" t="s">
        <v>549</v>
      </c>
      <c r="R5" s="9"/>
      <c r="S5" s="9"/>
      <c r="T5" s="9" t="s">
        <v>48</v>
      </c>
      <c r="U5" s="11"/>
    </row>
    <row r="6" spans="1:21" ht="18.75" customHeight="1">
      <c r="A6" s="9" t="s">
        <v>46</v>
      </c>
      <c r="B6" s="9" t="str">
        <f t="shared" ca="1" si="1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66</v>
      </c>
      <c r="G6" s="11" t="s">
        <v>67</v>
      </c>
      <c r="H6" s="11" t="s">
        <v>487</v>
      </c>
      <c r="I6" s="11">
        <f>_xlfn.XLOOKUP(
    $H6,
    型とバイト数!$B$3:$B$54,
    型とバイト数!$E$3:$E$54,
    IF(LEFT($H6,7)="varchar",MID(H6,FIND("(",H6)+1,FIND(")",H6)-FIND("(",H6)-1)*8,
        IF(LEFT($H6,4)="char",MID(H6,FIND("(",H6)+1,FIND(")",H6)-FIND("(",H6)-1)*8,
            IF(LEFT($H6,3)="bit",MID(H6,FIND("(",H6)+1,FIND(")",H6)-FIND("(",H6)-1),"???")
        )
    )
)</f>
        <v>64</v>
      </c>
      <c r="J6" s="11"/>
      <c r="K6" s="11"/>
      <c r="L6" s="9"/>
      <c r="M6" s="11" t="str">
        <f t="shared" si="2"/>
        <v/>
      </c>
      <c r="N6" s="11"/>
      <c r="O6" s="11"/>
      <c r="P6" s="11"/>
      <c r="Q6" s="11"/>
      <c r="R6" s="9"/>
      <c r="S6" s="9"/>
      <c r="T6" s="9" t="s">
        <v>48</v>
      </c>
      <c r="U6" s="11"/>
    </row>
    <row r="7" spans="1:21" ht="18.75" customHeight="1">
      <c r="A7" s="9" t="s">
        <v>46</v>
      </c>
      <c r="B7" s="9" t="str">
        <f t="shared" ca="1" si="1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100</v>
      </c>
      <c r="G7" s="11" t="s">
        <v>101</v>
      </c>
      <c r="H7" s="11" t="s">
        <v>99</v>
      </c>
      <c r="I7" s="11">
        <f>_xlfn.XLOOKUP(
    $H7,
    型とバイト数!$B$3:$B$54,
    型とバイト数!$E$3:$E$54,
    IF(LEFT($H7,7)="varchar",MID(H7,FIND("(",H7)+1,FIND(")",H7)-FIND("(",H7)-1)*8,
        IF(LEFT($H7,4)="char",MID(H7,FIND("(",H7)+1,FIND(")",H7)-FIND("(",H7)-1)*8,
            IF(LEFT($H7,3)="bit",MID(H7,FIND("(",H7)+1,FIND(")",H7)-FIND("(",H7)-1),"???")
        )
    )
)</f>
        <v>32</v>
      </c>
      <c r="J7" s="11"/>
      <c r="K7" s="11" t="s">
        <v>48</v>
      </c>
      <c r="L7" s="9" t="s">
        <v>532</v>
      </c>
      <c r="M7" s="11">
        <f t="shared" ca="1" si="2"/>
        <v>35</v>
      </c>
      <c r="N7" s="11" t="s">
        <v>48</v>
      </c>
      <c r="O7" s="11"/>
      <c r="P7" s="11"/>
      <c r="Q7" s="11" t="s">
        <v>549</v>
      </c>
      <c r="R7" s="9"/>
      <c r="S7" s="9"/>
      <c r="T7" s="9"/>
      <c r="U7" s="11"/>
    </row>
    <row r="8" spans="1:21" ht="18.75" customHeight="1">
      <c r="A8" s="9" t="s">
        <v>46</v>
      </c>
      <c r="B8" s="9" t="str">
        <f t="shared" ca="1" si="1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104</v>
      </c>
      <c r="G8" s="11" t="s">
        <v>105</v>
      </c>
      <c r="H8" s="11" t="s">
        <v>487</v>
      </c>
      <c r="I8" s="11">
        <f>_xlfn.XLOOKUP(
    $H8,
    型とバイト数!$B$3:$B$54,
    型とバイト数!$E$3:$E$54,
    IF(LEFT($H8,7)="varchar",MID(H8,FIND("(",H8)+1,FIND(")",H8)-FIND("(",H8)-1)*8,
        IF(LEFT($H8,4)="char",MID(H8,FIND("(",H8)+1,FIND(")",H8)-FIND("(",H8)-1)*8,
            IF(LEFT($H8,3)="bit",MID(H8,FIND("(",H8)+1,FIND(")",H8)-FIND("(",H8)-1),"???")
        )
    )
)</f>
        <v>64</v>
      </c>
      <c r="J8" s="11"/>
      <c r="K8" s="11"/>
      <c r="L8" s="9"/>
      <c r="M8" s="11" t="str">
        <f t="shared" si="2"/>
        <v/>
      </c>
      <c r="N8" s="11" t="s">
        <v>48</v>
      </c>
      <c r="O8" s="11"/>
      <c r="P8" s="11" t="s">
        <v>106</v>
      </c>
      <c r="Q8" s="11"/>
      <c r="R8" s="9"/>
      <c r="S8" s="9"/>
      <c r="T8" s="9"/>
      <c r="U8" s="11"/>
    </row>
    <row r="9" spans="1:21" ht="18.75" customHeight="1">
      <c r="A9" s="9" t="s">
        <v>46</v>
      </c>
      <c r="B9" s="9" t="str">
        <f t="shared" ca="1" si="1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107</v>
      </c>
      <c r="G9" s="11" t="s">
        <v>108</v>
      </c>
      <c r="H9" s="11" t="s">
        <v>65</v>
      </c>
      <c r="I9" s="11">
        <f>_xlfn.XLOOKUP(
    $H9,
    型とバイト数!$B$3:$B$54,
    型とバイト数!$E$3:$E$54,
    IF(LEFT($H9,7)="varchar",MID(H9,FIND("(",H9)+1,FIND(")",H9)-FIND("(",H9)-1)*8,
        IF(LEFT($H9,4)="char",MID(H9,FIND("(",H9)+1,FIND(")",H9)-FIND("(",H9)-1)*8,
            IF(LEFT($H9,3)="bit",MID(H9,FIND("(",H9)+1,FIND(")",H9)-FIND("(",H9)-1),"???")
        )
    )
)</f>
        <v>256</v>
      </c>
      <c r="J9" s="11"/>
      <c r="K9" s="11"/>
      <c r="L9" s="9"/>
      <c r="M9" s="11" t="str">
        <f t="shared" si="2"/>
        <v/>
      </c>
      <c r="N9" s="11" t="s">
        <v>48</v>
      </c>
      <c r="O9" s="11"/>
      <c r="P9" s="11" t="s">
        <v>109</v>
      </c>
      <c r="Q9" s="11"/>
      <c r="R9" s="9"/>
      <c r="S9" s="9"/>
      <c r="T9" s="9"/>
      <c r="U9" s="11" t="s">
        <v>110</v>
      </c>
    </row>
    <row r="10" spans="1:21" ht="18.75" customHeight="1">
      <c r="A10" s="9" t="s">
        <v>46</v>
      </c>
      <c r="B10" s="9" t="str">
        <f t="shared" ca="1" si="1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111</v>
      </c>
      <c r="G10" s="11" t="s">
        <v>112</v>
      </c>
      <c r="H10" s="11" t="s">
        <v>486</v>
      </c>
      <c r="I10" s="11">
        <f>_xlfn.XLOOKUP(
    $H10,
    型とバイト数!$B$3:$B$54,
    型とバイト数!$E$3:$E$54,
    IF(LEFT($H10,7)="varchar",MID(H10,FIND("(",H10)+1,FIND(")",H10)-FIND("(",H10)-1)*8,
        IF(LEFT($H10,4)="char",MID(H10,FIND("(",H10)+1,FIND(")",H10)-FIND("(",H10)-1)*8,
            IF(LEFT($H10,3)="bit",MID(H10,FIND("(",H10)+1,FIND(")",H10)-FIND("(",H10)-1),"???")
        )
    )
)</f>
        <v>64</v>
      </c>
      <c r="J10" s="11"/>
      <c r="K10" s="11"/>
      <c r="L10" s="9"/>
      <c r="M10" s="11" t="str">
        <f t="shared" si="2"/>
        <v/>
      </c>
      <c r="N10" s="11" t="s">
        <v>48</v>
      </c>
      <c r="O10" s="11"/>
      <c r="P10" s="11" t="s">
        <v>106</v>
      </c>
      <c r="Q10" s="11"/>
      <c r="R10" s="9"/>
      <c r="S10" s="9"/>
      <c r="T10" s="9"/>
      <c r="U10" s="11"/>
    </row>
    <row r="11" spans="1:21" ht="18.75" customHeight="1">
      <c r="A11" s="9" t="s">
        <v>46</v>
      </c>
      <c r="B11" s="9" t="str">
        <f t="shared" ca="1" si="1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113</v>
      </c>
      <c r="G11" s="11" t="s">
        <v>114</v>
      </c>
      <c r="H11" s="11" t="s">
        <v>65</v>
      </c>
      <c r="I11" s="11">
        <f>_xlfn.XLOOKUP(
    $H11,
    型とバイト数!$B$3:$B$54,
    型とバイト数!$E$3:$E$54,
    IF(LEFT($H11,7)="varchar",MID(H11,FIND("(",H11)+1,FIND(")",H11)-FIND("(",H11)-1)*8,
        IF(LEFT($H11,4)="char",MID(H11,FIND("(",H11)+1,FIND(")",H11)-FIND("(",H11)-1)*8,
            IF(LEFT($H11,3)="bit",MID(H11,FIND("(",H11)+1,FIND(")",H11)-FIND("(",H11)-1),"???")
        )
    )
)</f>
        <v>256</v>
      </c>
      <c r="J11" s="11"/>
      <c r="K11" s="11"/>
      <c r="L11" s="9"/>
      <c r="M11" s="11" t="str">
        <f t="shared" si="2"/>
        <v/>
      </c>
      <c r="N11" s="11" t="s">
        <v>48</v>
      </c>
      <c r="O11" s="11"/>
      <c r="P11" s="11" t="s">
        <v>109</v>
      </c>
      <c r="Q11" s="11"/>
      <c r="R11" s="9"/>
      <c r="S11" s="9"/>
      <c r="T11" s="9"/>
      <c r="U11" s="11" t="s">
        <v>110</v>
      </c>
    </row>
    <row r="12" spans="1:21" ht="18.75" customHeight="1">
      <c r="A12" s="9" t="s">
        <v>46</v>
      </c>
      <c r="B12" s="9" t="str">
        <f t="shared" ca="1" si="1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115</v>
      </c>
      <c r="G12" s="11" t="s">
        <v>116</v>
      </c>
      <c r="H12" s="11" t="s">
        <v>489</v>
      </c>
      <c r="I12" s="11">
        <f>_xlfn.XLOOKUP(
    $H12,
    型とバイト数!$B$3:$B$54,
    型とバイト数!$E$3:$E$54,
    IF(LEFT($H12,7)="varchar",MID(H12,FIND("(",H12)+1,FIND(")",H12)-FIND("(",H12)-1)*8,
        IF(LEFT($H12,4)="char",MID(H12,FIND("(",H12)+1,FIND(")",H12)-FIND("(",H12)-1)*8,
            IF(LEFT($H12,3)="bit",MID(H12,FIND("(",H12)+1,FIND(")",H12)-FIND("(",H12)-1),"???")
        )
    )
)</f>
        <v>8</v>
      </c>
      <c r="J12" s="11"/>
      <c r="K12" s="11"/>
      <c r="L12" s="9"/>
      <c r="M12" s="11" t="str">
        <f t="shared" si="2"/>
        <v/>
      </c>
      <c r="N12" s="11" t="s">
        <v>48</v>
      </c>
      <c r="O12" s="11"/>
      <c r="P12" s="11" t="b">
        <v>0</v>
      </c>
      <c r="Q12" s="11"/>
      <c r="R12" s="9"/>
      <c r="S12" s="9"/>
      <c r="T12" s="9"/>
      <c r="U12" s="11"/>
    </row>
    <row r="13" spans="1:21" ht="18.75" customHeight="1">
      <c r="A13" s="9" t="s">
        <v>46</v>
      </c>
      <c r="B13" s="9" t="str">
        <f t="shared" si="1"/>
        <v>join_group.join_group_sequence_id</v>
      </c>
      <c r="C13" s="10">
        <f t="shared" si="0"/>
        <v>12</v>
      </c>
      <c r="D13" s="11" t="s">
        <v>458</v>
      </c>
      <c r="E13" s="11" t="s">
        <v>61</v>
      </c>
      <c r="F13" s="11" t="str">
        <f>D13&amp;"_sequence_id"</f>
        <v>join_group_sequence_id</v>
      </c>
      <c r="G13" s="11" t="str">
        <f>E13&amp;"ID"</f>
        <v>所属ID</v>
      </c>
      <c r="H13" s="11" t="s">
        <v>527</v>
      </c>
      <c r="I13" s="11">
        <f>_xlfn.XLOOKUP(
    $H13,
    型とバイト数!$B$3:$B$54,
    型とバイト数!$E$3:$E$54,
    IF(LEFT($H13,7)="varchar",MID(H13,FIND("(",H13)+1,FIND(")",H13)-FIND("(",H13)-1)*8,
        IF(LEFT($H13,4)="char",MID(H13,FIND("(",H13)+1,FIND(")",H13)-FIND("(",H13)-1)*8,
            IF(LEFT($H13,3)="bit",MID(H13,FIND("(",H13)+1,FIND(")",H13)-FIND("(",H13)-1),"???")
        )
    )
)</f>
        <v>32</v>
      </c>
      <c r="J13" s="11" t="s">
        <v>465</v>
      </c>
      <c r="K13" s="11"/>
      <c r="L13" s="9"/>
      <c r="M13" s="11" t="str">
        <f t="shared" si="2"/>
        <v/>
      </c>
      <c r="N13" s="11" t="s">
        <v>473</v>
      </c>
      <c r="O13" s="11" t="s">
        <v>473</v>
      </c>
      <c r="P13" s="11" t="s">
        <v>526</v>
      </c>
      <c r="Q13" s="11"/>
      <c r="R13" s="9"/>
      <c r="S13" s="9"/>
      <c r="T13" s="9"/>
      <c r="U13" s="11"/>
    </row>
    <row r="14" spans="1:21" ht="18.75" customHeight="1">
      <c r="A14" s="9" t="s">
        <v>46</v>
      </c>
      <c r="B14" s="9" t="str">
        <f t="shared" ca="1" si="1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117</v>
      </c>
      <c r="G14" s="11" t="s">
        <v>118</v>
      </c>
      <c r="H14" s="11" t="s">
        <v>62</v>
      </c>
      <c r="I14" s="11">
        <f>_xlfn.XLOOKUP(
    $H14,
    型とバイト数!$B$3:$B$54,
    型とバイト数!$E$3:$E$54,
    IF(LEFT($H14,7)="varchar",MID(H14,FIND("(",H14)+1,FIND(")",H14)-FIND("(",H14)-1)*8,
        IF(LEFT($H14,4)="char",MID(H14,FIND("(",H14)+1,FIND(")",H14)-FIND("(",H14)-1)*8,
            IF(LEFT($H14,3)="bit",MID(H14,FIND("(",H14)+1,FIND(")",H14)-FIND("(",H14)-1),"???")
        )
    )
)</f>
        <v>512</v>
      </c>
      <c r="J14" s="11"/>
      <c r="K14" s="11"/>
      <c r="L14" s="9"/>
      <c r="M14" s="11" t="str">
        <f t="shared" si="2"/>
        <v/>
      </c>
      <c r="N14" s="11" t="s">
        <v>465</v>
      </c>
      <c r="O14" s="11" t="s">
        <v>465</v>
      </c>
      <c r="P14" s="11"/>
      <c r="Q14" s="11"/>
      <c r="R14" s="9"/>
      <c r="S14" s="9"/>
      <c r="T14" s="9" t="s">
        <v>48</v>
      </c>
      <c r="U14" s="11"/>
    </row>
    <row r="15" spans="1:21" ht="18.75" customHeight="1">
      <c r="A15" s="9" t="s">
        <v>46</v>
      </c>
      <c r="B15" s="9" t="str">
        <f t="shared" ca="1" si="1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119</v>
      </c>
      <c r="G15" s="11" t="s">
        <v>120</v>
      </c>
      <c r="H15" s="11" t="s">
        <v>99</v>
      </c>
      <c r="I15" s="11">
        <f>_xlfn.XLOOKUP(
    $H15,
    型とバイト数!$B$3:$B$54,
    型とバイト数!$E$3:$E$54,
    IF(LEFT($H15,7)="varchar",MID(H15,FIND("(",H15)+1,FIND(")",H15)-FIND("(",H15)-1)*8,
        IF(LEFT($H15,4)="char",MID(H15,FIND("(",H15)+1,FIND(")",H15)-FIND("(",H15)-1)*8,
            IF(LEFT($H15,3)="bit",MID(H15,FIND("(",H15)+1,FIND(")",H15)-FIND("(",H15)-1),"???")
        )
    )
)</f>
        <v>32</v>
      </c>
      <c r="J15" s="11"/>
      <c r="K15" s="11" t="s">
        <v>48</v>
      </c>
      <c r="L15" s="9" t="s">
        <v>532</v>
      </c>
      <c r="M15" s="11">
        <f t="shared" ca="1" si="2"/>
        <v>35</v>
      </c>
      <c r="N15" s="11"/>
      <c r="O15" s="11"/>
      <c r="P15" s="11"/>
      <c r="Q15" s="11" t="s">
        <v>549</v>
      </c>
      <c r="R15" s="9"/>
      <c r="S15" s="9"/>
      <c r="T15" s="9"/>
      <c r="U15" s="11"/>
    </row>
    <row r="16" spans="1:21" ht="18.75" customHeight="1">
      <c r="A16" s="9" t="s">
        <v>46</v>
      </c>
      <c r="B16" s="9" t="str">
        <f t="shared" ca="1" si="1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121</v>
      </c>
      <c r="G16" s="11" t="s">
        <v>122</v>
      </c>
      <c r="H16" s="11" t="s">
        <v>81</v>
      </c>
      <c r="I16" s="11" t="str">
        <f>_xlfn.XLOOKUP(
    $H16,
    型とバイト数!$B$3:$B$54,
    型とバイト数!$E$3:$E$54,
    IF(LEFT($H16,7)="varchar",MID(H16,FIND("(",H16)+1,FIND(")",H16)-FIND("(",H16)-1)*8,
        IF(LEFT($H16,4)="char",MID(H16,FIND("(",H16)+1,FIND(")",H16)-FIND("(",H16)-1)*8,
            IF(LEFT($H16,3)="bit",MID(H16,FIND("(",H16)+1,FIND(")",H16)-FIND("(",H16)-1),"???")
        )
    )
)</f>
        <v>-</v>
      </c>
      <c r="J16" s="11"/>
      <c r="K16" s="11"/>
      <c r="L16" s="9"/>
      <c r="M16" s="11" t="str">
        <f t="shared" si="2"/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>
      <c r="A17" s="9" t="s">
        <v>46</v>
      </c>
      <c r="B17" s="9" t="str">
        <f t="shared" ca="1" si="1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104</v>
      </c>
      <c r="G17" s="11" t="s">
        <v>105</v>
      </c>
      <c r="H17" s="11" t="s">
        <v>487</v>
      </c>
      <c r="I17" s="11">
        <f>_xlfn.XLOOKUP(
    $H17,
    型とバイト数!$B$3:$B$54,
    型とバイト数!$E$3:$E$54,
    IF(LEFT($H17,7)="varchar",MID(H17,FIND("(",H17)+1,FIND(")",H17)-FIND("(",H17)-1)*8,
        IF(LEFT($H17,4)="char",MID(H17,FIND("(",H17)+1,FIND(")",H17)-FIND("(",H17)-1)*8,
            IF(LEFT($H17,3)="bit",MID(H17,FIND("(",H17)+1,FIND(")",H17)-FIND("(",H17)-1),"???")
        )
    )
)</f>
        <v>64</v>
      </c>
      <c r="J17" s="11"/>
      <c r="K17" s="11"/>
      <c r="L17" s="9"/>
      <c r="M17" s="11" t="str">
        <f t="shared" si="2"/>
        <v/>
      </c>
      <c r="N17" s="11" t="s">
        <v>48</v>
      </c>
      <c r="O17" s="11"/>
      <c r="P17" s="11" t="s">
        <v>106</v>
      </c>
      <c r="Q17" s="11"/>
      <c r="R17" s="9"/>
      <c r="S17" s="9"/>
      <c r="T17" s="9"/>
      <c r="U17" s="11"/>
    </row>
    <row r="18" spans="1:21" ht="18.75" customHeight="1">
      <c r="A18" s="9" t="s">
        <v>46</v>
      </c>
      <c r="B18" s="9" t="str">
        <f t="shared" ca="1" si="1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107</v>
      </c>
      <c r="G18" s="11" t="s">
        <v>108</v>
      </c>
      <c r="H18" s="11" t="s">
        <v>65</v>
      </c>
      <c r="I18" s="11">
        <f>_xlfn.XLOOKUP(
    $H18,
    型とバイト数!$B$3:$B$54,
    型とバイト数!$E$3:$E$54,
    IF(LEFT($H18,7)="varchar",MID(H18,FIND("(",H18)+1,FIND(")",H18)-FIND("(",H18)-1)*8,
        IF(LEFT($H18,4)="char",MID(H18,FIND("(",H18)+1,FIND(")",H18)-FIND("(",H18)-1)*8,
            IF(LEFT($H18,3)="bit",MID(H18,FIND("(",H18)+1,FIND(")",H18)-FIND("(",H18)-1),"???")
        )
    )
)</f>
        <v>256</v>
      </c>
      <c r="J18" s="11"/>
      <c r="K18" s="11"/>
      <c r="L18" s="9"/>
      <c r="M18" s="11" t="str">
        <f t="shared" si="2"/>
        <v/>
      </c>
      <c r="N18" s="11" t="s">
        <v>48</v>
      </c>
      <c r="O18" s="11"/>
      <c r="P18" s="11" t="s">
        <v>109</v>
      </c>
      <c r="Q18" s="11"/>
      <c r="R18" s="9"/>
      <c r="S18" s="9"/>
      <c r="T18" s="9"/>
      <c r="U18" s="11" t="s">
        <v>110</v>
      </c>
    </row>
    <row r="19" spans="1:21" ht="18.75" customHeight="1">
      <c r="A19" s="9" t="s">
        <v>46</v>
      </c>
      <c r="B19" s="9" t="str">
        <f t="shared" ca="1" si="1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111</v>
      </c>
      <c r="G19" s="11" t="s">
        <v>112</v>
      </c>
      <c r="H19" s="11" t="s">
        <v>487</v>
      </c>
      <c r="I19" s="11">
        <f>_xlfn.XLOOKUP(
    $H19,
    型とバイト数!$B$3:$B$54,
    型とバイト数!$E$3:$E$54,
    IF(LEFT($H19,7)="varchar",MID(H19,FIND("(",H19)+1,FIND(")",H19)-FIND("(",H19)-1)*8,
        IF(LEFT($H19,4)="char",MID(H19,FIND("(",H19)+1,FIND(")",H19)-FIND("(",H19)-1)*8,
            IF(LEFT($H19,3)="bit",MID(H19,FIND("(",H19)+1,FIND(")",H19)-FIND("(",H19)-1),"???")
        )
    )
)</f>
        <v>64</v>
      </c>
      <c r="J19" s="11"/>
      <c r="K19" s="11"/>
      <c r="L19" s="9"/>
      <c r="M19" s="11" t="str">
        <f t="shared" si="2"/>
        <v/>
      </c>
      <c r="N19" s="11" t="s">
        <v>48</v>
      </c>
      <c r="O19" s="11"/>
      <c r="P19" s="11" t="s">
        <v>106</v>
      </c>
      <c r="Q19" s="11"/>
      <c r="R19" s="9"/>
      <c r="S19" s="9"/>
      <c r="T19" s="9"/>
      <c r="U19" s="11"/>
    </row>
    <row r="20" spans="1:21" ht="18.75" customHeight="1">
      <c r="A20" s="9" t="s">
        <v>46</v>
      </c>
      <c r="B20" s="9" t="str">
        <f t="shared" ca="1" si="1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113</v>
      </c>
      <c r="G20" s="11" t="s">
        <v>114</v>
      </c>
      <c r="H20" s="11" t="s">
        <v>65</v>
      </c>
      <c r="I20" s="11">
        <f>_xlfn.XLOOKUP(
    $H20,
    型とバイト数!$B$3:$B$54,
    型とバイト数!$E$3:$E$54,
    IF(LEFT($H20,7)="varchar",MID(H20,FIND("(",H20)+1,FIND(")",H20)-FIND("(",H20)-1)*8,
        IF(LEFT($H20,4)="char",MID(H20,FIND("(",H20)+1,FIND(")",H20)-FIND("(",H20)-1)*8,
            IF(LEFT($H20,3)="bit",MID(H20,FIND("(",H20)+1,FIND(")",H20)-FIND("(",H20)-1),"???")
        )
    )
)</f>
        <v>256</v>
      </c>
      <c r="J20" s="11"/>
      <c r="K20" s="11"/>
      <c r="L20" s="9"/>
      <c r="M20" s="11" t="str">
        <f t="shared" si="2"/>
        <v/>
      </c>
      <c r="N20" s="11" t="s">
        <v>48</v>
      </c>
      <c r="O20" s="11"/>
      <c r="P20" s="11" t="s">
        <v>109</v>
      </c>
      <c r="Q20" s="11"/>
      <c r="R20" s="9"/>
      <c r="S20" s="9"/>
      <c r="T20" s="9"/>
      <c r="U20" s="11" t="s">
        <v>110</v>
      </c>
    </row>
    <row r="21" spans="1:21" ht="18.75" customHeight="1">
      <c r="A21" s="9" t="s">
        <v>46</v>
      </c>
      <c r="B21" s="9" t="str">
        <f t="shared" ca="1" si="1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115</v>
      </c>
      <c r="G21" s="11" t="s">
        <v>116</v>
      </c>
      <c r="H21" s="11" t="s">
        <v>489</v>
      </c>
      <c r="I21" s="11">
        <f>_xlfn.XLOOKUP(
    $H21,
    型とバイト数!$B$3:$B$54,
    型とバイト数!$E$3:$E$54,
    IF(LEFT($H21,7)="varchar",MID(H21,FIND("(",H21)+1,FIND(")",H21)-FIND("(",H21)-1)*8,
        IF(LEFT($H21,4)="char",MID(H21,FIND("(",H21)+1,FIND(")",H21)-FIND("(",H21)-1)*8,
            IF(LEFT($H21,3)="bit",MID(H21,FIND("(",H21)+1,FIND(")",H21)-FIND("(",H21)-1),"???")
        )
    )
)</f>
        <v>8</v>
      </c>
      <c r="J21" s="11"/>
      <c r="K21" s="11"/>
      <c r="L21" s="9"/>
      <c r="M21" s="11" t="str">
        <f t="shared" si="2"/>
        <v/>
      </c>
      <c r="N21" s="11" t="s">
        <v>48</v>
      </c>
      <c r="O21" s="11"/>
      <c r="P21" s="11" t="b">
        <v>0</v>
      </c>
      <c r="Q21" s="11"/>
      <c r="R21" s="9"/>
      <c r="S21" s="9"/>
      <c r="T21" s="9"/>
      <c r="U21" s="11"/>
    </row>
    <row r="22" spans="1:21" ht="18.75" customHeight="1">
      <c r="A22" s="9" t="s">
        <v>46</v>
      </c>
      <c r="B22" s="9" t="str">
        <f t="shared" si="1"/>
        <v>tag.tag_sequence_id</v>
      </c>
      <c r="C22" s="10">
        <f t="shared" si="0"/>
        <v>21</v>
      </c>
      <c r="D22" s="11" t="s">
        <v>123</v>
      </c>
      <c r="E22" s="11" t="s">
        <v>74</v>
      </c>
      <c r="F22" s="11" t="str">
        <f>D22&amp;"_sequence_id"</f>
        <v>tag_sequence_id</v>
      </c>
      <c r="G22" s="11" t="str">
        <f>E22&amp;"ID"</f>
        <v>タグID</v>
      </c>
      <c r="H22" s="11" t="s">
        <v>527</v>
      </c>
      <c r="I22" s="11">
        <f>_xlfn.XLOOKUP(
    $H22,
    型とバイト数!$B$3:$B$54,
    型とバイト数!$E$3:$E$54,
    IF(LEFT($H22,7)="varchar",MID(H22,FIND("(",H22)+1,FIND(")",H22)-FIND("(",H22)-1)*8,
        IF(LEFT($H22,4)="char",MID(H22,FIND("(",H22)+1,FIND(")",H22)-FIND("(",H22)-1)*8,
            IF(LEFT($H22,3)="bit",MID(H22,FIND("(",H22)+1,FIND(")",H22)-FIND("(",H22)-1),"???")
        )
    )
)</f>
        <v>32</v>
      </c>
      <c r="J22" s="11" t="s">
        <v>465</v>
      </c>
      <c r="K22" s="11"/>
      <c r="L22" s="9"/>
      <c r="M22" s="11" t="str">
        <f t="shared" si="2"/>
        <v/>
      </c>
      <c r="N22" s="11" t="s">
        <v>473</v>
      </c>
      <c r="O22" s="11" t="s">
        <v>473</v>
      </c>
      <c r="P22" s="11" t="s">
        <v>526</v>
      </c>
      <c r="Q22" s="11"/>
      <c r="R22" s="9"/>
      <c r="S22" s="9"/>
      <c r="T22" s="9"/>
      <c r="U22" s="11"/>
    </row>
    <row r="23" spans="1:21" ht="18.75" customHeight="1">
      <c r="A23" s="9" t="s">
        <v>46</v>
      </c>
      <c r="B23" s="9" t="str">
        <f t="shared" ca="1" si="1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123</v>
      </c>
      <c r="G23" s="11" t="s">
        <v>124</v>
      </c>
      <c r="H23" s="11" t="s">
        <v>81</v>
      </c>
      <c r="I23" s="11" t="str">
        <f>_xlfn.XLOOKUP(
    $H23,
    型とバイト数!$B$3:$B$54,
    型とバイト数!$E$3:$E$54,
    IF(LEFT($H23,7)="varchar",MID(H23,FIND("(",H23)+1,FIND(")",H23)-FIND("(",H23)-1)*8,
        IF(LEFT($H23,4)="char",MID(H23,FIND("(",H23)+1,FIND(")",H23)-FIND("(",H23)-1)*8,
            IF(LEFT($H23,3)="bit",MID(H23,FIND("(",H23)+1,FIND(")",H23)-FIND("(",H23)-1),"???")
        )
    )
)</f>
        <v>-</v>
      </c>
      <c r="J23" s="11"/>
      <c r="K23" s="11"/>
      <c r="L23" s="9"/>
      <c r="M23" s="11" t="str">
        <f t="shared" si="2"/>
        <v/>
      </c>
      <c r="N23" s="11" t="s">
        <v>465</v>
      </c>
      <c r="O23" s="11" t="s">
        <v>465</v>
      </c>
      <c r="P23" s="11"/>
      <c r="Q23" s="11"/>
      <c r="R23" s="9"/>
      <c r="S23" s="9"/>
      <c r="T23" s="9" t="s">
        <v>48</v>
      </c>
      <c r="U23" s="11"/>
    </row>
    <row r="24" spans="1:21" ht="18.75" customHeight="1">
      <c r="A24" s="9" t="s">
        <v>46</v>
      </c>
      <c r="B24" s="9" t="str">
        <f t="shared" ca="1" si="1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104</v>
      </c>
      <c r="G24" s="11" t="s">
        <v>105</v>
      </c>
      <c r="H24" s="11" t="s">
        <v>487</v>
      </c>
      <c r="I24" s="11">
        <f>_xlfn.XLOOKUP(
    $H24,
    型とバイト数!$B$3:$B$54,
    型とバイト数!$E$3:$E$54,
    IF(LEFT($H24,7)="varchar",MID(H24,FIND("(",H24)+1,FIND(")",H24)-FIND("(",H24)-1)*8,
        IF(LEFT($H24,4)="char",MID(H24,FIND("(",H24)+1,FIND(")",H24)-FIND("(",H24)-1)*8,
            IF(LEFT($H24,3)="bit",MID(H24,FIND("(",H24)+1,FIND(")",H24)-FIND("(",H24)-1),"???")
        )
    )
)</f>
        <v>64</v>
      </c>
      <c r="J24" s="11"/>
      <c r="K24" s="11"/>
      <c r="L24" s="9"/>
      <c r="M24" s="11" t="str">
        <f t="shared" si="2"/>
        <v/>
      </c>
      <c r="N24" s="11" t="s">
        <v>48</v>
      </c>
      <c r="O24" s="11"/>
      <c r="P24" s="11" t="s">
        <v>106</v>
      </c>
      <c r="Q24" s="11"/>
      <c r="R24" s="9"/>
      <c r="S24" s="9"/>
      <c r="T24" s="9"/>
      <c r="U24" s="11"/>
    </row>
    <row r="25" spans="1:21" ht="18.75" customHeight="1">
      <c r="A25" s="9" t="s">
        <v>46</v>
      </c>
      <c r="B25" s="9" t="str">
        <f t="shared" ca="1" si="1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107</v>
      </c>
      <c r="G25" s="11" t="s">
        <v>108</v>
      </c>
      <c r="H25" s="11" t="s">
        <v>65</v>
      </c>
      <c r="I25" s="11">
        <f>_xlfn.XLOOKUP(
    $H25,
    型とバイト数!$B$3:$B$54,
    型とバイト数!$E$3:$E$54,
    IF(LEFT($H25,7)="varchar",MID(H25,FIND("(",H25)+1,FIND(")",H25)-FIND("(",H25)-1)*8,
        IF(LEFT($H25,4)="char",MID(H25,FIND("(",H25)+1,FIND(")",H25)-FIND("(",H25)-1)*8,
            IF(LEFT($H25,3)="bit",MID(H25,FIND("(",H25)+1,FIND(")",H25)-FIND("(",H25)-1),"???")
        )
    )
)</f>
        <v>256</v>
      </c>
      <c r="J25" s="11"/>
      <c r="K25" s="11"/>
      <c r="L25" s="9"/>
      <c r="M25" s="11" t="str">
        <f t="shared" si="2"/>
        <v/>
      </c>
      <c r="N25" s="11" t="s">
        <v>48</v>
      </c>
      <c r="O25" s="11"/>
      <c r="P25" s="11" t="s">
        <v>109</v>
      </c>
      <c r="Q25" s="11"/>
      <c r="R25" s="9"/>
      <c r="S25" s="9"/>
      <c r="T25" s="9"/>
      <c r="U25" s="11" t="s">
        <v>110</v>
      </c>
    </row>
    <row r="26" spans="1:21" ht="18.75" customHeight="1">
      <c r="A26" s="9" t="s">
        <v>46</v>
      </c>
      <c r="B26" s="9" t="str">
        <f t="shared" ca="1" si="1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111</v>
      </c>
      <c r="G26" s="11" t="s">
        <v>112</v>
      </c>
      <c r="H26" s="11" t="s">
        <v>487</v>
      </c>
      <c r="I26" s="11">
        <f>_xlfn.XLOOKUP(
    $H26,
    型とバイト数!$B$3:$B$54,
    型とバイト数!$E$3:$E$54,
    IF(LEFT($H26,7)="varchar",MID(H26,FIND("(",H26)+1,FIND(")",H26)-FIND("(",H26)-1)*8,
        IF(LEFT($H26,4)="char",MID(H26,FIND("(",H26)+1,FIND(")",H26)-FIND("(",H26)-1)*8,
            IF(LEFT($H26,3)="bit",MID(H26,FIND("(",H26)+1,FIND(")",H26)-FIND("(",H26)-1),"???")
        )
    )
)</f>
        <v>64</v>
      </c>
      <c r="J26" s="11"/>
      <c r="K26" s="11"/>
      <c r="L26" s="9"/>
      <c r="M26" s="11" t="str">
        <f t="shared" si="2"/>
        <v/>
      </c>
      <c r="N26" s="11" t="s">
        <v>48</v>
      </c>
      <c r="O26" s="11"/>
      <c r="P26" s="11" t="s">
        <v>106</v>
      </c>
      <c r="Q26" s="11"/>
      <c r="R26" s="9"/>
      <c r="S26" s="9"/>
      <c r="T26" s="9"/>
      <c r="U26" s="11"/>
    </row>
    <row r="27" spans="1:21" ht="18.75" customHeight="1">
      <c r="A27" s="9" t="s">
        <v>46</v>
      </c>
      <c r="B27" s="9" t="str">
        <f t="shared" ca="1" si="1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113</v>
      </c>
      <c r="G27" s="11" t="s">
        <v>114</v>
      </c>
      <c r="H27" s="11" t="s">
        <v>65</v>
      </c>
      <c r="I27" s="11">
        <f>_xlfn.XLOOKUP(
    $H27,
    型とバイト数!$B$3:$B$54,
    型とバイト数!$E$3:$E$54,
    IF(LEFT($H27,7)="varchar",MID(H27,FIND("(",H27)+1,FIND(")",H27)-FIND("(",H27)-1)*8,
        IF(LEFT($H27,4)="char",MID(H27,FIND("(",H27)+1,FIND(")",H27)-FIND("(",H27)-1)*8,
            IF(LEFT($H27,3)="bit",MID(H27,FIND("(",H27)+1,FIND(")",H27)-FIND("(",H27)-1),"???")
        )
    )
)</f>
        <v>256</v>
      </c>
      <c r="J27" s="11"/>
      <c r="K27" s="11"/>
      <c r="L27" s="9"/>
      <c r="M27" s="11" t="str">
        <f t="shared" si="2"/>
        <v/>
      </c>
      <c r="N27" s="11" t="s">
        <v>48</v>
      </c>
      <c r="O27" s="11"/>
      <c r="P27" s="11" t="s">
        <v>109</v>
      </c>
      <c r="Q27" s="11"/>
      <c r="R27" s="9"/>
      <c r="S27" s="9"/>
      <c r="T27" s="9"/>
      <c r="U27" s="11" t="s">
        <v>110</v>
      </c>
    </row>
    <row r="28" spans="1:21" ht="18.75" customHeight="1">
      <c r="A28" s="9" t="s">
        <v>46</v>
      </c>
      <c r="B28" s="9" t="str">
        <f t="shared" ca="1" si="1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115</v>
      </c>
      <c r="G28" s="11" t="s">
        <v>116</v>
      </c>
      <c r="H28" s="11" t="s">
        <v>489</v>
      </c>
      <c r="I28" s="11">
        <f>_xlfn.XLOOKUP(
    $H28,
    型とバイト数!$B$3:$B$54,
    型とバイト数!$E$3:$E$54,
    IF(LEFT($H28,7)="varchar",MID(H28,FIND("(",H28)+1,FIND(")",H28)-FIND("(",H28)-1)*8,
        IF(LEFT($H28,4)="char",MID(H28,FIND("(",H28)+1,FIND(")",H28)-FIND("(",H28)-1)*8,
            IF(LEFT($H28,3)="bit",MID(H28,FIND("(",H28)+1,FIND(")",H28)-FIND("(",H28)-1),"???")
        )
    )
)</f>
        <v>8</v>
      </c>
      <c r="J28" s="11"/>
      <c r="K28" s="11"/>
      <c r="L28" s="9"/>
      <c r="M28" s="11" t="str">
        <f t="shared" si="2"/>
        <v/>
      </c>
      <c r="N28" s="11" t="s">
        <v>48</v>
      </c>
      <c r="O28" s="11"/>
      <c r="P28" s="11" t="b">
        <v>0</v>
      </c>
      <c r="Q28" s="11"/>
      <c r="R28" s="9"/>
      <c r="S28" s="9"/>
      <c r="T28" s="9"/>
      <c r="U28" s="11"/>
    </row>
    <row r="29" spans="1:21" ht="18.75" customHeight="1">
      <c r="A29" s="9" t="s">
        <v>46</v>
      </c>
      <c r="B29" s="9" t="str">
        <f t="shared" si="1"/>
        <v>badge.badge_sequence_id</v>
      </c>
      <c r="C29" s="10">
        <f t="shared" si="0"/>
        <v>28</v>
      </c>
      <c r="D29" s="11" t="s">
        <v>125</v>
      </c>
      <c r="E29" s="11" t="s">
        <v>126</v>
      </c>
      <c r="F29" s="11" t="str">
        <f>D29&amp;"_sequence_id"</f>
        <v>badge_sequence_id</v>
      </c>
      <c r="G29" s="11" t="str">
        <f>E29&amp;"ID"</f>
        <v>バッジID</v>
      </c>
      <c r="H29" s="11" t="s">
        <v>527</v>
      </c>
      <c r="I29" s="11">
        <f>_xlfn.XLOOKUP(
    $H29,
    型とバイト数!$B$3:$B$54,
    型とバイト数!$E$3:$E$54,
    IF(LEFT($H29,7)="varchar",MID(H29,FIND("(",H29)+1,FIND(")",H29)-FIND("(",H29)-1)*8,
        IF(LEFT($H29,4)="char",MID(H29,FIND("(",H29)+1,FIND(")",H29)-FIND("(",H29)-1)*8,
            IF(LEFT($H29,3)="bit",MID(H29,FIND("(",H29)+1,FIND(")",H29)-FIND("(",H29)-1),"???")
        )
    )
)</f>
        <v>32</v>
      </c>
      <c r="J29" s="11" t="s">
        <v>465</v>
      </c>
      <c r="K29" s="11"/>
      <c r="L29" s="9"/>
      <c r="M29" s="11" t="str">
        <f t="shared" si="2"/>
        <v/>
      </c>
      <c r="N29" s="11" t="s">
        <v>473</v>
      </c>
      <c r="O29" s="11" t="s">
        <v>473</v>
      </c>
      <c r="P29" s="11" t="s">
        <v>526</v>
      </c>
      <c r="Q29" s="11"/>
      <c r="R29" s="9"/>
      <c r="S29" s="9"/>
      <c r="T29" s="9"/>
      <c r="U29" s="11"/>
    </row>
    <row r="30" spans="1:21" ht="18.75" customHeight="1">
      <c r="A30" s="9" t="s">
        <v>46</v>
      </c>
      <c r="B30" s="9" t="str">
        <f t="shared" ca="1" si="1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127</v>
      </c>
      <c r="G30" s="11" t="s">
        <v>128</v>
      </c>
      <c r="H30" s="11" t="s">
        <v>129</v>
      </c>
      <c r="I30" s="11">
        <f>_xlfn.XLOOKUP(
    $H30,
    型とバイト数!$B$3:$B$54,
    型とバイト数!$E$3:$E$54,
    IF(LEFT($H30,7)="varchar",MID(H30,FIND("(",H30)+1,FIND(")",H30)-FIND("(",H30)-1)*8,
        IF(LEFT($H30,4)="char",MID(H30,FIND("(",H30)+1,FIND(")",H30)-FIND("(",H30)-1)*8,
            IF(LEFT($H30,3)="bit",MID(H30,FIND("(",H30)+1,FIND(")",H30)-FIND("(",H30)-1),"???")
        )
    )
)</f>
        <v>192</v>
      </c>
      <c r="J30" s="11"/>
      <c r="K30" s="11"/>
      <c r="L30" s="9"/>
      <c r="M30" s="11" t="str">
        <f t="shared" si="2"/>
        <v/>
      </c>
      <c r="N30" s="11" t="s">
        <v>465</v>
      </c>
      <c r="O30" s="11" t="s">
        <v>465</v>
      </c>
      <c r="P30" s="11"/>
      <c r="Q30" s="11"/>
      <c r="R30" s="9"/>
      <c r="S30" s="9"/>
      <c r="T30" s="9" t="s">
        <v>48</v>
      </c>
      <c r="U30" s="11" t="s">
        <v>493</v>
      </c>
    </row>
    <row r="31" spans="1:21" ht="18.75" customHeight="1">
      <c r="A31" s="9" t="s">
        <v>46</v>
      </c>
      <c r="B31" s="9" t="str">
        <f t="shared" ca="1" si="1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104</v>
      </c>
      <c r="G31" s="11" t="s">
        <v>105</v>
      </c>
      <c r="H31" s="11" t="s">
        <v>487</v>
      </c>
      <c r="I31" s="11">
        <f>_xlfn.XLOOKUP(
    $H31,
    型とバイト数!$B$3:$B$54,
    型とバイト数!$E$3:$E$54,
    IF(LEFT($H31,7)="varchar",MID(H31,FIND("(",H31)+1,FIND(")",H31)-FIND("(",H31)-1)*8,
        IF(LEFT($H31,4)="char",MID(H31,FIND("(",H31)+1,FIND(")",H31)-FIND("(",H31)-1)*8,
            IF(LEFT($H31,3)="bit",MID(H31,FIND("(",H31)+1,FIND(")",H31)-FIND("(",H31)-1),"???")
        )
    )
)</f>
        <v>64</v>
      </c>
      <c r="J31" s="11"/>
      <c r="K31" s="11"/>
      <c r="L31" s="9"/>
      <c r="M31" s="11" t="str">
        <f t="shared" si="2"/>
        <v/>
      </c>
      <c r="N31" s="11" t="s">
        <v>48</v>
      </c>
      <c r="O31" s="11"/>
      <c r="P31" s="11" t="s">
        <v>106</v>
      </c>
      <c r="Q31" s="11"/>
      <c r="R31" s="9"/>
      <c r="S31" s="9"/>
      <c r="T31" s="9"/>
      <c r="U31" s="11"/>
    </row>
    <row r="32" spans="1:21" ht="18.75" customHeight="1">
      <c r="A32" s="9" t="s">
        <v>46</v>
      </c>
      <c r="B32" s="9" t="str">
        <f t="shared" ca="1" si="1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107</v>
      </c>
      <c r="G32" s="11" t="s">
        <v>108</v>
      </c>
      <c r="H32" s="11" t="s">
        <v>65</v>
      </c>
      <c r="I32" s="11">
        <f>_xlfn.XLOOKUP(
    $H32,
    型とバイト数!$B$3:$B$54,
    型とバイト数!$E$3:$E$54,
    IF(LEFT($H32,7)="varchar",MID(H32,FIND("(",H32)+1,FIND(")",H32)-FIND("(",H32)-1)*8,
        IF(LEFT($H32,4)="char",MID(H32,FIND("(",H32)+1,FIND(")",H32)-FIND("(",H32)-1)*8,
            IF(LEFT($H32,3)="bit",MID(H32,FIND("(",H32)+1,FIND(")",H32)-FIND("(",H32)-1),"???")
        )
    )
)</f>
        <v>256</v>
      </c>
      <c r="J32" s="11"/>
      <c r="K32" s="11"/>
      <c r="L32" s="9"/>
      <c r="M32" s="11" t="str">
        <f t="shared" si="2"/>
        <v/>
      </c>
      <c r="N32" s="11" t="s">
        <v>48</v>
      </c>
      <c r="O32" s="11"/>
      <c r="P32" s="11" t="s">
        <v>109</v>
      </c>
      <c r="Q32" s="11"/>
      <c r="R32" s="9"/>
      <c r="S32" s="9"/>
      <c r="T32" s="9"/>
      <c r="U32" s="11" t="s">
        <v>110</v>
      </c>
    </row>
    <row r="33" spans="1:21" ht="18.75" customHeight="1">
      <c r="A33" s="9" t="s">
        <v>46</v>
      </c>
      <c r="B33" s="9" t="str">
        <f t="shared" ca="1" si="1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111</v>
      </c>
      <c r="G33" s="11" t="s">
        <v>112</v>
      </c>
      <c r="H33" s="11" t="s">
        <v>487</v>
      </c>
      <c r="I33" s="11">
        <f>_xlfn.XLOOKUP(
    $H33,
    型とバイト数!$B$3:$B$54,
    型とバイト数!$E$3:$E$54,
    IF(LEFT($H33,7)="varchar",MID(H33,FIND("(",H33)+1,FIND(")",H33)-FIND("(",H33)-1)*8,
        IF(LEFT($H33,4)="char",MID(H33,FIND("(",H33)+1,FIND(")",H33)-FIND("(",H33)-1)*8,
            IF(LEFT($H33,3)="bit",MID(H33,FIND("(",H33)+1,FIND(")",H33)-FIND("(",H33)-1),"???")
        )
    )
)</f>
        <v>64</v>
      </c>
      <c r="J33" s="11"/>
      <c r="K33" s="11"/>
      <c r="L33" s="9"/>
      <c r="M33" s="11" t="str">
        <f t="shared" si="2"/>
        <v/>
      </c>
      <c r="N33" s="11" t="s">
        <v>48</v>
      </c>
      <c r="O33" s="11"/>
      <c r="P33" s="11" t="s">
        <v>106</v>
      </c>
      <c r="Q33" s="11"/>
      <c r="R33" s="9"/>
      <c r="S33" s="9"/>
      <c r="T33" s="9"/>
      <c r="U33" s="11"/>
    </row>
    <row r="34" spans="1:21" ht="18.75" customHeight="1">
      <c r="A34" s="9" t="s">
        <v>46</v>
      </c>
      <c r="B34" s="9" t="str">
        <f t="shared" ca="1" si="1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113</v>
      </c>
      <c r="G34" s="11" t="s">
        <v>114</v>
      </c>
      <c r="H34" s="11" t="s">
        <v>65</v>
      </c>
      <c r="I34" s="11">
        <f>_xlfn.XLOOKUP(
    $H34,
    型とバイト数!$B$3:$B$54,
    型とバイト数!$E$3:$E$54,
    IF(LEFT($H34,7)="varchar",MID(H34,FIND("(",H34)+1,FIND(")",H34)-FIND("(",H34)-1)*8,
        IF(LEFT($H34,4)="char",MID(H34,FIND("(",H34)+1,FIND(")",H34)-FIND("(",H34)-1)*8,
            IF(LEFT($H34,3)="bit",MID(H34,FIND("(",H34)+1,FIND(")",H34)-FIND("(",H34)-1),"???")
        )
    )
)</f>
        <v>256</v>
      </c>
      <c r="J34" s="11"/>
      <c r="K34" s="11"/>
      <c r="L34" s="9"/>
      <c r="M34" s="11" t="str">
        <f t="shared" si="2"/>
        <v/>
      </c>
      <c r="N34" s="11" t="s">
        <v>48</v>
      </c>
      <c r="O34" s="11"/>
      <c r="P34" s="11" t="s">
        <v>109</v>
      </c>
      <c r="Q34" s="11"/>
      <c r="R34" s="9"/>
      <c r="S34" s="9"/>
      <c r="T34" s="9"/>
      <c r="U34" s="11" t="s">
        <v>110</v>
      </c>
    </row>
    <row r="35" spans="1:21" ht="18.75" customHeight="1">
      <c r="A35" s="9" t="s">
        <v>46</v>
      </c>
      <c r="B35" s="9" t="str">
        <f t="shared" ca="1" si="1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115</v>
      </c>
      <c r="G35" s="11" t="s">
        <v>116</v>
      </c>
      <c r="H35" s="11" t="s">
        <v>489</v>
      </c>
      <c r="I35" s="11">
        <f>_xlfn.XLOOKUP(
    $H35,
    型とバイト数!$B$3:$B$54,
    型とバイト数!$E$3:$E$54,
    IF(LEFT($H35,7)="varchar",MID(H35,FIND("(",H35)+1,FIND(")",H35)-FIND("(",H35)-1)*8,
        IF(LEFT($H35,4)="char",MID(H35,FIND("(",H35)+1,FIND(")",H35)-FIND("(",H35)-1)*8,
            IF(LEFT($H35,3)="bit",MID(H35,FIND("(",H35)+1,FIND(")",H35)-FIND("(",H35)-1),"???")
        )
    )
)</f>
        <v>8</v>
      </c>
      <c r="J35" s="11"/>
      <c r="K35" s="11"/>
      <c r="L35" s="9"/>
      <c r="M35" s="11" t="str">
        <f t="shared" si="2"/>
        <v/>
      </c>
      <c r="N35" s="11" t="s">
        <v>48</v>
      </c>
      <c r="O35" s="11"/>
      <c r="P35" s="11" t="b">
        <v>0</v>
      </c>
      <c r="Q35" s="11"/>
      <c r="R35" s="9"/>
      <c r="S35" s="9"/>
      <c r="T35" s="9"/>
      <c r="U35" s="11"/>
    </row>
    <row r="36" spans="1:21" ht="18.75" customHeight="1">
      <c r="A36" s="9" t="s">
        <v>46</v>
      </c>
      <c r="B36" s="9" t="str">
        <f t="shared" si="1"/>
        <v>activity_status.activity_status_sequence_id</v>
      </c>
      <c r="C36" s="10">
        <f t="shared" si="0"/>
        <v>35</v>
      </c>
      <c r="D36" s="11" t="s">
        <v>563</v>
      </c>
      <c r="E36" s="11" t="s">
        <v>101</v>
      </c>
      <c r="F36" s="11" t="str">
        <f>D36&amp;"_sequence_id"</f>
        <v>activity_status_sequence_id</v>
      </c>
      <c r="G36" s="11" t="str">
        <f>E36&amp;"ID"</f>
        <v>活動状態ID</v>
      </c>
      <c r="H36" s="11" t="s">
        <v>527</v>
      </c>
      <c r="I36" s="11">
        <f>_xlfn.XLOOKUP(
    $H36,
    型とバイト数!$B$3:$B$54,
    型とバイト数!$E$3:$E$54,
    IF(LEFT($H36,7)="varchar",MID(H36,FIND("(",H36)+1,FIND(")",H36)-FIND("(",H36)-1)*8,
        IF(LEFT($H36,4)="char",MID(H36,FIND("(",H36)+1,FIND(")",H36)-FIND("(",H36)-1)*8,
            IF(LEFT($H36,3)="bit",MID(H36,FIND("(",H36)+1,FIND(")",H36)-FIND("(",H36)-1),"???")
        )
    )
)</f>
        <v>32</v>
      </c>
      <c r="J36" s="11" t="s">
        <v>465</v>
      </c>
      <c r="K36" s="11"/>
      <c r="L36" s="9"/>
      <c r="M36" s="11" t="str">
        <f t="shared" si="2"/>
        <v/>
      </c>
      <c r="N36" s="11" t="s">
        <v>473</v>
      </c>
      <c r="O36" s="11" t="s">
        <v>473</v>
      </c>
      <c r="P36" s="11" t="s">
        <v>526</v>
      </c>
      <c r="Q36" s="11"/>
      <c r="R36" s="9"/>
      <c r="S36" s="9"/>
      <c r="T36" s="9"/>
      <c r="U36" s="11"/>
    </row>
    <row r="37" spans="1:21" ht="18.75" customHeight="1">
      <c r="A37" s="9" t="s">
        <v>46</v>
      </c>
      <c r="B37" s="9" t="str">
        <f t="shared" ref="B37" ca="1" si="3">D37&amp;"."&amp;F37</f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130</v>
      </c>
      <c r="G37" s="11" t="s">
        <v>131</v>
      </c>
      <c r="H37" s="11" t="s">
        <v>51</v>
      </c>
      <c r="I37" s="11">
        <f>_xlfn.XLOOKUP(
    $H37,
    型とバイト数!$B$3:$B$54,
    型とバイト数!$E$3:$E$54,
    IF(LEFT($H37,7)="varchar",MID(H37,FIND("(",H37)+1,FIND(")",H37)-FIND("(",H37)-1)*8,
        IF(LEFT($H37,4)="char",MID(H37,FIND("(",H37)+1,FIND(")",H37)-FIND("(",H37)-1)*8,
            IF(LEFT($H37,3)="bit",MID(H37,FIND("(",H37)+1,FIND(")",H37)-FIND("(",H37)-1),"???")
        )
    )
)</f>
        <v>64</v>
      </c>
      <c r="J37" s="11"/>
      <c r="K37" s="11"/>
      <c r="L37" s="9"/>
      <c r="M37" s="11" t="str">
        <f t="shared" ref="M37" si="4">IF(K37="","",IF(L37="","参照先未定義",_xlfn.XLOOKUP(L37,$B$1:$B$501,$C$1:$C$501,"エラー")))</f>
        <v/>
      </c>
      <c r="N37" s="11" t="s">
        <v>452</v>
      </c>
      <c r="O37" s="11" t="s">
        <v>452</v>
      </c>
      <c r="P37" s="11"/>
      <c r="Q37" s="11"/>
      <c r="R37" s="9"/>
      <c r="S37" s="9"/>
      <c r="T37" s="9"/>
      <c r="U37" s="11" t="s">
        <v>494</v>
      </c>
    </row>
    <row r="38" spans="1:21" ht="18.75" customHeight="1">
      <c r="A38" s="9" t="s">
        <v>46</v>
      </c>
      <c r="B38" s="9" t="str">
        <f t="shared" ca="1" si="1"/>
        <v>activity_status.target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751</v>
      </c>
      <c r="G38" s="11" t="s">
        <v>752</v>
      </c>
      <c r="H38" s="11" t="s">
        <v>753</v>
      </c>
      <c r="I38" s="11" t="str">
        <f>_xlfn.XLOOKUP(
    $H38,
    型とバイト数!$B$3:$B$54,
    型とバイト数!$E$3:$E$54,
    IF(LEFT($H38,7)="varchar",MID(H38,FIND("(",H38)+1,FIND(")",H38)-FIND("(",H38)-1)*8,
        IF(LEFT($H38,4)="char",MID(H38,FIND("(",H38)+1,FIND(")",H38)-FIND("(",H38)-1)*8,
            IF(LEFT($H38,3)="bit",MID(H38,FIND("(",H38)+1,FIND(")",H38)-FIND("(",H38)-1),"???")
        )
    )
)</f>
        <v>-</v>
      </c>
      <c r="J38" s="11"/>
      <c r="K38" s="11"/>
      <c r="L38" s="9"/>
      <c r="M38" s="11" t="str">
        <f t="shared" si="2"/>
        <v/>
      </c>
      <c r="N38" s="11" t="s">
        <v>754</v>
      </c>
      <c r="O38" s="11"/>
      <c r="P38" s="11"/>
      <c r="Q38" s="11"/>
      <c r="R38" s="9"/>
      <c r="S38" s="9"/>
      <c r="T38" s="9"/>
      <c r="U38" s="11"/>
    </row>
    <row r="39" spans="1:21" ht="18.75" customHeight="1">
      <c r="A39" s="9" t="s">
        <v>46</v>
      </c>
      <c r="B39" s="9" t="str">
        <f t="shared" ca="1" si="1"/>
        <v>activity_status.create_datetime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104</v>
      </c>
      <c r="G39" s="11" t="s">
        <v>105</v>
      </c>
      <c r="H39" s="11" t="s">
        <v>487</v>
      </c>
      <c r="I39" s="11">
        <f>_xlfn.XLOOKUP(
    $H39,
    型とバイト数!$B$3:$B$54,
    型とバイト数!$E$3:$E$54,
    IF(LEFT($H39,7)="varchar",MID(H39,FIND("(",H39)+1,FIND(")",H39)-FIND("(",H39)-1)*8,
        IF(LEFT($H39,4)="char",MID(H39,FIND("(",H39)+1,FIND(")",H39)-FIND("(",H39)-1)*8,
            IF(LEFT($H39,3)="bit",MID(H39,FIND("(",H39)+1,FIND(")",H39)-FIND("(",H39)-1),"???")
        )
    )
)</f>
        <v>64</v>
      </c>
      <c r="J39" s="11"/>
      <c r="K39" s="11"/>
      <c r="L39" s="9"/>
      <c r="M39" s="11" t="str">
        <f t="shared" si="2"/>
        <v/>
      </c>
      <c r="N39" s="11" t="s">
        <v>48</v>
      </c>
      <c r="O39" s="11"/>
      <c r="P39" s="11" t="s">
        <v>106</v>
      </c>
      <c r="Q39" s="11"/>
      <c r="R39" s="9"/>
      <c r="S39" s="9"/>
      <c r="T39" s="9"/>
      <c r="U39" s="11"/>
    </row>
    <row r="40" spans="1:21" ht="18.75" customHeight="1">
      <c r="A40" s="9" t="s">
        <v>46</v>
      </c>
      <c r="B40" s="9" t="str">
        <f t="shared" ca="1" si="1"/>
        <v>activity_status.create_user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107</v>
      </c>
      <c r="G40" s="11" t="s">
        <v>108</v>
      </c>
      <c r="H40" s="11" t="s">
        <v>65</v>
      </c>
      <c r="I40" s="11">
        <f>_xlfn.XLOOKUP(
    $H40,
    型とバイト数!$B$3:$B$54,
    型とバイト数!$E$3:$E$54,
    IF(LEFT($H40,7)="varchar",MID(H40,FIND("(",H40)+1,FIND(")",H40)-FIND("(",H40)-1)*8,
        IF(LEFT($H40,4)="char",MID(H40,FIND("(",H40)+1,FIND(")",H40)-FIND("(",H40)-1)*8,
            IF(LEFT($H40,3)="bit",MID(H40,FIND("(",H40)+1,FIND(")",H40)-FIND("(",H40)-1),"???")
        )
    )
)</f>
        <v>256</v>
      </c>
      <c r="J40" s="11"/>
      <c r="K40" s="11"/>
      <c r="L40" s="9"/>
      <c r="M40" s="11" t="str">
        <f t="shared" si="2"/>
        <v/>
      </c>
      <c r="N40" s="11" t="s">
        <v>48</v>
      </c>
      <c r="O40" s="11"/>
      <c r="P40" s="11" t="s">
        <v>109</v>
      </c>
      <c r="Q40" s="11"/>
      <c r="R40" s="9"/>
      <c r="S40" s="9"/>
      <c r="T40" s="9"/>
      <c r="U40" s="11" t="s">
        <v>110</v>
      </c>
    </row>
    <row r="41" spans="1:21" ht="18.75" customHeight="1">
      <c r="A41" s="9" t="s">
        <v>46</v>
      </c>
      <c r="B41" s="9" t="str">
        <f t="shared" ca="1" si="1"/>
        <v>activity_status.update_datetime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111</v>
      </c>
      <c r="G41" s="11" t="s">
        <v>112</v>
      </c>
      <c r="H41" s="11" t="s">
        <v>487</v>
      </c>
      <c r="I41" s="11">
        <f>_xlfn.XLOOKUP(
    $H41,
    型とバイト数!$B$3:$B$54,
    型とバイト数!$E$3:$E$54,
    IF(LEFT($H41,7)="varchar",MID(H41,FIND("(",H41)+1,FIND(")",H41)-FIND("(",H41)-1)*8,
        IF(LEFT($H41,4)="char",MID(H41,FIND("(",H41)+1,FIND(")",H41)-FIND("(",H41)-1)*8,
            IF(LEFT($H41,3)="bit",MID(H41,FIND("(",H41)+1,FIND(")",H41)-FIND("(",H41)-1),"???")
        )
    )
)</f>
        <v>64</v>
      </c>
      <c r="J41" s="11"/>
      <c r="K41" s="11"/>
      <c r="L41" s="9"/>
      <c r="M41" s="11" t="str">
        <f t="shared" si="2"/>
        <v/>
      </c>
      <c r="N41" s="11" t="s">
        <v>48</v>
      </c>
      <c r="O41" s="11"/>
      <c r="P41" s="11" t="s">
        <v>106</v>
      </c>
      <c r="Q41" s="11"/>
      <c r="R41" s="9"/>
      <c r="S41" s="9"/>
      <c r="T41" s="9"/>
      <c r="U41" s="11"/>
    </row>
    <row r="42" spans="1:21" ht="18.75" customHeight="1">
      <c r="A42" s="9" t="s">
        <v>46</v>
      </c>
      <c r="B42" s="9" t="str">
        <f t="shared" ca="1" si="1"/>
        <v>activity_status.update_user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113</v>
      </c>
      <c r="G42" s="11" t="s">
        <v>114</v>
      </c>
      <c r="H42" s="11" t="s">
        <v>65</v>
      </c>
      <c r="I42" s="11">
        <f>_xlfn.XLOOKUP(
    $H42,
    型とバイト数!$B$3:$B$54,
    型とバイト数!$E$3:$E$54,
    IF(LEFT($H42,7)="varchar",MID(H42,FIND("(",H42)+1,FIND(")",H42)-FIND("(",H42)-1)*8,
        IF(LEFT($H42,4)="char",MID(H42,FIND("(",H42)+1,FIND(")",H42)-FIND("(",H42)-1)*8,
            IF(LEFT($H42,3)="bit",MID(H42,FIND("(",H42)+1,FIND(")",H42)-FIND("(",H42)-1),"???")
        )
    )
)</f>
        <v>256</v>
      </c>
      <c r="J42" s="11"/>
      <c r="K42" s="11"/>
      <c r="L42" s="9"/>
      <c r="M42" s="11" t="str">
        <f t="shared" si="2"/>
        <v/>
      </c>
      <c r="N42" s="11" t="s">
        <v>48</v>
      </c>
      <c r="O42" s="11"/>
      <c r="P42" s="11" t="s">
        <v>109</v>
      </c>
      <c r="Q42" s="11"/>
      <c r="R42" s="9"/>
      <c r="S42" s="9"/>
      <c r="T42" s="9"/>
      <c r="U42" s="11" t="s">
        <v>110</v>
      </c>
    </row>
    <row r="43" spans="1:21" ht="18.75" customHeight="1">
      <c r="A43" s="9" t="s">
        <v>46</v>
      </c>
      <c r="B43" s="9" t="str">
        <f t="shared" ca="1" si="1"/>
        <v>activity_status.soft_delete_flag</v>
      </c>
      <c r="C43" s="10">
        <f t="shared" si="0"/>
        <v>42</v>
      </c>
      <c r="D43" s="11" t="str" cm="1">
        <f t="array" aca="1" ref="D43" ca="1">INDIRECT(ADDRESS(ROW()-1,COLUMN()))</f>
        <v>activity_status</v>
      </c>
      <c r="E43" s="11" t="str" cm="1">
        <f t="array" aca="1" ref="E43" ca="1">INDIRECT(ADDRESS(ROW()-1,COLUMN()))</f>
        <v>活動状態</v>
      </c>
      <c r="F43" s="11" t="s">
        <v>115</v>
      </c>
      <c r="G43" s="11" t="s">
        <v>116</v>
      </c>
      <c r="H43" s="11" t="s">
        <v>489</v>
      </c>
      <c r="I43" s="11">
        <f>_xlfn.XLOOKUP(
    $H43,
    型とバイト数!$B$3:$B$54,
    型とバイト数!$E$3:$E$54,
    IF(LEFT($H43,7)="varchar",MID(H43,FIND("(",H43)+1,FIND(")",H43)-FIND("(",H43)-1)*8,
        IF(LEFT($H43,4)="char",MID(H43,FIND("(",H43)+1,FIND(")",H43)-FIND("(",H43)-1)*8,
            IF(LEFT($H43,3)="bit",MID(H43,FIND("(",H43)+1,FIND(")",H43)-FIND("(",H43)-1),"???")
        )
    )
)</f>
        <v>8</v>
      </c>
      <c r="J43" s="11"/>
      <c r="K43" s="11"/>
      <c r="L43" s="9"/>
      <c r="M43" s="11" t="str">
        <f t="shared" si="2"/>
        <v/>
      </c>
      <c r="N43" s="11" t="s">
        <v>48</v>
      </c>
      <c r="O43" s="11"/>
      <c r="P43" s="11" t="b">
        <v>0</v>
      </c>
      <c r="Q43" s="11"/>
      <c r="R43" s="9"/>
      <c r="S43" s="9"/>
      <c r="T43" s="9"/>
      <c r="U43" s="11"/>
    </row>
    <row r="44" spans="1:21" ht="18.75" customHeight="1">
      <c r="A44" s="9" t="s">
        <v>46</v>
      </c>
      <c r="B44" s="9" t="str">
        <f t="shared" si="1"/>
        <v>sns_link.sns_link_sequence_id</v>
      </c>
      <c r="C44" s="10">
        <f t="shared" si="0"/>
        <v>43</v>
      </c>
      <c r="D44" s="11" t="s">
        <v>132</v>
      </c>
      <c r="E44" s="11" t="s">
        <v>75</v>
      </c>
      <c r="F44" s="11" t="str">
        <f>D44&amp;"_sequence_id"</f>
        <v>sns_link_sequence_id</v>
      </c>
      <c r="G44" s="11" t="str">
        <f>E44&amp;"ID"</f>
        <v>SNSリンクID</v>
      </c>
      <c r="H44" s="11" t="s">
        <v>527</v>
      </c>
      <c r="I44" s="11">
        <f>_xlfn.XLOOKUP(
    $H44,
    型とバイト数!$B$3:$B$54,
    型とバイト数!$E$3:$E$54,
    IF(LEFT($H44,7)="varchar",MID(H44,FIND("(",H44)+1,FIND(")",H44)-FIND("(",H44)-1)*8,
        IF(LEFT($H44,4)="char",MID(H44,FIND("(",H44)+1,FIND(")",H44)-FIND("(",H44)-1)*8,
            IF(LEFT($H44,3)="bit",MID(H44,FIND("(",H44)+1,FIND(")",H44)-FIND("(",H44)-1),"???")
        )
    )
)</f>
        <v>32</v>
      </c>
      <c r="J44" s="11" t="s">
        <v>465</v>
      </c>
      <c r="K44" s="11"/>
      <c r="L44" s="9"/>
      <c r="M44" s="11" t="str">
        <f t="shared" si="2"/>
        <v/>
      </c>
      <c r="N44" s="11" t="s">
        <v>473</v>
      </c>
      <c r="O44" s="11" t="s">
        <v>473</v>
      </c>
      <c r="P44" s="11" t="s">
        <v>526</v>
      </c>
      <c r="Q44" s="11"/>
      <c r="R44" s="9"/>
      <c r="S44" s="9"/>
      <c r="T44" s="9"/>
      <c r="U44" s="11"/>
    </row>
    <row r="45" spans="1:21" ht="18.75" customHeight="1">
      <c r="A45" s="9" t="s">
        <v>46</v>
      </c>
      <c r="B45" s="9" t="str">
        <f t="shared" ca="1" si="1"/>
        <v>sns_link.vtuber_profiles_id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49</v>
      </c>
      <c r="G45" s="11" t="s">
        <v>50</v>
      </c>
      <c r="H45" s="11" t="s">
        <v>99</v>
      </c>
      <c r="I45" s="11">
        <f>_xlfn.XLOOKUP(
    $H45,
    型とバイト数!$B$3:$B$54,
    型とバイト数!$E$3:$E$54,
    IF(LEFT($H45,7)="varchar",MID(H45,FIND("(",H45)+1,FIND(")",H45)-FIND("(",H45)-1)*8,
        IF(LEFT($H45,4)="char",MID(H45,FIND("(",H45)+1,FIND(")",H45)-FIND("(",H45)-1)*8,
            IF(LEFT($H45,3)="bit",MID(H45,FIND("(",H45)+1,FIND(")",H45)-FIND("(",H45)-1),"???")
        )
    )
)</f>
        <v>32</v>
      </c>
      <c r="J45" s="11"/>
      <c r="K45" s="11" t="s">
        <v>48</v>
      </c>
      <c r="L45" s="9" t="s">
        <v>533</v>
      </c>
      <c r="M45" s="11">
        <f t="shared" si="2"/>
        <v>1</v>
      </c>
      <c r="N45" s="11" t="s">
        <v>48</v>
      </c>
      <c r="O45" s="11"/>
      <c r="P45" s="11"/>
      <c r="Q45" s="11" t="s">
        <v>549</v>
      </c>
      <c r="R45" s="9"/>
      <c r="S45" s="9"/>
      <c r="T45" s="9"/>
      <c r="U45" s="11"/>
    </row>
    <row r="46" spans="1:21" ht="18.75" customHeight="1">
      <c r="A46" s="9" t="s">
        <v>46</v>
      </c>
      <c r="B46" s="9" t="str">
        <f t="shared" ca="1" si="1"/>
        <v>sns_link.sns_icon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133</v>
      </c>
      <c r="G46" s="11" t="s">
        <v>134</v>
      </c>
      <c r="H46" s="11" t="s">
        <v>99</v>
      </c>
      <c r="I46" s="11">
        <f>_xlfn.XLOOKUP(
    $H46,
    型とバイト数!$B$3:$B$54,
    型とバイト数!$E$3:$E$54,
    IF(LEFT($H46,7)="varchar",MID(H46,FIND("(",H46)+1,FIND(")",H46)-FIND("(",H46)-1)*8,
        IF(LEFT($H46,4)="char",MID(H46,FIND("(",H46)+1,FIND(")",H46)-FIND("(",H46)-1)*8,
            IF(LEFT($H46,3)="bit",MID(H46,FIND("(",H46)+1,FIND(")",H46)-FIND("(",H46)-1),"???")
        )
    )
)</f>
        <v>32</v>
      </c>
      <c r="J46" s="11"/>
      <c r="K46" s="11" t="s">
        <v>48</v>
      </c>
      <c r="L46" s="9" t="s">
        <v>534</v>
      </c>
      <c r="M46" s="11">
        <f t="shared" ca="1" si="2"/>
        <v>122</v>
      </c>
      <c r="N46" s="11"/>
      <c r="O46" s="11"/>
      <c r="P46" s="11"/>
      <c r="Q46" s="11" t="s">
        <v>549</v>
      </c>
      <c r="R46" s="9"/>
      <c r="S46" s="9"/>
      <c r="T46" s="9"/>
      <c r="U46" s="11" t="s">
        <v>135</v>
      </c>
    </row>
    <row r="47" spans="1:21" ht="18.75" customHeight="1">
      <c r="A47" s="9" t="s">
        <v>46</v>
      </c>
      <c r="B47" s="9" t="str">
        <f t="shared" ca="1" si="1"/>
        <v>sns_link.sns_link_label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136</v>
      </c>
      <c r="G47" s="11" t="s">
        <v>137</v>
      </c>
      <c r="H47" s="11" t="s">
        <v>65</v>
      </c>
      <c r="I47" s="11">
        <f>_xlfn.XLOOKUP(
    $H47,
    型とバイト数!$B$3:$B$54,
    型とバイト数!$E$3:$E$54,
    IF(LEFT($H47,7)="varchar",MID(H47,FIND("(",H47)+1,FIND(")",H47)-FIND("(",H47)-1)*8,
        IF(LEFT($H47,4)="char",MID(H47,FIND("(",H47)+1,FIND(")",H47)-FIND("(",H47)-1)*8,
            IF(LEFT($H47,3)="bit",MID(H47,FIND("(",H47)+1,FIND(")",H47)-FIND("(",H47)-1),"???")
        )
    )
)</f>
        <v>256</v>
      </c>
      <c r="J47" s="11"/>
      <c r="K47" s="11"/>
      <c r="L47" s="9"/>
      <c r="M47" s="11" t="str">
        <f t="shared" si="2"/>
        <v/>
      </c>
      <c r="N47" s="11"/>
      <c r="O47" s="11"/>
      <c r="P47" s="11"/>
      <c r="Q47" s="11"/>
      <c r="R47" s="9"/>
      <c r="S47" s="9"/>
      <c r="T47" s="9"/>
      <c r="U47" s="11" t="s">
        <v>138</v>
      </c>
    </row>
    <row r="48" spans="1:21" ht="18.75" customHeight="1">
      <c r="A48" s="9" t="s">
        <v>46</v>
      </c>
      <c r="B48" s="9" t="str">
        <f t="shared" ca="1" si="1"/>
        <v>sns_link.sns_url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139</v>
      </c>
      <c r="G48" s="11" t="s">
        <v>78</v>
      </c>
      <c r="H48" s="11" t="s">
        <v>81</v>
      </c>
      <c r="I48" s="11" t="str">
        <f>_xlfn.XLOOKUP(
    $H48,
    型とバイト数!$B$3:$B$54,
    型とバイト数!$E$3:$E$54,
    IF(LEFT($H48,7)="varchar",MID(H48,FIND("(",H48)+1,FIND(")",H48)-FIND("(",H48)-1)*8,
        IF(LEFT($H48,4)="char",MID(H48,FIND("(",H48)+1,FIND(")",H48)-FIND("(",H48)-1)*8,
            IF(LEFT($H48,3)="bit",MID(H48,FIND("(",H48)+1,FIND(")",H48)-FIND("(",H48)-1),"???")
        )
    )
)</f>
        <v>-</v>
      </c>
      <c r="J48" s="11"/>
      <c r="K48" s="11"/>
      <c r="L48" s="9"/>
      <c r="M48" s="11" t="str">
        <f t="shared" si="2"/>
        <v/>
      </c>
      <c r="N48" s="11" t="s">
        <v>48</v>
      </c>
      <c r="O48" s="11"/>
      <c r="P48" s="11"/>
      <c r="Q48" s="11"/>
      <c r="R48" s="9"/>
      <c r="S48" s="9"/>
      <c r="T48" s="9"/>
      <c r="U48" s="11"/>
    </row>
    <row r="49" spans="1:21" ht="18.75" customHeight="1">
      <c r="A49" s="9" t="s">
        <v>46</v>
      </c>
      <c r="B49" s="9" t="str">
        <f t="shared" ca="1" si="1"/>
        <v>sns_link.create_datetime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104</v>
      </c>
      <c r="G49" s="11" t="s">
        <v>105</v>
      </c>
      <c r="H49" s="11" t="s">
        <v>487</v>
      </c>
      <c r="I49" s="11">
        <f>_xlfn.XLOOKUP(
    $H49,
    型とバイト数!$B$3:$B$54,
    型とバイト数!$E$3:$E$54,
    IF(LEFT($H49,7)="varchar",MID(H49,FIND("(",H49)+1,FIND(")",H49)-FIND("(",H49)-1)*8,
        IF(LEFT($H49,4)="char",MID(H49,FIND("(",H49)+1,FIND(")",H49)-FIND("(",H49)-1)*8,
            IF(LEFT($H49,3)="bit",MID(H49,FIND("(",H49)+1,FIND(")",H49)-FIND("(",H49)-1),"???")
        )
    )
)</f>
        <v>64</v>
      </c>
      <c r="J49" s="11"/>
      <c r="K49" s="11"/>
      <c r="L49" s="9"/>
      <c r="M49" s="11" t="str">
        <f t="shared" si="2"/>
        <v/>
      </c>
      <c r="N49" s="11" t="s">
        <v>48</v>
      </c>
      <c r="O49" s="11"/>
      <c r="P49" s="11" t="s">
        <v>106</v>
      </c>
      <c r="Q49" s="11"/>
      <c r="R49" s="9"/>
      <c r="S49" s="9"/>
      <c r="T49" s="9"/>
      <c r="U49" s="11"/>
    </row>
    <row r="50" spans="1:21" ht="18.75" customHeight="1">
      <c r="A50" s="9" t="s">
        <v>46</v>
      </c>
      <c r="B50" s="9" t="str">
        <f t="shared" ca="1" si="1"/>
        <v>sns_link.create_user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107</v>
      </c>
      <c r="G50" s="11" t="s">
        <v>108</v>
      </c>
      <c r="H50" s="11" t="s">
        <v>65</v>
      </c>
      <c r="I50" s="11">
        <f>_xlfn.XLOOKUP(
    $H50,
    型とバイト数!$B$3:$B$54,
    型とバイト数!$E$3:$E$54,
    IF(LEFT($H50,7)="varchar",MID(H50,FIND("(",H50)+1,FIND(")",H50)-FIND("(",H50)-1)*8,
        IF(LEFT($H50,4)="char",MID(H50,FIND("(",H50)+1,FIND(")",H50)-FIND("(",H50)-1)*8,
            IF(LEFT($H50,3)="bit",MID(H50,FIND("(",H50)+1,FIND(")",H50)-FIND("(",H50)-1),"???")
        )
    )
)</f>
        <v>256</v>
      </c>
      <c r="J50" s="11"/>
      <c r="K50" s="11"/>
      <c r="L50" s="9"/>
      <c r="M50" s="11" t="str">
        <f t="shared" si="2"/>
        <v/>
      </c>
      <c r="N50" s="11" t="s">
        <v>48</v>
      </c>
      <c r="O50" s="11"/>
      <c r="P50" s="11" t="s">
        <v>109</v>
      </c>
      <c r="Q50" s="11"/>
      <c r="R50" s="9"/>
      <c r="S50" s="9"/>
      <c r="T50" s="9"/>
      <c r="U50" s="11" t="s">
        <v>110</v>
      </c>
    </row>
    <row r="51" spans="1:21" ht="18.75" customHeight="1">
      <c r="A51" s="9" t="s">
        <v>46</v>
      </c>
      <c r="B51" s="9" t="str">
        <f t="shared" ca="1" si="1"/>
        <v>sns_link.update_datetime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111</v>
      </c>
      <c r="G51" s="11" t="s">
        <v>112</v>
      </c>
      <c r="H51" s="11" t="s">
        <v>487</v>
      </c>
      <c r="I51" s="11">
        <f>_xlfn.XLOOKUP(
    $H51,
    型とバイト数!$B$3:$B$54,
    型とバイト数!$E$3:$E$54,
    IF(LEFT($H51,7)="varchar",MID(H51,FIND("(",H51)+1,FIND(")",H51)-FIND("(",H51)-1)*8,
        IF(LEFT($H51,4)="char",MID(H51,FIND("(",H51)+1,FIND(")",H51)-FIND("(",H51)-1)*8,
            IF(LEFT($H51,3)="bit",MID(H51,FIND("(",H51)+1,FIND(")",H51)-FIND("(",H51)-1),"???")
        )
    )
)</f>
        <v>64</v>
      </c>
      <c r="J51" s="11"/>
      <c r="K51" s="11"/>
      <c r="L51" s="9"/>
      <c r="M51" s="11" t="str">
        <f t="shared" si="2"/>
        <v/>
      </c>
      <c r="N51" s="11" t="s">
        <v>48</v>
      </c>
      <c r="O51" s="11"/>
      <c r="P51" s="11" t="s">
        <v>106</v>
      </c>
      <c r="Q51" s="11"/>
      <c r="R51" s="9"/>
      <c r="S51" s="9"/>
      <c r="T51" s="9"/>
      <c r="U51" s="11"/>
    </row>
    <row r="52" spans="1:21" ht="18.75" customHeight="1">
      <c r="A52" s="9" t="s">
        <v>46</v>
      </c>
      <c r="B52" s="9" t="str">
        <f t="shared" ca="1" si="1"/>
        <v>sns_link.update_user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113</v>
      </c>
      <c r="G52" s="11" t="s">
        <v>114</v>
      </c>
      <c r="H52" s="11" t="s">
        <v>65</v>
      </c>
      <c r="I52" s="11">
        <f>_xlfn.XLOOKUP(
    $H52,
    型とバイト数!$B$3:$B$54,
    型とバイト数!$E$3:$E$54,
    IF(LEFT($H52,7)="varchar",MID(H52,FIND("(",H52)+1,FIND(")",H52)-FIND("(",H52)-1)*8,
        IF(LEFT($H52,4)="char",MID(H52,FIND("(",H52)+1,FIND(")",H52)-FIND("(",H52)-1)*8,
            IF(LEFT($H52,3)="bit",MID(H52,FIND("(",H52)+1,FIND(")",H52)-FIND("(",H52)-1),"???")
        )
    )
)</f>
        <v>256</v>
      </c>
      <c r="J52" s="11"/>
      <c r="K52" s="11"/>
      <c r="L52" s="9"/>
      <c r="M52" s="11" t="str">
        <f t="shared" si="2"/>
        <v/>
      </c>
      <c r="N52" s="11" t="s">
        <v>48</v>
      </c>
      <c r="O52" s="11"/>
      <c r="P52" s="11" t="s">
        <v>109</v>
      </c>
      <c r="Q52" s="11"/>
      <c r="R52" s="9"/>
      <c r="S52" s="9"/>
      <c r="T52" s="9"/>
      <c r="U52" s="11" t="s">
        <v>110</v>
      </c>
    </row>
    <row r="53" spans="1:21" ht="18.75" customHeight="1">
      <c r="A53" s="9" t="s">
        <v>46</v>
      </c>
      <c r="B53" s="9" t="str">
        <f t="shared" ca="1" si="1"/>
        <v>sns_link.soft_delete_flag</v>
      </c>
      <c r="C53" s="10">
        <f t="shared" si="0"/>
        <v>52</v>
      </c>
      <c r="D53" s="11" t="str" cm="1">
        <f t="array" aca="1" ref="D53" ca="1">INDIRECT(ADDRESS(ROW()-1,COLUMN()))</f>
        <v>sns_link</v>
      </c>
      <c r="E53" s="11" t="str" cm="1">
        <f t="array" aca="1" ref="E53" ca="1">INDIRECT(ADDRESS(ROW()-1,COLUMN()))</f>
        <v>SNSリンク</v>
      </c>
      <c r="F53" s="11" t="s">
        <v>115</v>
      </c>
      <c r="G53" s="11" t="s">
        <v>116</v>
      </c>
      <c r="H53" s="11" t="s">
        <v>489</v>
      </c>
      <c r="I53" s="11">
        <f>_xlfn.XLOOKUP(
    $H53,
    型とバイト数!$B$3:$B$54,
    型とバイト数!$E$3:$E$54,
    IF(LEFT($H53,7)="varchar",MID(H53,FIND("(",H53)+1,FIND(")",H53)-FIND("(",H53)-1)*8,
        IF(LEFT($H53,4)="char",MID(H53,FIND("(",H53)+1,FIND(")",H53)-FIND("(",H53)-1)*8,
            IF(LEFT($H53,3)="bit",MID(H53,FIND("(",H53)+1,FIND(")",H53)-FIND("(",H53)-1),"???")
        )
    )
)</f>
        <v>8</v>
      </c>
      <c r="J53" s="11"/>
      <c r="K53" s="11"/>
      <c r="L53" s="9"/>
      <c r="M53" s="11" t="str">
        <f t="shared" si="2"/>
        <v/>
      </c>
      <c r="N53" s="11" t="s">
        <v>48</v>
      </c>
      <c r="O53" s="11"/>
      <c r="P53" s="11" t="b">
        <v>0</v>
      </c>
      <c r="Q53" s="11"/>
      <c r="R53" s="9"/>
      <c r="S53" s="9"/>
      <c r="T53" s="9"/>
      <c r="U53" s="11"/>
    </row>
    <row r="54" spans="1:21" ht="18.75" customHeight="1">
      <c r="A54" s="9" t="s">
        <v>46</v>
      </c>
      <c r="B54" s="9" t="str">
        <f t="shared" si="1"/>
        <v>bbs_res.bbs_res_sequence_id</v>
      </c>
      <c r="C54" s="10">
        <f t="shared" si="0"/>
        <v>53</v>
      </c>
      <c r="D54" s="11" t="s">
        <v>140</v>
      </c>
      <c r="E54" s="11" t="s">
        <v>102</v>
      </c>
      <c r="F54" s="11" t="str">
        <f>D54&amp;"_sequence_id"</f>
        <v>bbs_res_sequence_id</v>
      </c>
      <c r="G54" s="11" t="str">
        <f>E54&amp;"ID"</f>
        <v>BBSID</v>
      </c>
      <c r="H54" s="11" t="s">
        <v>527</v>
      </c>
      <c r="I54" s="11">
        <f>_xlfn.XLOOKUP(
    $H54,
    型とバイト数!$B$3:$B$54,
    型とバイト数!$E$3:$E$54,
    IF(LEFT($H54,7)="varchar",MID(H54,FIND("(",H54)+1,FIND(")",H54)-FIND("(",H54)-1)*8,
        IF(LEFT($H54,4)="char",MID(H54,FIND("(",H54)+1,FIND(")",H54)-FIND("(",H54)-1)*8,
            IF(LEFT($H54,3)="bit",MID(H54,FIND("(",H54)+1,FIND(")",H54)-FIND("(",H54)-1),"???")
        )
    )
)</f>
        <v>32</v>
      </c>
      <c r="J54" s="11" t="s">
        <v>465</v>
      </c>
      <c r="K54" s="11"/>
      <c r="L54" s="9"/>
      <c r="M54" s="11" t="str">
        <f t="shared" si="2"/>
        <v/>
      </c>
      <c r="N54" s="11" t="s">
        <v>473</v>
      </c>
      <c r="O54" s="11" t="s">
        <v>473</v>
      </c>
      <c r="P54" s="11" t="s">
        <v>526</v>
      </c>
      <c r="Q54" s="11"/>
      <c r="R54" s="9"/>
      <c r="S54" s="9"/>
      <c r="T54" s="9"/>
      <c r="U54" s="11"/>
    </row>
    <row r="55" spans="1:21" ht="18.75" customHeight="1">
      <c r="A55" s="9" t="s">
        <v>46</v>
      </c>
      <c r="B55" s="9" t="str">
        <f t="shared" ca="1" si="1"/>
        <v>bbs_res.vtuber_profiles_id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49</v>
      </c>
      <c r="G55" s="11" t="s">
        <v>50</v>
      </c>
      <c r="H55" s="11" t="s">
        <v>99</v>
      </c>
      <c r="I55" s="11">
        <f>_xlfn.XLOOKUP(
    $H55,
    型とバイト数!$B$3:$B$54,
    型とバイト数!$E$3:$E$54,
    IF(LEFT($H55,7)="varchar",MID(H55,FIND("(",H55)+1,FIND(")",H55)-FIND("(",H55)-1)*8,
        IF(LEFT($H55,4)="char",MID(H55,FIND("(",H55)+1,FIND(")",H55)-FIND("(",H55)-1)*8,
            IF(LEFT($H55,3)="bit",MID(H55,FIND("(",H55)+1,FIND(")",H55)-FIND("(",H55)-1),"???")
        )
    )
)</f>
        <v>32</v>
      </c>
      <c r="J55" s="11"/>
      <c r="K55" s="11" t="s">
        <v>48</v>
      </c>
      <c r="L55" s="9" t="s">
        <v>533</v>
      </c>
      <c r="M55" s="11">
        <f t="shared" si="2"/>
        <v>1</v>
      </c>
      <c r="N55" s="11" t="s">
        <v>48</v>
      </c>
      <c r="O55" s="11"/>
      <c r="P55" s="11"/>
      <c r="Q55" s="11" t="s">
        <v>549</v>
      </c>
      <c r="R55" s="9"/>
      <c r="S55" s="9"/>
      <c r="T55" s="9"/>
      <c r="U55" s="11"/>
    </row>
    <row r="56" spans="1:21" ht="18.75" customHeight="1">
      <c r="A56" s="9" t="s">
        <v>46</v>
      </c>
      <c r="B56" s="9" t="str">
        <f t="shared" ca="1" si="1"/>
        <v>bbs_res.user_id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53</v>
      </c>
      <c r="G56" s="11" t="s">
        <v>54</v>
      </c>
      <c r="H56" s="11" t="s">
        <v>99</v>
      </c>
      <c r="I56" s="11">
        <f>_xlfn.XLOOKUP(
    $H56,
    型とバイト数!$B$3:$B$54,
    型とバイト数!$E$3:$E$54,
    IF(LEFT($H56,7)="varchar",MID(H56,FIND("(",H56)+1,FIND(")",H56)-FIND("(",H56)-1)*8,
        IF(LEFT($H56,4)="char",MID(H56,FIND("(",H56)+1,FIND(")",H56)-FIND("(",H56)-1)*8,
            IF(LEFT($H56,3)="bit",MID(H56,FIND("(",H56)+1,FIND(")",H56)-FIND("(",H56)-1),"???")
        )
    )
)</f>
        <v>32</v>
      </c>
      <c r="J56" s="11"/>
      <c r="K56" s="11" t="s">
        <v>48</v>
      </c>
      <c r="L56" s="9" t="s">
        <v>530</v>
      </c>
      <c r="M56" s="11">
        <f t="shared" ca="1" si="2"/>
        <v>150</v>
      </c>
      <c r="N56" s="11" t="s">
        <v>48</v>
      </c>
      <c r="O56" s="11"/>
      <c r="P56" s="11"/>
      <c r="Q56" s="11" t="s">
        <v>549</v>
      </c>
      <c r="R56" s="9"/>
      <c r="S56" s="9"/>
      <c r="T56" s="9"/>
      <c r="U56" s="11"/>
    </row>
    <row r="57" spans="1:21" ht="18.75" customHeight="1">
      <c r="A57" s="9" t="s">
        <v>46</v>
      </c>
      <c r="B57" s="9" t="str">
        <f t="shared" ca="1" si="1"/>
        <v>bbs_res.res_text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143</v>
      </c>
      <c r="G57" s="11" t="s">
        <v>144</v>
      </c>
      <c r="H57" s="11" t="s">
        <v>81</v>
      </c>
      <c r="I57" s="11" t="str">
        <f>_xlfn.XLOOKUP(
    $H57,
    型とバイト数!$B$3:$B$54,
    型とバイト数!$E$3:$E$54,
    IF(LEFT($H57,7)="varchar",MID(H57,FIND("(",H57)+1,FIND(")",H57)-FIND("(",H57)-1)*8,
        IF(LEFT($H57,4)="char",MID(H57,FIND("(",H57)+1,FIND(")",H57)-FIND("(",H57)-1)*8,
            IF(LEFT($H57,3)="bit",MID(H57,FIND("(",H57)+1,FIND(")",H57)-FIND("(",H57)-1),"???")
        )
    )
)</f>
        <v>-</v>
      </c>
      <c r="J57" s="11"/>
      <c r="K57" s="11"/>
      <c r="L57" s="9"/>
      <c r="M57" s="11" t="str">
        <f t="shared" si="2"/>
        <v/>
      </c>
      <c r="N57" s="11" t="s">
        <v>48</v>
      </c>
      <c r="O57" s="11"/>
      <c r="P57" s="11"/>
      <c r="Q57" s="11"/>
      <c r="R57" s="9"/>
      <c r="S57" s="9"/>
      <c r="T57" s="9"/>
      <c r="U57" s="11"/>
    </row>
    <row r="58" spans="1:21" ht="18.75" customHeight="1">
      <c r="A58" s="9" t="s">
        <v>46</v>
      </c>
      <c r="B58" s="9" t="str">
        <f t="shared" ca="1" si="1"/>
        <v>bbs_res.res_datetime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145</v>
      </c>
      <c r="G58" s="11" t="s">
        <v>146</v>
      </c>
      <c r="H58" s="11" t="s">
        <v>487</v>
      </c>
      <c r="I58" s="11">
        <f>_xlfn.XLOOKUP(
    $H58,
    型とバイト数!$B$3:$B$54,
    型とバイト数!$E$3:$E$54,
    IF(LEFT($H58,7)="varchar",MID(H58,FIND("(",H58)+1,FIND(")",H58)-FIND("(",H58)-1)*8,
        IF(LEFT($H58,4)="char",MID(H58,FIND("(",H58)+1,FIND(")",H58)-FIND("(",H58)-1)*8,
            IF(LEFT($H58,3)="bit",MID(H58,FIND("(",H58)+1,FIND(")",H58)-FIND("(",H58)-1),"???")
        )
    )
)</f>
        <v>64</v>
      </c>
      <c r="J58" s="11"/>
      <c r="K58" s="11"/>
      <c r="L58" s="9"/>
      <c r="M58" s="11" t="str">
        <f t="shared" si="2"/>
        <v/>
      </c>
      <c r="N58" s="11" t="s">
        <v>48</v>
      </c>
      <c r="O58" s="11"/>
      <c r="P58" s="11"/>
      <c r="Q58" s="11"/>
      <c r="R58" s="9"/>
      <c r="S58" s="9"/>
      <c r="T58" s="9"/>
      <c r="U58" s="11"/>
    </row>
    <row r="59" spans="1:21" ht="18.75" customHeight="1">
      <c r="A59" s="9" t="s">
        <v>46</v>
      </c>
      <c r="B59" s="9" t="str">
        <f t="shared" ca="1" si="1"/>
        <v>bbs_res.create_datetime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104</v>
      </c>
      <c r="G59" s="11" t="s">
        <v>105</v>
      </c>
      <c r="H59" s="11" t="s">
        <v>487</v>
      </c>
      <c r="I59" s="11">
        <f>_xlfn.XLOOKUP(
    $H59,
    型とバイト数!$B$3:$B$54,
    型とバイト数!$E$3:$E$54,
    IF(LEFT($H59,7)="varchar",MID(H59,FIND("(",H59)+1,FIND(")",H59)-FIND("(",H59)-1)*8,
        IF(LEFT($H59,4)="char",MID(H59,FIND("(",H59)+1,FIND(")",H59)-FIND("(",H59)-1)*8,
            IF(LEFT($H59,3)="bit",MID(H59,FIND("(",H59)+1,FIND(")",H59)-FIND("(",H59)-1),"???")
        )
    )
)</f>
        <v>64</v>
      </c>
      <c r="J59" s="11"/>
      <c r="K59" s="11"/>
      <c r="L59" s="9"/>
      <c r="M59" s="11" t="str">
        <f t="shared" si="2"/>
        <v/>
      </c>
      <c r="N59" s="11" t="s">
        <v>48</v>
      </c>
      <c r="O59" s="11"/>
      <c r="P59" s="11" t="s">
        <v>106</v>
      </c>
      <c r="Q59" s="11"/>
      <c r="R59" s="9"/>
      <c r="S59" s="9"/>
      <c r="T59" s="9"/>
      <c r="U59" s="11"/>
    </row>
    <row r="60" spans="1:21" ht="18.75" customHeight="1">
      <c r="A60" s="9" t="s">
        <v>46</v>
      </c>
      <c r="B60" s="9" t="str">
        <f t="shared" ca="1" si="1"/>
        <v>bbs_res.create_user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107</v>
      </c>
      <c r="G60" s="11" t="s">
        <v>108</v>
      </c>
      <c r="H60" s="11" t="s">
        <v>65</v>
      </c>
      <c r="I60" s="11">
        <f>_xlfn.XLOOKUP(
    $H60,
    型とバイト数!$B$3:$B$54,
    型とバイト数!$E$3:$E$54,
    IF(LEFT($H60,7)="varchar",MID(H60,FIND("(",H60)+1,FIND(")",H60)-FIND("(",H60)-1)*8,
        IF(LEFT($H60,4)="char",MID(H60,FIND("(",H60)+1,FIND(")",H60)-FIND("(",H60)-1)*8,
            IF(LEFT($H60,3)="bit",MID(H60,FIND("(",H60)+1,FIND(")",H60)-FIND("(",H60)-1),"???")
        )
    )
)</f>
        <v>256</v>
      </c>
      <c r="J60" s="11"/>
      <c r="K60" s="11"/>
      <c r="L60" s="9"/>
      <c r="M60" s="11" t="str">
        <f t="shared" si="2"/>
        <v/>
      </c>
      <c r="N60" s="11" t="s">
        <v>48</v>
      </c>
      <c r="O60" s="11"/>
      <c r="P60" s="11" t="s">
        <v>109</v>
      </c>
      <c r="Q60" s="11"/>
      <c r="R60" s="9"/>
      <c r="S60" s="9"/>
      <c r="T60" s="9"/>
      <c r="U60" s="11" t="s">
        <v>110</v>
      </c>
    </row>
    <row r="61" spans="1:21" ht="18.75" customHeight="1">
      <c r="A61" s="9" t="s">
        <v>46</v>
      </c>
      <c r="B61" s="9" t="str">
        <f t="shared" ca="1" si="1"/>
        <v>bbs_res.update_datetime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111</v>
      </c>
      <c r="G61" s="11" t="s">
        <v>112</v>
      </c>
      <c r="H61" s="11" t="s">
        <v>487</v>
      </c>
      <c r="I61" s="11">
        <f>_xlfn.XLOOKUP(
    $H61,
    型とバイト数!$B$3:$B$54,
    型とバイト数!$E$3:$E$54,
    IF(LEFT($H61,7)="varchar",MID(H61,FIND("(",H61)+1,FIND(")",H61)-FIND("(",H61)-1)*8,
        IF(LEFT($H61,4)="char",MID(H61,FIND("(",H61)+1,FIND(")",H61)-FIND("(",H61)-1)*8,
            IF(LEFT($H61,3)="bit",MID(H61,FIND("(",H61)+1,FIND(")",H61)-FIND("(",H61)-1),"???")
        )
    )
)</f>
        <v>64</v>
      </c>
      <c r="J61" s="11"/>
      <c r="K61" s="11"/>
      <c r="L61" s="9"/>
      <c r="M61" s="11" t="str">
        <f t="shared" si="2"/>
        <v/>
      </c>
      <c r="N61" s="11" t="s">
        <v>48</v>
      </c>
      <c r="O61" s="11"/>
      <c r="P61" s="11" t="s">
        <v>106</v>
      </c>
      <c r="Q61" s="11"/>
      <c r="R61" s="9"/>
      <c r="S61" s="9"/>
      <c r="T61" s="9"/>
      <c r="U61" s="11"/>
    </row>
    <row r="62" spans="1:21" ht="18.75" customHeight="1">
      <c r="A62" s="9" t="s">
        <v>46</v>
      </c>
      <c r="B62" s="9" t="str">
        <f t="shared" ca="1" si="1"/>
        <v>bbs_res.update_user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113</v>
      </c>
      <c r="G62" s="11" t="s">
        <v>114</v>
      </c>
      <c r="H62" s="11" t="s">
        <v>65</v>
      </c>
      <c r="I62" s="11">
        <f>_xlfn.XLOOKUP(
    $H62,
    型とバイト数!$B$3:$B$54,
    型とバイト数!$E$3:$E$54,
    IF(LEFT($H62,7)="varchar",MID(H62,FIND("(",H62)+1,FIND(")",H62)-FIND("(",H62)-1)*8,
        IF(LEFT($H62,4)="char",MID(H62,FIND("(",H62)+1,FIND(")",H62)-FIND("(",H62)-1)*8,
            IF(LEFT($H62,3)="bit",MID(H62,FIND("(",H62)+1,FIND(")",H62)-FIND("(",H62)-1),"???")
        )
    )
)</f>
        <v>256</v>
      </c>
      <c r="J62" s="11"/>
      <c r="K62" s="11"/>
      <c r="L62" s="9"/>
      <c r="M62" s="11" t="str">
        <f t="shared" si="2"/>
        <v/>
      </c>
      <c r="N62" s="11" t="s">
        <v>48</v>
      </c>
      <c r="O62" s="11"/>
      <c r="P62" s="11" t="s">
        <v>109</v>
      </c>
      <c r="Q62" s="11"/>
      <c r="R62" s="9"/>
      <c r="S62" s="9"/>
      <c r="T62" s="9"/>
      <c r="U62" s="11" t="s">
        <v>110</v>
      </c>
    </row>
    <row r="63" spans="1:21" ht="18.75" customHeight="1">
      <c r="A63" s="9" t="s">
        <v>46</v>
      </c>
      <c r="B63" s="9" t="str">
        <f t="shared" ca="1" si="1"/>
        <v>bbs_res.soft_delete_flag</v>
      </c>
      <c r="C63" s="10">
        <f t="shared" si="0"/>
        <v>62</v>
      </c>
      <c r="D63" s="11" t="str" cm="1">
        <f t="array" aca="1" ref="D63" ca="1">INDIRECT(ADDRESS(ROW()-1,COLUMN()))</f>
        <v>bbs_res</v>
      </c>
      <c r="E63" s="11" t="str" cm="1">
        <f t="array" aca="1" ref="E63" ca="1">INDIRECT(ADDRESS(ROW()-1,COLUMN()))</f>
        <v>BBS</v>
      </c>
      <c r="F63" s="11" t="s">
        <v>115</v>
      </c>
      <c r="G63" s="11" t="s">
        <v>116</v>
      </c>
      <c r="H63" s="11" t="s">
        <v>489</v>
      </c>
      <c r="I63" s="11">
        <f>_xlfn.XLOOKUP(
    $H63,
    型とバイト数!$B$3:$B$54,
    型とバイト数!$E$3:$E$54,
    IF(LEFT($H63,7)="varchar",MID(H63,FIND("(",H63)+1,FIND(")",H63)-FIND("(",H63)-1)*8,
        IF(LEFT($H63,4)="char",MID(H63,FIND("(",H63)+1,FIND(")",H63)-FIND("(",H63)-1)*8,
            IF(LEFT($H63,3)="bit",MID(H63,FIND("(",H63)+1,FIND(")",H63)-FIND("(",H63)-1),"???")
        )
    )
)</f>
        <v>8</v>
      </c>
      <c r="J63" s="11"/>
      <c r="K63" s="11"/>
      <c r="L63" s="9"/>
      <c r="M63" s="11" t="str">
        <f t="shared" si="2"/>
        <v/>
      </c>
      <c r="N63" s="11" t="s">
        <v>48</v>
      </c>
      <c r="O63" s="11"/>
      <c r="P63" s="11" t="b">
        <v>0</v>
      </c>
      <c r="Q63" s="11"/>
      <c r="R63" s="9"/>
      <c r="S63" s="9"/>
      <c r="T63" s="9"/>
      <c r="U63" s="11"/>
    </row>
    <row r="64" spans="1:21" ht="18.75" customHeight="1">
      <c r="A64" s="9" t="s">
        <v>46</v>
      </c>
      <c r="B64" s="9" t="str">
        <f t="shared" ref="B64:B126" si="5">D64&amp;"."&amp;F64</f>
        <v>page_author.page_author_sequence_id</v>
      </c>
      <c r="C64" s="10">
        <f t="shared" si="0"/>
        <v>63</v>
      </c>
      <c r="D64" s="11" t="s">
        <v>147</v>
      </c>
      <c r="E64" s="11" t="s">
        <v>97</v>
      </c>
      <c r="F64" s="11" t="str">
        <f>D64&amp;"_sequence_id"</f>
        <v>page_author_sequence_id</v>
      </c>
      <c r="G64" s="11" t="str">
        <f>E64&amp;"ID"</f>
        <v>ページ編集者ID</v>
      </c>
      <c r="H64" s="11" t="s">
        <v>527</v>
      </c>
      <c r="I64" s="11">
        <f>_xlfn.XLOOKUP(
    $H64,
    型とバイト数!$B$3:$B$54,
    型とバイト数!$E$3:$E$54,
    IF(LEFT($H64,7)="varchar",MID(H64,FIND("(",H64)+1,FIND(")",H64)-FIND("(",H64)-1)*8,
        IF(LEFT($H64,4)="char",MID(H64,FIND("(",H64)+1,FIND(")",H64)-FIND("(",H64)-1)*8,
            IF(LEFT($H64,3)="bit",MID(H64,FIND("(",H64)+1,FIND(")",H64)-FIND("(",H64)-1),"???")
        )
    )
)</f>
        <v>32</v>
      </c>
      <c r="J64" s="11" t="s">
        <v>465</v>
      </c>
      <c r="K64" s="11"/>
      <c r="L64" s="9"/>
      <c r="M64" s="11" t="str">
        <f t="shared" si="2"/>
        <v/>
      </c>
      <c r="N64" s="11" t="s">
        <v>473</v>
      </c>
      <c r="O64" s="11" t="s">
        <v>473</v>
      </c>
      <c r="P64" s="11" t="s">
        <v>526</v>
      </c>
      <c r="Q64" s="11"/>
      <c r="R64" s="9"/>
      <c r="S64" s="9"/>
      <c r="T64" s="9"/>
      <c r="U64" s="11"/>
    </row>
    <row r="65" spans="1:21" ht="18.75" customHeight="1">
      <c r="A65" s="9" t="s">
        <v>46</v>
      </c>
      <c r="B65" s="9" t="str">
        <f t="shared" ca="1" si="5"/>
        <v>page_author.user_id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53</v>
      </c>
      <c r="G65" s="11" t="s">
        <v>54</v>
      </c>
      <c r="H65" s="11" t="s">
        <v>99</v>
      </c>
      <c r="I65" s="11">
        <f>_xlfn.XLOOKUP(
    $H65,
    型とバイト数!$B$3:$B$54,
    型とバイト数!$E$3:$E$54,
    IF(LEFT($H65,7)="varchar",MID(H65,FIND("(",H65)+1,FIND(")",H65)-FIND("(",H65)-1)*8,
        IF(LEFT($H65,4)="char",MID(H65,FIND("(",H65)+1,FIND(")",H65)-FIND("(",H65)-1)*8,
            IF(LEFT($H65,3)="bit",MID(H65,FIND("(",H65)+1,FIND(")",H65)-FIND("(",H65)-1),"???")
        )
    )
)</f>
        <v>32</v>
      </c>
      <c r="J65" s="11"/>
      <c r="K65" s="11" t="s">
        <v>48</v>
      </c>
      <c r="L65" s="9" t="s">
        <v>530</v>
      </c>
      <c r="M65" s="11">
        <f t="shared" ca="1" si="2"/>
        <v>150</v>
      </c>
      <c r="N65" s="11" t="s">
        <v>48</v>
      </c>
      <c r="O65" s="11"/>
      <c r="P65" s="11"/>
      <c r="Q65" s="11" t="s">
        <v>549</v>
      </c>
      <c r="R65" s="9"/>
      <c r="S65" s="9"/>
      <c r="T65" s="9"/>
      <c r="U65" s="11"/>
    </row>
    <row r="66" spans="1:21" ht="18.75" customHeight="1">
      <c r="A66" s="9" t="s">
        <v>46</v>
      </c>
      <c r="B66" s="9" t="str">
        <f t="shared" ca="1" si="5"/>
        <v>page_author.vtuber_profiles_id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49</v>
      </c>
      <c r="G66" s="11" t="s">
        <v>577</v>
      </c>
      <c r="H66" s="11" t="s">
        <v>99</v>
      </c>
      <c r="I66" s="11">
        <f>_xlfn.XLOOKUP(
    $H66,
    型とバイト数!$B$3:$B$54,
    型とバイト数!$E$3:$E$54,
    IF(LEFT($H66,7)="varchar",MID(H66,FIND("(",H66)+1,FIND(")",H66)-FIND("(",H66)-1)*8,
        IF(LEFT($H66,4)="char",MID(H66,FIND("(",H66)+1,FIND(")",H66)-FIND("(",H66)-1)*8,
            IF(LEFT($H66,3)="bit",MID(H66,FIND("(",H66)+1,FIND(")",H66)-FIND("(",H66)-1),"???")
        )
    )
)</f>
        <v>32</v>
      </c>
      <c r="J66" s="11"/>
      <c r="K66" s="11" t="s">
        <v>48</v>
      </c>
      <c r="L66" s="9" t="s">
        <v>533</v>
      </c>
      <c r="M66" s="11">
        <f t="shared" si="2"/>
        <v>1</v>
      </c>
      <c r="N66" s="11" t="s">
        <v>48</v>
      </c>
      <c r="O66" s="11"/>
      <c r="P66" s="11"/>
      <c r="Q66" s="11" t="s">
        <v>549</v>
      </c>
      <c r="R66" s="9"/>
      <c r="S66" s="9"/>
      <c r="T66" s="9"/>
      <c r="U66" s="11"/>
    </row>
    <row r="67" spans="1:21" ht="18.75" customHeight="1">
      <c r="A67" s="9" t="s">
        <v>46</v>
      </c>
      <c r="B67" s="9" t="str">
        <f t="shared" ca="1" si="5"/>
        <v>page_author.fix_item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148</v>
      </c>
      <c r="G67" s="11" t="s">
        <v>149</v>
      </c>
      <c r="H67" s="11" t="s">
        <v>99</v>
      </c>
      <c r="I67" s="11">
        <f>_xlfn.XLOOKUP(
    $H67,
    型とバイト数!$B$3:$B$54,
    型とバイト数!$E$3:$E$54,
    IF(LEFT($H67,7)="varchar",MID(H67,FIND("(",H67)+1,FIND(")",H67)-FIND("(",H67)-1)*8,
        IF(LEFT($H67,4)="char",MID(H67,FIND("(",H67)+1,FIND(")",H67)-FIND("(",H67)-1)*8,
            IF(LEFT($H67,3)="bit",MID(H67,FIND("(",H67)+1,FIND(")",H67)-FIND("(",H67)-1),"???")
        )
    )
)</f>
        <v>32</v>
      </c>
      <c r="J67" s="11"/>
      <c r="K67" s="11" t="s">
        <v>48</v>
      </c>
      <c r="L67" s="9" t="s">
        <v>535</v>
      </c>
      <c r="M67" s="11">
        <f t="shared" ca="1" si="2"/>
        <v>112</v>
      </c>
      <c r="N67" s="11"/>
      <c r="O67" s="11"/>
      <c r="P67" s="11"/>
      <c r="Q67" s="11" t="s">
        <v>549</v>
      </c>
      <c r="R67" s="9"/>
      <c r="S67" s="9"/>
      <c r="T67" s="9"/>
      <c r="U67" s="11"/>
    </row>
    <row r="68" spans="1:21" ht="18.75" customHeight="1">
      <c r="A68" s="9" t="s">
        <v>46</v>
      </c>
      <c r="B68" s="9" t="str">
        <f t="shared" ca="1" si="5"/>
        <v>page_author.fix_before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150</v>
      </c>
      <c r="G68" s="11" t="s">
        <v>151</v>
      </c>
      <c r="H68" s="11" t="s">
        <v>81</v>
      </c>
      <c r="I68" s="11" t="str">
        <f>_xlfn.XLOOKUP(
    $H68,
    型とバイト数!$B$3:$B$54,
    型とバイト数!$E$3:$E$54,
    IF(LEFT($H68,7)="varchar",MID(H68,FIND("(",H68)+1,FIND(")",H68)-FIND("(",H68)-1)*8,
        IF(LEFT($H68,4)="char",MID(H68,FIND("(",H68)+1,FIND(")",H68)-FIND("(",H68)-1)*8,
            IF(LEFT($H68,3)="bit",MID(H68,FIND("(",H68)+1,FIND(")",H68)-FIND("(",H68)-1),"???")
        )
    )
)</f>
        <v>-</v>
      </c>
      <c r="J68" s="11"/>
      <c r="K68" s="11"/>
      <c r="L68" s="9"/>
      <c r="M68" s="11" t="str">
        <f t="shared" ref="M68:M131" si="6">IF(K68="","",IF(L68="","参照先未定義",_xlfn.XLOOKUP(L68,$B$1:$B$501,$C$1:$C$501,"エラー")))</f>
        <v/>
      </c>
      <c r="N68" s="11"/>
      <c r="O68" s="11"/>
      <c r="P68" s="11"/>
      <c r="Q68" s="11"/>
      <c r="R68" s="9"/>
      <c r="S68" s="9"/>
      <c r="T68" s="9"/>
      <c r="U68" s="11"/>
    </row>
    <row r="69" spans="1:21" ht="18.75" customHeight="1">
      <c r="A69" s="9" t="s">
        <v>46</v>
      </c>
      <c r="B69" s="9" t="str">
        <f t="shared" ca="1" si="5"/>
        <v>page_author.fix_after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152</v>
      </c>
      <c r="G69" s="11" t="s">
        <v>153</v>
      </c>
      <c r="H69" s="11" t="s">
        <v>81</v>
      </c>
      <c r="I69" s="11" t="str">
        <f>_xlfn.XLOOKUP(
    $H69,
    型とバイト数!$B$3:$B$54,
    型とバイト数!$E$3:$E$54,
    IF(LEFT($H69,7)="varchar",MID(H69,FIND("(",H69)+1,FIND(")",H69)-FIND("(",H69)-1)*8,
        IF(LEFT($H69,4)="char",MID(H69,FIND("(",H69)+1,FIND(")",H69)-FIND("(",H69)-1)*8,
            IF(LEFT($H69,3)="bit",MID(H69,FIND("(",H69)+1,FIND(")",H69)-FIND("(",H69)-1),"???")
        )
    )
)</f>
        <v>-</v>
      </c>
      <c r="J69" s="11"/>
      <c r="K69" s="11"/>
      <c r="L69" s="9"/>
      <c r="M69" s="11" t="str">
        <f t="shared" si="6"/>
        <v/>
      </c>
      <c r="N69" s="11" t="s">
        <v>48</v>
      </c>
      <c r="O69" s="11"/>
      <c r="P69" s="11"/>
      <c r="Q69" s="11"/>
      <c r="R69" s="9"/>
      <c r="S69" s="9"/>
      <c r="T69" s="9"/>
      <c r="U69" s="11"/>
    </row>
    <row r="70" spans="1:21" ht="18.75" customHeight="1">
      <c r="A70" s="9" t="s">
        <v>46</v>
      </c>
      <c r="B70" s="9" t="str">
        <f t="shared" ca="1" si="5"/>
        <v>page_author.fix_datetime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154</v>
      </c>
      <c r="G70" s="11" t="s">
        <v>155</v>
      </c>
      <c r="H70" s="11" t="s">
        <v>487</v>
      </c>
      <c r="I70" s="11">
        <f>_xlfn.XLOOKUP(
    $H70,
    型とバイト数!$B$3:$B$54,
    型とバイト数!$E$3:$E$54,
    IF(LEFT($H70,7)="varchar",MID(H70,FIND("(",H70)+1,FIND(")",H70)-FIND("(",H70)-1)*8,
        IF(LEFT($H70,4)="char",MID(H70,FIND("(",H70)+1,FIND(")",H70)-FIND("(",H70)-1)*8,
            IF(LEFT($H70,3)="bit",MID(H70,FIND("(",H70)+1,FIND(")",H70)-FIND("(",H70)-1),"???")
        )
    )
)</f>
        <v>64</v>
      </c>
      <c r="J70" s="11"/>
      <c r="K70" s="11"/>
      <c r="L70" s="9"/>
      <c r="M70" s="11" t="str">
        <f t="shared" si="6"/>
        <v/>
      </c>
      <c r="N70" s="11" t="s">
        <v>48</v>
      </c>
      <c r="O70" s="11"/>
      <c r="P70" s="11" t="s">
        <v>106</v>
      </c>
      <c r="Q70" s="11"/>
      <c r="R70" s="9"/>
      <c r="S70" s="9"/>
      <c r="T70" s="9"/>
      <c r="U70" s="11"/>
    </row>
    <row r="71" spans="1:21" ht="18.75" customHeight="1">
      <c r="A71" s="9" t="s">
        <v>46</v>
      </c>
      <c r="B71" s="9" t="str">
        <f t="shared" ca="1" si="5"/>
        <v>page_author.report_count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103</v>
      </c>
      <c r="G71" s="11" t="s">
        <v>156</v>
      </c>
      <c r="H71" s="11" t="s">
        <v>99</v>
      </c>
      <c r="I71" s="11">
        <f>_xlfn.XLOOKUP(
    $H71,
    型とバイト数!$B$3:$B$54,
    型とバイト数!$E$3:$E$54,
    IF(LEFT($H71,7)="varchar",MID(H71,FIND("(",H71)+1,FIND(")",H71)-FIND("(",H71)-1)*8,
        IF(LEFT($H71,4)="char",MID(H71,FIND("(",H71)+1,FIND(")",H71)-FIND("(",H71)-1)*8,
            IF(LEFT($H71,3)="bit",MID(H71,FIND("(",H71)+1,FIND(")",H71)-FIND("(",H71)-1),"???")
        )
    )
)</f>
        <v>32</v>
      </c>
      <c r="J71" s="11"/>
      <c r="K71" s="11"/>
      <c r="L71" s="9"/>
      <c r="M71" s="11" t="str">
        <f t="shared" si="6"/>
        <v/>
      </c>
      <c r="N71" s="11" t="s">
        <v>48</v>
      </c>
      <c r="O71" s="11"/>
      <c r="P71" s="11">
        <v>0</v>
      </c>
      <c r="Q71" s="11"/>
      <c r="R71" s="9"/>
      <c r="S71" s="9"/>
      <c r="T71" s="9"/>
      <c r="U71" s="11"/>
    </row>
    <row r="72" spans="1:21" ht="18.75" customHeight="1">
      <c r="A72" s="9" t="s">
        <v>46</v>
      </c>
      <c r="B72" s="9" t="str">
        <f t="shared" ca="1" si="5"/>
        <v>page_author.create_datetime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104</v>
      </c>
      <c r="G72" s="11" t="s">
        <v>105</v>
      </c>
      <c r="H72" s="11" t="s">
        <v>487</v>
      </c>
      <c r="I72" s="11">
        <f>_xlfn.XLOOKUP(
    $H72,
    型とバイト数!$B$3:$B$54,
    型とバイト数!$E$3:$E$54,
    IF(LEFT($H72,7)="varchar",MID(H72,FIND("(",H72)+1,FIND(")",H72)-FIND("(",H72)-1)*8,
        IF(LEFT($H72,4)="char",MID(H72,FIND("(",H72)+1,FIND(")",H72)-FIND("(",H72)-1)*8,
            IF(LEFT($H72,3)="bit",MID(H72,FIND("(",H72)+1,FIND(")",H72)-FIND("(",H72)-1),"???")
        )
    )
)</f>
        <v>64</v>
      </c>
      <c r="J72" s="11"/>
      <c r="K72" s="11"/>
      <c r="L72" s="9"/>
      <c r="M72" s="11" t="str">
        <f t="shared" si="6"/>
        <v/>
      </c>
      <c r="N72" s="11" t="s">
        <v>48</v>
      </c>
      <c r="O72" s="11"/>
      <c r="P72" s="11" t="s">
        <v>106</v>
      </c>
      <c r="Q72" s="11"/>
      <c r="R72" s="9"/>
      <c r="S72" s="9"/>
      <c r="T72" s="9"/>
      <c r="U72" s="11"/>
    </row>
    <row r="73" spans="1:21" ht="18.75" customHeight="1">
      <c r="A73" s="9" t="s">
        <v>46</v>
      </c>
      <c r="B73" s="9" t="str">
        <f t="shared" ca="1" si="5"/>
        <v>page_author.create_user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107</v>
      </c>
      <c r="G73" s="11" t="s">
        <v>108</v>
      </c>
      <c r="H73" s="11" t="s">
        <v>65</v>
      </c>
      <c r="I73" s="11">
        <f>_xlfn.XLOOKUP(
    $H73,
    型とバイト数!$B$3:$B$54,
    型とバイト数!$E$3:$E$54,
    IF(LEFT($H73,7)="varchar",MID(H73,FIND("(",H73)+1,FIND(")",H73)-FIND("(",H73)-1)*8,
        IF(LEFT($H73,4)="char",MID(H73,FIND("(",H73)+1,FIND(")",H73)-FIND("(",H73)-1)*8,
            IF(LEFT($H73,3)="bit",MID(H73,FIND("(",H73)+1,FIND(")",H73)-FIND("(",H73)-1),"???")
        )
    )
)</f>
        <v>256</v>
      </c>
      <c r="J73" s="11"/>
      <c r="K73" s="11"/>
      <c r="L73" s="9"/>
      <c r="M73" s="11" t="str">
        <f t="shared" si="6"/>
        <v/>
      </c>
      <c r="N73" s="11" t="s">
        <v>48</v>
      </c>
      <c r="O73" s="11"/>
      <c r="P73" s="11" t="s">
        <v>109</v>
      </c>
      <c r="Q73" s="11"/>
      <c r="R73" s="9"/>
      <c r="S73" s="9"/>
      <c r="T73" s="9"/>
      <c r="U73" s="11" t="s">
        <v>110</v>
      </c>
    </row>
    <row r="74" spans="1:21" ht="18.75" customHeight="1">
      <c r="A74" s="9" t="s">
        <v>46</v>
      </c>
      <c r="B74" s="9" t="str">
        <f t="shared" ca="1" si="5"/>
        <v>page_author.update_datetime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111</v>
      </c>
      <c r="G74" s="11" t="s">
        <v>112</v>
      </c>
      <c r="H74" s="11" t="s">
        <v>487</v>
      </c>
      <c r="I74" s="11">
        <f>_xlfn.XLOOKUP(
    $H74,
    型とバイト数!$B$3:$B$54,
    型とバイト数!$E$3:$E$54,
    IF(LEFT($H74,7)="varchar",MID(H74,FIND("(",H74)+1,FIND(")",H74)-FIND("(",H74)-1)*8,
        IF(LEFT($H74,4)="char",MID(H74,FIND("(",H74)+1,FIND(")",H74)-FIND("(",H74)-1)*8,
            IF(LEFT($H74,3)="bit",MID(H74,FIND("(",H74)+1,FIND(")",H74)-FIND("(",H74)-1),"???")
        )
    )
)</f>
        <v>64</v>
      </c>
      <c r="J74" s="11"/>
      <c r="K74" s="11"/>
      <c r="L74" s="9"/>
      <c r="M74" s="11" t="str">
        <f t="shared" si="6"/>
        <v/>
      </c>
      <c r="N74" s="11" t="s">
        <v>48</v>
      </c>
      <c r="O74" s="11"/>
      <c r="P74" s="11" t="s">
        <v>106</v>
      </c>
      <c r="Q74" s="11"/>
      <c r="R74" s="9"/>
      <c r="S74" s="9"/>
      <c r="T74" s="9"/>
      <c r="U74" s="11"/>
    </row>
    <row r="75" spans="1:21" ht="18.75" customHeight="1">
      <c r="A75" s="9" t="s">
        <v>46</v>
      </c>
      <c r="B75" s="9" t="str">
        <f t="shared" ca="1" si="5"/>
        <v>page_author.update_user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113</v>
      </c>
      <c r="G75" s="11" t="s">
        <v>114</v>
      </c>
      <c r="H75" s="11" t="s">
        <v>65</v>
      </c>
      <c r="I75" s="11">
        <f>_xlfn.XLOOKUP(
    $H75,
    型とバイト数!$B$3:$B$54,
    型とバイト数!$E$3:$E$54,
    IF(LEFT($H75,7)="varchar",MID(H75,FIND("(",H75)+1,FIND(")",H75)-FIND("(",H75)-1)*8,
        IF(LEFT($H75,4)="char",MID(H75,FIND("(",H75)+1,FIND(")",H75)-FIND("(",H75)-1)*8,
            IF(LEFT($H75,3)="bit",MID(H75,FIND("(",H75)+1,FIND(")",H75)-FIND("(",H75)-1),"???")
        )
    )
)</f>
        <v>256</v>
      </c>
      <c r="J75" s="11"/>
      <c r="K75" s="11"/>
      <c r="L75" s="9"/>
      <c r="M75" s="11" t="str">
        <f t="shared" si="6"/>
        <v/>
      </c>
      <c r="N75" s="11" t="s">
        <v>48</v>
      </c>
      <c r="O75" s="11"/>
      <c r="P75" s="11" t="s">
        <v>109</v>
      </c>
      <c r="Q75" s="11"/>
      <c r="R75" s="9"/>
      <c r="S75" s="9"/>
      <c r="T75" s="9"/>
      <c r="U75" s="11" t="s">
        <v>110</v>
      </c>
    </row>
    <row r="76" spans="1:21" ht="18.75" customHeight="1">
      <c r="A76" s="9" t="s">
        <v>46</v>
      </c>
      <c r="B76" s="9" t="str">
        <f t="shared" ca="1" si="5"/>
        <v>page_author.soft_delete_flag</v>
      </c>
      <c r="C76" s="10">
        <f t="shared" si="0"/>
        <v>75</v>
      </c>
      <c r="D76" s="11" t="str" cm="1">
        <f t="array" aca="1" ref="D76" ca="1">INDIRECT(ADDRESS(ROW()-1,COLUMN()))</f>
        <v>page_author</v>
      </c>
      <c r="E76" s="11" t="str" cm="1">
        <f t="array" aca="1" ref="E76" ca="1">INDIRECT(ADDRESS(ROW()-1,COLUMN()))</f>
        <v>ページ編集者</v>
      </c>
      <c r="F76" s="11" t="s">
        <v>115</v>
      </c>
      <c r="G76" s="11" t="s">
        <v>116</v>
      </c>
      <c r="H76" s="11" t="s">
        <v>489</v>
      </c>
      <c r="I76" s="11">
        <f>_xlfn.XLOOKUP(
    $H76,
    型とバイト数!$B$3:$B$54,
    型とバイト数!$E$3:$E$54,
    IF(LEFT($H76,7)="varchar",MID(H76,FIND("(",H76)+1,FIND(")",H76)-FIND("(",H76)-1)*8,
        IF(LEFT($H76,4)="char",MID(H76,FIND("(",H76)+1,FIND(")",H76)-FIND("(",H76)-1)*8,
            IF(LEFT($H76,3)="bit",MID(H76,FIND("(",H76)+1,FIND(")",H76)-FIND("(",H76)-1),"???")
        )
    )
)</f>
        <v>8</v>
      </c>
      <c r="J76" s="11"/>
      <c r="K76" s="11"/>
      <c r="L76" s="9"/>
      <c r="M76" s="11" t="str">
        <f t="shared" si="6"/>
        <v/>
      </c>
      <c r="N76" s="11" t="s">
        <v>48</v>
      </c>
      <c r="O76" s="11"/>
      <c r="P76" s="11" t="b">
        <v>0</v>
      </c>
      <c r="Q76" s="11"/>
      <c r="R76" s="9"/>
      <c r="S76" s="9"/>
      <c r="T76" s="9"/>
      <c r="U76" s="11"/>
    </row>
    <row r="77" spans="1:21" ht="18.75" customHeight="1">
      <c r="A77" s="9" t="s">
        <v>46</v>
      </c>
      <c r="B77" s="9" t="str">
        <f t="shared" si="5"/>
        <v>contact.contact_sequence_id</v>
      </c>
      <c r="C77" s="10">
        <f t="shared" si="0"/>
        <v>76</v>
      </c>
      <c r="D77" s="11" t="s">
        <v>158</v>
      </c>
      <c r="E77" s="11" t="s">
        <v>159</v>
      </c>
      <c r="F77" s="11" t="str">
        <f>D77&amp;"_sequence_id"</f>
        <v>contact_sequence_id</v>
      </c>
      <c r="G77" s="11" t="str">
        <f>E77&amp;"ID"</f>
        <v>問い合わせID</v>
      </c>
      <c r="H77" s="11" t="s">
        <v>527</v>
      </c>
      <c r="I77" s="11">
        <f>_xlfn.XLOOKUP(
    $H77,
    型とバイト数!$B$3:$B$54,
    型とバイト数!$E$3:$E$54,
    IF(LEFT($H77,7)="varchar",MID(H77,FIND("(",H77)+1,FIND(")",H77)-FIND("(",H77)-1)*8,
        IF(LEFT($H77,4)="char",MID(H77,FIND("(",H77)+1,FIND(")",H77)-FIND("(",H77)-1)*8,
            IF(LEFT($H77,3)="bit",MID(H77,FIND("(",H77)+1,FIND(")",H77)-FIND("(",H77)-1),"???")
        )
    )
)</f>
        <v>32</v>
      </c>
      <c r="J77" s="11" t="s">
        <v>465</v>
      </c>
      <c r="K77" s="11"/>
      <c r="L77" s="9"/>
      <c r="M77" s="11" t="str">
        <f t="shared" si="6"/>
        <v/>
      </c>
      <c r="N77" s="11" t="s">
        <v>473</v>
      </c>
      <c r="O77" s="11" t="s">
        <v>473</v>
      </c>
      <c r="P77" s="11" t="s">
        <v>526</v>
      </c>
      <c r="Q77" s="11"/>
      <c r="R77" s="9"/>
      <c r="S77" s="9"/>
      <c r="T77" s="9"/>
      <c r="U77" s="11"/>
    </row>
    <row r="78" spans="1:21" ht="18.75" customHeight="1">
      <c r="A78" s="9" t="s">
        <v>46</v>
      </c>
      <c r="B78" s="9" t="str">
        <f t="shared" ca="1" si="5"/>
        <v>contact.mail_address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160</v>
      </c>
      <c r="G78" s="11" t="s">
        <v>161</v>
      </c>
      <c r="H78" s="11" t="s">
        <v>162</v>
      </c>
      <c r="I78" s="11">
        <f>_xlfn.XLOOKUP(
    $H78,
    型とバイト数!$B$3:$B$54,
    型とバイト数!$E$3:$E$54,
    IF(LEFT($H78,7)="varchar",MID(H78,FIND("(",H78)+1,FIND(")",H78)-FIND("(",H78)-1)*8,
        IF(LEFT($H78,4)="char",MID(H78,FIND("(",H78)+1,FIND(")",H78)-FIND("(",H78)-1)*8,
            IF(LEFT($H78,3)="bit",MID(H78,FIND("(",H78)+1,FIND(")",H78)-FIND("(",H78)-1),"???")
        )
    )
)</f>
        <v>2040</v>
      </c>
      <c r="J78" s="11"/>
      <c r="K78" s="11"/>
      <c r="L78" s="9"/>
      <c r="M78" s="11" t="str">
        <f t="shared" si="6"/>
        <v/>
      </c>
      <c r="N78" s="11" t="s">
        <v>48</v>
      </c>
      <c r="O78" s="11"/>
      <c r="P78" s="11"/>
      <c r="Q78" s="11"/>
      <c r="R78" s="9" t="s">
        <v>48</v>
      </c>
      <c r="S78" s="9"/>
      <c r="T78" s="9"/>
      <c r="U78" s="11"/>
    </row>
    <row r="79" spans="1:21" ht="18.75" customHeight="1">
      <c r="A79" s="9" t="s">
        <v>46</v>
      </c>
      <c r="B79" s="9" t="str">
        <f t="shared" ca="1" si="5"/>
        <v>contact.subject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163</v>
      </c>
      <c r="G79" s="11" t="s">
        <v>164</v>
      </c>
      <c r="H79" s="11" t="s">
        <v>162</v>
      </c>
      <c r="I79" s="11">
        <f>_xlfn.XLOOKUP(
    $H79,
    型とバイト数!$B$3:$B$54,
    型とバイト数!$E$3:$E$54,
    IF(LEFT($H79,7)="varchar",MID(H79,FIND("(",H79)+1,FIND(")",H79)-FIND("(",H79)-1)*8,
        IF(LEFT($H79,4)="char",MID(H79,FIND("(",H79)+1,FIND(")",H79)-FIND("(",H79)-1)*8,
            IF(LEFT($H79,3)="bit",MID(H79,FIND("(",H79)+1,FIND(")",H79)-FIND("(",H79)-1),"???")
        )
    )
)</f>
        <v>2040</v>
      </c>
      <c r="J79" s="11"/>
      <c r="K79" s="11"/>
      <c r="L79" s="9"/>
      <c r="M79" s="11" t="str">
        <f t="shared" si="6"/>
        <v/>
      </c>
      <c r="N79" s="11" t="s">
        <v>48</v>
      </c>
      <c r="O79" s="11"/>
      <c r="P79" s="11"/>
      <c r="Q79" s="11"/>
      <c r="R79" s="9" t="s">
        <v>48</v>
      </c>
      <c r="S79" s="9"/>
      <c r="T79" s="9"/>
      <c r="U79" s="11"/>
    </row>
    <row r="80" spans="1:21" ht="18.75" customHeight="1">
      <c r="A80" s="9" t="s">
        <v>46</v>
      </c>
      <c r="B80" s="9" t="str">
        <f t="shared" ca="1" si="5"/>
        <v>contact.contact_detail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165</v>
      </c>
      <c r="G80" s="11" t="s">
        <v>166</v>
      </c>
      <c r="H80" s="11" t="s">
        <v>81</v>
      </c>
      <c r="I80" s="11" t="str">
        <f>_xlfn.XLOOKUP(
    $H80,
    型とバイト数!$B$3:$B$54,
    型とバイト数!$E$3:$E$54,
    IF(LEFT($H80,7)="varchar",MID(H80,FIND("(",H80)+1,FIND(")",H80)-FIND("(",H80)-1)*8,
        IF(LEFT($H80,4)="char",MID(H80,FIND("(",H80)+1,FIND(")",H80)-FIND("(",H80)-1)*8,
            IF(LEFT($H80,3)="bit",MID(H80,FIND("(",H80)+1,FIND(")",H80)-FIND("(",H80)-1),"???")
        )
    )
)</f>
        <v>-</v>
      </c>
      <c r="J80" s="11"/>
      <c r="K80" s="11"/>
      <c r="L80" s="9"/>
      <c r="M80" s="11" t="str">
        <f t="shared" si="6"/>
        <v/>
      </c>
      <c r="N80" s="11" t="s">
        <v>48</v>
      </c>
      <c r="O80" s="11"/>
      <c r="P80" s="11"/>
      <c r="Q80" s="11"/>
      <c r="R80" s="9" t="s">
        <v>48</v>
      </c>
      <c r="S80" s="9"/>
      <c r="T80" s="9"/>
      <c r="U80" s="11"/>
    </row>
    <row r="81" spans="1:21" ht="18.75" customHeight="1">
      <c r="A81" s="9" t="s">
        <v>46</v>
      </c>
      <c r="B81" s="9" t="str">
        <f t="shared" ca="1" si="5"/>
        <v>contact.priority_physical_name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167</v>
      </c>
      <c r="G81" s="11" t="s">
        <v>168</v>
      </c>
      <c r="H81" s="11" t="s">
        <v>99</v>
      </c>
      <c r="I81" s="11">
        <f>_xlfn.XLOOKUP(
    $H81,
    型とバイト数!$B$3:$B$54,
    型とバイト数!$E$3:$E$54,
    IF(LEFT($H81,7)="varchar",MID(H81,FIND("(",H81)+1,FIND(")",H81)-FIND("(",H81)-1)*8,
        IF(LEFT($H81,4)="char",MID(H81,FIND("(",H81)+1,FIND(")",H81)-FIND("(",H81)-1)*8,
            IF(LEFT($H81,3)="bit",MID(H81,FIND("(",H81)+1,FIND(")",H81)-FIND("(",H81)-1),"???")
        )
    )
)</f>
        <v>32</v>
      </c>
      <c r="J81" s="11"/>
      <c r="K81" s="11" t="s">
        <v>48</v>
      </c>
      <c r="L81" s="9" t="s">
        <v>536</v>
      </c>
      <c r="M81" s="11">
        <f t="shared" ca="1" si="6"/>
        <v>87</v>
      </c>
      <c r="N81" s="11"/>
      <c r="O81" s="11"/>
      <c r="P81" s="11"/>
      <c r="Q81" s="11" t="s">
        <v>549</v>
      </c>
      <c r="R81" s="9"/>
      <c r="S81" s="9"/>
      <c r="T81" s="9"/>
      <c r="U81" s="11"/>
    </row>
    <row r="82" spans="1:21" ht="18.75" customHeight="1">
      <c r="A82" s="9" t="s">
        <v>46</v>
      </c>
      <c r="B82" s="9" t="str">
        <f t="shared" ca="1" si="5"/>
        <v>contact.response_status_physical_name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169</v>
      </c>
      <c r="G82" s="11" t="s">
        <v>170</v>
      </c>
      <c r="H82" s="11" t="s">
        <v>99</v>
      </c>
      <c r="I82" s="11">
        <f>_xlfn.XLOOKUP(
    $H82,
    型とバイト数!$B$3:$B$54,
    型とバイト数!$E$3:$E$54,
    IF(LEFT($H82,7)="varchar",MID(H82,FIND("(",H82)+1,FIND(")",H82)-FIND("(",H82)-1)*8,
        IF(LEFT($H82,4)="char",MID(H82,FIND("(",H82)+1,FIND(")",H82)-FIND("(",H82)-1)*8,
            IF(LEFT($H82,3)="bit",MID(H82,FIND("(",H82)+1,FIND(")",H82)-FIND("(",H82)-1),"???")
        )
    )
)</f>
        <v>32</v>
      </c>
      <c r="J82" s="11"/>
      <c r="K82" s="11" t="s">
        <v>48</v>
      </c>
      <c r="L82" s="9" t="s">
        <v>537</v>
      </c>
      <c r="M82" s="11">
        <f t="shared" ca="1" si="6"/>
        <v>95</v>
      </c>
      <c r="N82" s="11"/>
      <c r="O82" s="11"/>
      <c r="P82" s="11"/>
      <c r="Q82" s="11" t="s">
        <v>549</v>
      </c>
      <c r="R82" s="9"/>
      <c r="S82" s="9"/>
      <c r="T82" s="9"/>
      <c r="U82" s="11"/>
    </row>
    <row r="83" spans="1:21" ht="18.75" customHeight="1">
      <c r="A83" s="9" t="s">
        <v>46</v>
      </c>
      <c r="B83" s="9" t="str">
        <f t="shared" ca="1" si="5"/>
        <v>contact.create_datetime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104</v>
      </c>
      <c r="G83" s="11" t="s">
        <v>105</v>
      </c>
      <c r="H83" s="11" t="s">
        <v>487</v>
      </c>
      <c r="I83" s="11">
        <f>_xlfn.XLOOKUP(
    $H83,
    型とバイト数!$B$3:$B$54,
    型とバイト数!$E$3:$E$54,
    IF(LEFT($H83,7)="varchar",MID(H83,FIND("(",H83)+1,FIND(")",H83)-FIND("(",H83)-1)*8,
        IF(LEFT($H83,4)="char",MID(H83,FIND("(",H83)+1,FIND(")",H83)-FIND("(",H83)-1)*8,
            IF(LEFT($H83,3)="bit",MID(H83,FIND("(",H83)+1,FIND(")",H83)-FIND("(",H83)-1),"???")
        )
    )
)</f>
        <v>64</v>
      </c>
      <c r="J83" s="11"/>
      <c r="K83" s="11"/>
      <c r="L83" s="9"/>
      <c r="M83" s="11" t="str">
        <f t="shared" si="6"/>
        <v/>
      </c>
      <c r="N83" s="11" t="s">
        <v>48</v>
      </c>
      <c r="O83" s="11"/>
      <c r="P83" s="11" t="s">
        <v>106</v>
      </c>
      <c r="Q83" s="11"/>
      <c r="R83" s="9"/>
      <c r="S83" s="9"/>
      <c r="T83" s="9"/>
      <c r="U83" s="11"/>
    </row>
    <row r="84" spans="1:21" ht="18.75" customHeight="1">
      <c r="A84" s="9" t="s">
        <v>46</v>
      </c>
      <c r="B84" s="9" t="str">
        <f t="shared" ca="1" si="5"/>
        <v>contact.create_user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107</v>
      </c>
      <c r="G84" s="11" t="s">
        <v>108</v>
      </c>
      <c r="H84" s="11" t="s">
        <v>65</v>
      </c>
      <c r="I84" s="11">
        <f>_xlfn.XLOOKUP(
    $H84,
    型とバイト数!$B$3:$B$54,
    型とバイト数!$E$3:$E$54,
    IF(LEFT($H84,7)="varchar",MID(H84,FIND("(",H84)+1,FIND(")",H84)-FIND("(",H84)-1)*8,
        IF(LEFT($H84,4)="char",MID(H84,FIND("(",H84)+1,FIND(")",H84)-FIND("(",H84)-1)*8,
            IF(LEFT($H84,3)="bit",MID(H84,FIND("(",H84)+1,FIND(")",H84)-FIND("(",H84)-1),"???")
        )
    )
)</f>
        <v>256</v>
      </c>
      <c r="J84" s="11"/>
      <c r="K84" s="11"/>
      <c r="L84" s="9"/>
      <c r="M84" s="11" t="str">
        <f t="shared" si="6"/>
        <v/>
      </c>
      <c r="N84" s="11" t="s">
        <v>48</v>
      </c>
      <c r="O84" s="11"/>
      <c r="P84" s="11" t="s">
        <v>109</v>
      </c>
      <c r="Q84" s="11"/>
      <c r="R84" s="9"/>
      <c r="S84" s="9"/>
      <c r="T84" s="9"/>
      <c r="U84" s="11" t="s">
        <v>110</v>
      </c>
    </row>
    <row r="85" spans="1:21" ht="18.75" customHeight="1">
      <c r="A85" s="9" t="s">
        <v>46</v>
      </c>
      <c r="B85" s="9" t="str">
        <f t="shared" ca="1" si="5"/>
        <v>contact.update_datetime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111</v>
      </c>
      <c r="G85" s="11" t="s">
        <v>112</v>
      </c>
      <c r="H85" s="11" t="s">
        <v>487</v>
      </c>
      <c r="I85" s="11">
        <f>_xlfn.XLOOKUP(
    $H85,
    型とバイト数!$B$3:$B$54,
    型とバイト数!$E$3:$E$54,
    IF(LEFT($H85,7)="varchar",MID(H85,FIND("(",H85)+1,FIND(")",H85)-FIND("(",H85)-1)*8,
        IF(LEFT($H85,4)="char",MID(H85,FIND("(",H85)+1,FIND(")",H85)-FIND("(",H85)-1)*8,
            IF(LEFT($H85,3)="bit",MID(H85,FIND("(",H85)+1,FIND(")",H85)-FIND("(",H85)-1),"???")
        )
    )
)</f>
        <v>64</v>
      </c>
      <c r="J85" s="11"/>
      <c r="K85" s="11"/>
      <c r="L85" s="9"/>
      <c r="M85" s="11" t="str">
        <f t="shared" si="6"/>
        <v/>
      </c>
      <c r="N85" s="11" t="s">
        <v>48</v>
      </c>
      <c r="O85" s="11"/>
      <c r="P85" s="11" t="s">
        <v>106</v>
      </c>
      <c r="Q85" s="11"/>
      <c r="R85" s="9"/>
      <c r="S85" s="9"/>
      <c r="T85" s="9"/>
      <c r="U85" s="11"/>
    </row>
    <row r="86" spans="1:21" ht="18.75" customHeight="1">
      <c r="A86" s="9" t="s">
        <v>46</v>
      </c>
      <c r="B86" s="9" t="str">
        <f t="shared" ca="1" si="5"/>
        <v>contact.update_user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113</v>
      </c>
      <c r="G86" s="11" t="s">
        <v>114</v>
      </c>
      <c r="H86" s="11" t="s">
        <v>65</v>
      </c>
      <c r="I86" s="11">
        <f>_xlfn.XLOOKUP(
    $H86,
    型とバイト数!$B$3:$B$54,
    型とバイト数!$E$3:$E$54,
    IF(LEFT($H86,7)="varchar",MID(H86,FIND("(",H86)+1,FIND(")",H86)-FIND("(",H86)-1)*8,
        IF(LEFT($H86,4)="char",MID(H86,FIND("(",H86)+1,FIND(")",H86)-FIND("(",H86)-1)*8,
            IF(LEFT($H86,3)="bit",MID(H86,FIND("(",H86)+1,FIND(")",H86)-FIND("(",H86)-1),"???")
        )
    )
)</f>
        <v>256</v>
      </c>
      <c r="J86" s="11"/>
      <c r="K86" s="11"/>
      <c r="L86" s="9"/>
      <c r="M86" s="11" t="str">
        <f t="shared" si="6"/>
        <v/>
      </c>
      <c r="N86" s="11" t="s">
        <v>48</v>
      </c>
      <c r="O86" s="11"/>
      <c r="P86" s="11" t="s">
        <v>109</v>
      </c>
      <c r="Q86" s="11"/>
      <c r="R86" s="9"/>
      <c r="S86" s="9"/>
      <c r="T86" s="9"/>
      <c r="U86" s="11" t="s">
        <v>110</v>
      </c>
    </row>
    <row r="87" spans="1:21" ht="18.75" customHeight="1">
      <c r="A87" s="9" t="s">
        <v>46</v>
      </c>
      <c r="B87" s="9" t="str">
        <f t="shared" ca="1" si="5"/>
        <v>contact.soft_delete_flag</v>
      </c>
      <c r="C87" s="10">
        <f t="shared" si="0"/>
        <v>86</v>
      </c>
      <c r="D87" s="11" t="str" cm="1">
        <f t="array" aca="1" ref="D87" ca="1">INDIRECT(ADDRESS(ROW()-1,COLUMN()))</f>
        <v>contact</v>
      </c>
      <c r="E87" s="11" t="str" cm="1">
        <f t="array" aca="1" ref="E87" ca="1">INDIRECT(ADDRESS(ROW()-1,COLUMN()))</f>
        <v>問い合わせ</v>
      </c>
      <c r="F87" s="11" t="s">
        <v>115</v>
      </c>
      <c r="G87" s="11" t="s">
        <v>116</v>
      </c>
      <c r="H87" s="11" t="s">
        <v>489</v>
      </c>
      <c r="I87" s="11">
        <f>_xlfn.XLOOKUP(
    $H87,
    型とバイト数!$B$3:$B$54,
    型とバイト数!$E$3:$E$54,
    IF(LEFT($H87,7)="varchar",MID(H87,FIND("(",H87)+1,FIND(")",H87)-FIND("(",H87)-1)*8,
        IF(LEFT($H87,4)="char",MID(H87,FIND("(",H87)+1,FIND(")",H87)-FIND("(",H87)-1)*8,
            IF(LEFT($H87,3)="bit",MID(H87,FIND("(",H87)+1,FIND(")",H87)-FIND("(",H87)-1),"???")
        )
    )
)</f>
        <v>8</v>
      </c>
      <c r="J87" s="11"/>
      <c r="K87" s="11"/>
      <c r="L87" s="9"/>
      <c r="M87" s="11" t="str">
        <f t="shared" si="6"/>
        <v/>
      </c>
      <c r="N87" s="11" t="s">
        <v>48</v>
      </c>
      <c r="O87" s="11"/>
      <c r="P87" s="11" t="b">
        <v>0</v>
      </c>
      <c r="Q87" s="11"/>
      <c r="R87" s="9"/>
      <c r="S87" s="9"/>
      <c r="T87" s="9"/>
      <c r="U87" s="11"/>
    </row>
    <row r="88" spans="1:21" ht="18.75" customHeight="1">
      <c r="A88" s="9" t="s">
        <v>46</v>
      </c>
      <c r="B88" s="9" t="str">
        <f t="shared" si="5"/>
        <v>priority.priority_sequence_id</v>
      </c>
      <c r="C88" s="10">
        <f t="shared" si="0"/>
        <v>87</v>
      </c>
      <c r="D88" s="11" t="s">
        <v>574</v>
      </c>
      <c r="E88" s="11" t="s">
        <v>171</v>
      </c>
      <c r="F88" s="11" t="str">
        <f>D88&amp;"_sequence_id"</f>
        <v>priority_sequence_id</v>
      </c>
      <c r="G88" s="11" t="str">
        <f>E88&amp;"ID"</f>
        <v>優先度ID</v>
      </c>
      <c r="H88" s="11" t="s">
        <v>527</v>
      </c>
      <c r="I88" s="11">
        <f>_xlfn.XLOOKUP(
    $H88,
    型とバイト数!$B$3:$B$54,
    型とバイト数!$E$3:$E$54,
    IF(LEFT($H88,7)="varchar",MID(H88,FIND("(",H88)+1,FIND(")",H88)-FIND("(",H88)-1)*8,
        IF(LEFT($H88,4)="char",MID(H88,FIND("(",H88)+1,FIND(")",H88)-FIND("(",H88)-1)*8,
            IF(LEFT($H88,3)="bit",MID(H88,FIND("(",H88)+1,FIND(")",H88)-FIND("(",H88)-1),"???")
        )
    )
)</f>
        <v>32</v>
      </c>
      <c r="J88" s="11" t="s">
        <v>452</v>
      </c>
      <c r="K88" s="11"/>
      <c r="L88" s="9"/>
      <c r="M88" s="11" t="str">
        <f t="shared" si="6"/>
        <v/>
      </c>
      <c r="N88" s="11" t="s">
        <v>473</v>
      </c>
      <c r="O88" s="11" t="s">
        <v>473</v>
      </c>
      <c r="P88" s="11" t="s">
        <v>526</v>
      </c>
      <c r="Q88" s="11"/>
      <c r="R88" s="9"/>
      <c r="S88" s="9"/>
      <c r="T88" s="9"/>
      <c r="U88" s="11"/>
    </row>
    <row r="89" spans="1:21" ht="18.75" customHeight="1">
      <c r="A89" s="9" t="s">
        <v>46</v>
      </c>
      <c r="B89" s="9" t="str">
        <f t="shared" ca="1" si="5"/>
        <v>priority.priority_physical_name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167</v>
      </c>
      <c r="G89" s="11" t="s">
        <v>168</v>
      </c>
      <c r="H89" s="11" t="s">
        <v>51</v>
      </c>
      <c r="I89" s="11">
        <f>_xlfn.XLOOKUP(
    $H89,
    型とバイト数!$B$3:$B$54,
    型とバイト数!$E$3:$E$54,
    IF(LEFT($H89,7)="varchar",MID(H89,FIND("(",H89)+1,FIND(")",H89)-FIND("(",H89)-1)*8,
        IF(LEFT($H89,4)="char",MID(H89,FIND("(",H89)+1,FIND(")",H89)-FIND("(",H89)-1)*8,
            IF(LEFT($H89,3)="bit",MID(H89,FIND("(",H89)+1,FIND(")",H89)-FIND("(",H89)-1),"???")
        )
    )
)</f>
        <v>64</v>
      </c>
      <c r="J89" s="11"/>
      <c r="K89" s="11"/>
      <c r="L89" s="9"/>
      <c r="M89" s="11" t="str">
        <f t="shared" si="6"/>
        <v/>
      </c>
      <c r="N89" s="11" t="s">
        <v>465</v>
      </c>
      <c r="O89" s="11" t="s">
        <v>465</v>
      </c>
      <c r="P89" s="11"/>
      <c r="Q89" s="11"/>
      <c r="R89" s="9"/>
      <c r="S89" s="9"/>
      <c r="T89" s="9"/>
      <c r="U89" s="11"/>
    </row>
    <row r="90" spans="1:21" ht="18.75" customHeight="1">
      <c r="A90" s="9" t="s">
        <v>46</v>
      </c>
      <c r="B90" s="9" t="str">
        <f t="shared" ca="1" si="5"/>
        <v>priority.priority_logical_name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172</v>
      </c>
      <c r="G90" s="11" t="s">
        <v>173</v>
      </c>
      <c r="H90" s="11" t="s">
        <v>51</v>
      </c>
      <c r="I90" s="11">
        <f>_xlfn.XLOOKUP(
    $H90,
    型とバイト数!$B$3:$B$54,
    型とバイト数!$E$3:$E$54,
    IF(LEFT($H90,7)="varchar",MID(H90,FIND("(",H90)+1,FIND(")",H90)-FIND("(",H90)-1)*8,
        IF(LEFT($H90,4)="char",MID(H90,FIND("(",H90)+1,FIND(")",H90)-FIND("(",H90)-1)*8,
            IF(LEFT($H90,3)="bit",MID(H90,FIND("(",H90)+1,FIND(")",H90)-FIND("(",H90)-1),"???")
        )
    )
)</f>
        <v>64</v>
      </c>
      <c r="J90" s="11"/>
      <c r="K90" s="11"/>
      <c r="L90" s="9"/>
      <c r="M90" s="11" t="str">
        <f t="shared" si="6"/>
        <v/>
      </c>
      <c r="N90" s="11"/>
      <c r="O90" s="11"/>
      <c r="P90" s="11"/>
      <c r="Q90" s="11"/>
      <c r="R90" s="9"/>
      <c r="S90" s="9"/>
      <c r="T90" s="9"/>
      <c r="U90" s="11" t="s">
        <v>490</v>
      </c>
    </row>
    <row r="91" spans="1:21" ht="18.75" customHeight="1">
      <c r="A91" s="9" t="s">
        <v>46</v>
      </c>
      <c r="B91" s="9" t="str">
        <f t="shared" ca="1" si="5"/>
        <v>priority.create_datetime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104</v>
      </c>
      <c r="G91" s="11" t="s">
        <v>105</v>
      </c>
      <c r="H91" s="11" t="s">
        <v>487</v>
      </c>
      <c r="I91" s="11">
        <f>_xlfn.XLOOKUP(
    $H91,
    型とバイト数!$B$3:$B$54,
    型とバイト数!$E$3:$E$54,
    IF(LEFT($H91,7)="varchar",MID(H91,FIND("(",H91)+1,FIND(")",H91)-FIND("(",H91)-1)*8,
        IF(LEFT($H91,4)="char",MID(H91,FIND("(",H91)+1,FIND(")",H91)-FIND("(",H91)-1)*8,
            IF(LEFT($H91,3)="bit",MID(H91,FIND("(",H91)+1,FIND(")",H91)-FIND("(",H91)-1),"???")
        )
    )
)</f>
        <v>64</v>
      </c>
      <c r="J91" s="11"/>
      <c r="K91" s="11"/>
      <c r="L91" s="9"/>
      <c r="M91" s="11" t="str">
        <f t="shared" si="6"/>
        <v/>
      </c>
      <c r="N91" s="11" t="s">
        <v>48</v>
      </c>
      <c r="O91" s="11"/>
      <c r="P91" s="11" t="s">
        <v>106</v>
      </c>
      <c r="Q91" s="11"/>
      <c r="R91" s="9"/>
      <c r="S91" s="9"/>
      <c r="T91" s="9"/>
      <c r="U91" s="11"/>
    </row>
    <row r="92" spans="1:21" ht="18.75" customHeight="1">
      <c r="A92" s="9" t="s">
        <v>46</v>
      </c>
      <c r="B92" s="9" t="str">
        <f t="shared" ca="1" si="5"/>
        <v>priority.create_user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107</v>
      </c>
      <c r="G92" s="11" t="s">
        <v>108</v>
      </c>
      <c r="H92" s="11" t="s">
        <v>65</v>
      </c>
      <c r="I92" s="11">
        <f>_xlfn.XLOOKUP(
    $H92,
    型とバイト数!$B$3:$B$54,
    型とバイト数!$E$3:$E$54,
    IF(LEFT($H92,7)="varchar",MID(H92,FIND("(",H92)+1,FIND(")",H92)-FIND("(",H92)-1)*8,
        IF(LEFT($H92,4)="char",MID(H92,FIND("(",H92)+1,FIND(")",H92)-FIND("(",H92)-1)*8,
            IF(LEFT($H92,3)="bit",MID(H92,FIND("(",H92)+1,FIND(")",H92)-FIND("(",H92)-1),"???")
        )
    )
)</f>
        <v>256</v>
      </c>
      <c r="J92" s="11"/>
      <c r="K92" s="11"/>
      <c r="L92" s="9"/>
      <c r="M92" s="11" t="str">
        <f t="shared" si="6"/>
        <v/>
      </c>
      <c r="N92" s="11" t="s">
        <v>48</v>
      </c>
      <c r="O92" s="11"/>
      <c r="P92" s="11" t="s">
        <v>109</v>
      </c>
      <c r="Q92" s="11"/>
      <c r="R92" s="9"/>
      <c r="S92" s="9"/>
      <c r="T92" s="9"/>
      <c r="U92" s="11" t="s">
        <v>110</v>
      </c>
    </row>
    <row r="93" spans="1:21" ht="18.75" customHeight="1">
      <c r="A93" s="9" t="s">
        <v>46</v>
      </c>
      <c r="B93" s="9" t="str">
        <f t="shared" ca="1" si="5"/>
        <v>priority.update_datetime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111</v>
      </c>
      <c r="G93" s="11" t="s">
        <v>112</v>
      </c>
      <c r="H93" s="11" t="s">
        <v>487</v>
      </c>
      <c r="I93" s="11">
        <f>_xlfn.XLOOKUP(
    $H93,
    型とバイト数!$B$3:$B$54,
    型とバイト数!$E$3:$E$54,
    IF(LEFT($H93,7)="varchar",MID(H93,FIND("(",H93)+1,FIND(")",H93)-FIND("(",H93)-1)*8,
        IF(LEFT($H93,4)="char",MID(H93,FIND("(",H93)+1,FIND(")",H93)-FIND("(",H93)-1)*8,
            IF(LEFT($H93,3)="bit",MID(H93,FIND("(",H93)+1,FIND(")",H93)-FIND("(",H93)-1),"???")
        )
    )
)</f>
        <v>64</v>
      </c>
      <c r="J93" s="11"/>
      <c r="K93" s="11"/>
      <c r="L93" s="9"/>
      <c r="M93" s="11" t="str">
        <f t="shared" si="6"/>
        <v/>
      </c>
      <c r="N93" s="11" t="s">
        <v>48</v>
      </c>
      <c r="O93" s="11"/>
      <c r="P93" s="11" t="s">
        <v>106</v>
      </c>
      <c r="Q93" s="11"/>
      <c r="R93" s="9"/>
      <c r="S93" s="9"/>
      <c r="T93" s="9"/>
      <c r="U93" s="11"/>
    </row>
    <row r="94" spans="1:21" ht="18.75" customHeight="1">
      <c r="A94" s="9" t="s">
        <v>46</v>
      </c>
      <c r="B94" s="9" t="str">
        <f t="shared" ca="1" si="5"/>
        <v>priority.update_user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113</v>
      </c>
      <c r="G94" s="11" t="s">
        <v>114</v>
      </c>
      <c r="H94" s="11" t="s">
        <v>65</v>
      </c>
      <c r="I94" s="11">
        <f>_xlfn.XLOOKUP(
    $H94,
    型とバイト数!$B$3:$B$54,
    型とバイト数!$E$3:$E$54,
    IF(LEFT($H94,7)="varchar",MID(H94,FIND("(",H94)+1,FIND(")",H94)-FIND("(",H94)-1)*8,
        IF(LEFT($H94,4)="char",MID(H94,FIND("(",H94)+1,FIND(")",H94)-FIND("(",H94)-1)*8,
            IF(LEFT($H94,3)="bit",MID(H94,FIND("(",H94)+1,FIND(")",H94)-FIND("(",H94)-1),"???")
        )
    )
)</f>
        <v>256</v>
      </c>
      <c r="J94" s="11"/>
      <c r="K94" s="11"/>
      <c r="L94" s="9"/>
      <c r="M94" s="11" t="str">
        <f t="shared" si="6"/>
        <v/>
      </c>
      <c r="N94" s="11" t="s">
        <v>48</v>
      </c>
      <c r="O94" s="11"/>
      <c r="P94" s="11" t="s">
        <v>109</v>
      </c>
      <c r="Q94" s="11"/>
      <c r="R94" s="9"/>
      <c r="S94" s="9"/>
      <c r="T94" s="9"/>
      <c r="U94" s="11" t="s">
        <v>110</v>
      </c>
    </row>
    <row r="95" spans="1:21" ht="18.75" customHeight="1">
      <c r="A95" s="9" t="s">
        <v>46</v>
      </c>
      <c r="B95" s="9" t="str">
        <f t="shared" ca="1" si="5"/>
        <v>priority.soft_delete_flag</v>
      </c>
      <c r="C95" s="10">
        <f t="shared" si="0"/>
        <v>94</v>
      </c>
      <c r="D95" s="11" t="str" cm="1">
        <f t="array" aca="1" ref="D95" ca="1">INDIRECT(ADDRESS(ROW()-1,COLUMN()))</f>
        <v>priority</v>
      </c>
      <c r="E95" s="11" t="str" cm="1">
        <f t="array" aca="1" ref="E95" ca="1">INDIRECT(ADDRESS(ROW()-1,COLUMN()))</f>
        <v>優先度</v>
      </c>
      <c r="F95" s="11" t="s">
        <v>115</v>
      </c>
      <c r="G95" s="11" t="s">
        <v>116</v>
      </c>
      <c r="H95" s="11" t="s">
        <v>489</v>
      </c>
      <c r="I95" s="11">
        <f>_xlfn.XLOOKUP(
    $H95,
    型とバイト数!$B$3:$B$54,
    型とバイト数!$E$3:$E$54,
    IF(LEFT($H95,7)="varchar",MID(H95,FIND("(",H95)+1,FIND(")",H95)-FIND("(",H95)-1)*8,
        IF(LEFT($H95,4)="char",MID(H95,FIND("(",H95)+1,FIND(")",H95)-FIND("(",H95)-1)*8,
            IF(LEFT($H95,3)="bit",MID(H95,FIND("(",H95)+1,FIND(")",H95)-FIND("(",H95)-1),"???")
        )
    )
)</f>
        <v>8</v>
      </c>
      <c r="J95" s="11"/>
      <c r="K95" s="11"/>
      <c r="L95" s="9"/>
      <c r="M95" s="11" t="str">
        <f t="shared" si="6"/>
        <v/>
      </c>
      <c r="N95" s="11" t="s">
        <v>48</v>
      </c>
      <c r="O95" s="11"/>
      <c r="P95" s="11" t="b">
        <v>0</v>
      </c>
      <c r="Q95" s="11"/>
      <c r="R95" s="9"/>
      <c r="S95" s="9"/>
      <c r="T95" s="9"/>
      <c r="U95" s="11"/>
    </row>
    <row r="96" spans="1:21" ht="18.75" customHeight="1">
      <c r="A96" s="9" t="s">
        <v>46</v>
      </c>
      <c r="B96" s="9" t="str">
        <f t="shared" si="5"/>
        <v>response_status.response_status_sequence_id</v>
      </c>
      <c r="C96" s="10">
        <f t="shared" si="0"/>
        <v>95</v>
      </c>
      <c r="D96" s="11" t="s">
        <v>174</v>
      </c>
      <c r="E96" s="11" t="s">
        <v>175</v>
      </c>
      <c r="F96" s="11" t="str">
        <f>D96&amp;"_sequence_id"</f>
        <v>response_status_sequence_id</v>
      </c>
      <c r="G96" s="11" t="str">
        <f>E96&amp;"ID"</f>
        <v>対応状況ID</v>
      </c>
      <c r="H96" s="11" t="s">
        <v>527</v>
      </c>
      <c r="I96" s="11">
        <f>_xlfn.XLOOKUP(
    $H96,
    型とバイト数!$B$3:$B$54,
    型とバイト数!$E$3:$E$54,
    IF(LEFT($H96,7)="varchar",MID(H96,FIND("(",H96)+1,FIND(")",H96)-FIND("(",H96)-1)*8,
        IF(LEFT($H96,4)="char",MID(H96,FIND("(",H96)+1,FIND(")",H96)-FIND("(",H96)-1)*8,
            IF(LEFT($H96,3)="bit",MID(H96,FIND("(",H96)+1,FIND(")",H96)-FIND("(",H96)-1),"???")
        )
    )
)</f>
        <v>32</v>
      </c>
      <c r="J96" s="11" t="s">
        <v>465</v>
      </c>
      <c r="K96" s="11"/>
      <c r="L96" s="9"/>
      <c r="M96" s="11" t="str">
        <f t="shared" si="6"/>
        <v/>
      </c>
      <c r="N96" s="11" t="s">
        <v>473</v>
      </c>
      <c r="O96" s="11" t="s">
        <v>473</v>
      </c>
      <c r="P96" s="11" t="s">
        <v>526</v>
      </c>
      <c r="Q96" s="11"/>
      <c r="R96" s="9"/>
      <c r="S96" s="9"/>
      <c r="T96" s="9"/>
      <c r="U96" s="11"/>
    </row>
    <row r="97" spans="1:21" ht="18.75" customHeight="1">
      <c r="A97" s="9" t="s">
        <v>46</v>
      </c>
      <c r="B97" s="9" t="str">
        <f t="shared" ca="1" si="5"/>
        <v>response_status.response_status_physical_name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169</v>
      </c>
      <c r="G97" s="11" t="s">
        <v>170</v>
      </c>
      <c r="H97" s="11" t="s">
        <v>51</v>
      </c>
      <c r="I97" s="11">
        <f>_xlfn.XLOOKUP(
    $H97,
    型とバイト数!$B$3:$B$54,
    型とバイト数!$E$3:$E$54,
    IF(LEFT($H97,7)="varchar",MID(H97,FIND("(",H97)+1,FIND(")",H97)-FIND("(",H97)-1)*8,
        IF(LEFT($H97,4)="char",MID(H97,FIND("(",H97)+1,FIND(")",H97)-FIND("(",H97)-1)*8,
            IF(LEFT($H97,3)="bit",MID(H97,FIND("(",H97)+1,FIND(")",H97)-FIND("(",H97)-1),"???")
        )
    )
)</f>
        <v>64</v>
      </c>
      <c r="J97" s="11"/>
      <c r="K97" s="11"/>
      <c r="L97" s="9"/>
      <c r="M97" s="11" t="str">
        <f t="shared" si="6"/>
        <v/>
      </c>
      <c r="N97" s="11" t="s">
        <v>465</v>
      </c>
      <c r="O97" s="11" t="s">
        <v>465</v>
      </c>
      <c r="P97" s="11"/>
      <c r="Q97" s="11"/>
      <c r="R97" s="9"/>
      <c r="S97" s="9"/>
      <c r="T97" s="9"/>
      <c r="U97" s="11"/>
    </row>
    <row r="98" spans="1:21" ht="18.75" customHeight="1">
      <c r="A98" s="9" t="s">
        <v>46</v>
      </c>
      <c r="B98" s="9" t="str">
        <f t="shared" ca="1" si="5"/>
        <v>response_status.response_status_logical_name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176</v>
      </c>
      <c r="G98" s="11" t="s">
        <v>177</v>
      </c>
      <c r="H98" s="11" t="s">
        <v>51</v>
      </c>
      <c r="I98" s="11">
        <f>_xlfn.XLOOKUP(
    $H98,
    型とバイト数!$B$3:$B$54,
    型とバイト数!$E$3:$E$54,
    IF(LEFT($H98,7)="varchar",MID(H98,FIND("(",H98)+1,FIND(")",H98)-FIND("(",H98)-1)*8,
        IF(LEFT($H98,4)="char",MID(H98,FIND("(",H98)+1,FIND(")",H98)-FIND("(",H98)-1)*8,
            IF(LEFT($H98,3)="bit",MID(H98,FIND("(",H98)+1,FIND(")",H98)-FIND("(",H98)-1),"???")
        )
    )
)</f>
        <v>64</v>
      </c>
      <c r="J98" s="11"/>
      <c r="K98" s="11"/>
      <c r="L98" s="9"/>
      <c r="M98" s="11" t="str">
        <f t="shared" si="6"/>
        <v/>
      </c>
      <c r="N98" s="11"/>
      <c r="O98" s="11"/>
      <c r="P98" s="11"/>
      <c r="Q98" s="11"/>
      <c r="R98" s="9"/>
      <c r="S98" s="9"/>
      <c r="T98" s="9"/>
      <c r="U98" s="11" t="s">
        <v>490</v>
      </c>
    </row>
    <row r="99" spans="1:21" ht="18.75" customHeight="1">
      <c r="A99" s="9" t="s">
        <v>46</v>
      </c>
      <c r="B99" s="9" t="str">
        <f t="shared" ca="1" si="5"/>
        <v>response_status.create_datetime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104</v>
      </c>
      <c r="G99" s="11" t="s">
        <v>105</v>
      </c>
      <c r="H99" s="11" t="s">
        <v>487</v>
      </c>
      <c r="I99" s="11">
        <f>_xlfn.XLOOKUP(
    $H99,
    型とバイト数!$B$3:$B$54,
    型とバイト数!$E$3:$E$54,
    IF(LEFT($H99,7)="varchar",MID(H99,FIND("(",H99)+1,FIND(")",H99)-FIND("(",H99)-1)*8,
        IF(LEFT($H99,4)="char",MID(H99,FIND("(",H99)+1,FIND(")",H99)-FIND("(",H99)-1)*8,
            IF(LEFT($H99,3)="bit",MID(H99,FIND("(",H99)+1,FIND(")",H99)-FIND("(",H99)-1),"???")
        )
    )
)</f>
        <v>64</v>
      </c>
      <c r="J99" s="11"/>
      <c r="K99" s="11"/>
      <c r="L99" s="9"/>
      <c r="M99" s="11" t="str">
        <f t="shared" si="6"/>
        <v/>
      </c>
      <c r="N99" s="11" t="s">
        <v>48</v>
      </c>
      <c r="O99" s="11"/>
      <c r="P99" s="11" t="s">
        <v>106</v>
      </c>
      <c r="Q99" s="11"/>
      <c r="R99" s="9"/>
      <c r="S99" s="9"/>
      <c r="T99" s="9"/>
      <c r="U99" s="11"/>
    </row>
    <row r="100" spans="1:21" ht="18.75" customHeight="1">
      <c r="A100" s="9" t="s">
        <v>46</v>
      </c>
      <c r="B100" s="9" t="str">
        <f t="shared" ca="1" si="5"/>
        <v>response_status.create_user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107</v>
      </c>
      <c r="G100" s="11" t="s">
        <v>108</v>
      </c>
      <c r="H100" s="11" t="s">
        <v>65</v>
      </c>
      <c r="I100" s="11">
        <f>_xlfn.XLOOKUP(
    $H100,
    型とバイト数!$B$3:$B$54,
    型とバイト数!$E$3:$E$54,
    IF(LEFT($H100,7)="varchar",MID(H100,FIND("(",H100)+1,FIND(")",H100)-FIND("(",H100)-1)*8,
        IF(LEFT($H100,4)="char",MID(H100,FIND("(",H100)+1,FIND(")",H100)-FIND("(",H100)-1)*8,
            IF(LEFT($H100,3)="bit",MID(H100,FIND("(",H100)+1,FIND(")",H100)-FIND("(",H100)-1),"???")
        )
    )
)</f>
        <v>256</v>
      </c>
      <c r="J100" s="11"/>
      <c r="K100" s="11"/>
      <c r="L100" s="9"/>
      <c r="M100" s="11" t="str">
        <f t="shared" si="6"/>
        <v/>
      </c>
      <c r="N100" s="11" t="s">
        <v>48</v>
      </c>
      <c r="O100" s="11"/>
      <c r="P100" s="11" t="s">
        <v>109</v>
      </c>
      <c r="Q100" s="11"/>
      <c r="R100" s="9"/>
      <c r="S100" s="9"/>
      <c r="T100" s="9"/>
      <c r="U100" s="11" t="s">
        <v>110</v>
      </c>
    </row>
    <row r="101" spans="1:21" ht="18.75" customHeight="1">
      <c r="A101" s="9" t="s">
        <v>46</v>
      </c>
      <c r="B101" s="9" t="str">
        <f t="shared" ca="1" si="5"/>
        <v>response_status.update_datetime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111</v>
      </c>
      <c r="G101" s="11" t="s">
        <v>112</v>
      </c>
      <c r="H101" s="11" t="s">
        <v>487</v>
      </c>
      <c r="I101" s="11">
        <f>_xlfn.XLOOKUP(
    $H101,
    型とバイト数!$B$3:$B$54,
    型とバイト数!$E$3:$E$54,
    IF(LEFT($H101,7)="varchar",MID(H101,FIND("(",H101)+1,FIND(")",H101)-FIND("(",H101)-1)*8,
        IF(LEFT($H101,4)="char",MID(H101,FIND("(",H101)+1,FIND(")",H101)-FIND("(",H101)-1)*8,
            IF(LEFT($H101,3)="bit",MID(H101,FIND("(",H101)+1,FIND(")",H101)-FIND("(",H101)-1),"???")
        )
    )
)</f>
        <v>64</v>
      </c>
      <c r="J101" s="11"/>
      <c r="K101" s="11"/>
      <c r="L101" s="9"/>
      <c r="M101" s="11" t="str">
        <f t="shared" si="6"/>
        <v/>
      </c>
      <c r="N101" s="11" t="s">
        <v>48</v>
      </c>
      <c r="O101" s="11"/>
      <c r="P101" s="11" t="s">
        <v>106</v>
      </c>
      <c r="Q101" s="11"/>
      <c r="R101" s="9"/>
      <c r="S101" s="9"/>
      <c r="T101" s="9"/>
      <c r="U101" s="11"/>
    </row>
    <row r="102" spans="1:21" ht="18.75" customHeight="1">
      <c r="A102" s="9" t="s">
        <v>46</v>
      </c>
      <c r="B102" s="9" t="str">
        <f t="shared" ca="1" si="5"/>
        <v>response_status.update_user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113</v>
      </c>
      <c r="G102" s="11" t="s">
        <v>114</v>
      </c>
      <c r="H102" s="11" t="s">
        <v>65</v>
      </c>
      <c r="I102" s="11">
        <f>_xlfn.XLOOKUP(
    $H102,
    型とバイト数!$B$3:$B$54,
    型とバイト数!$E$3:$E$54,
    IF(LEFT($H102,7)="varchar",MID(H102,FIND("(",H102)+1,FIND(")",H102)-FIND("(",H102)-1)*8,
        IF(LEFT($H102,4)="char",MID(H102,FIND("(",H102)+1,FIND(")",H102)-FIND("(",H102)-1)*8,
            IF(LEFT($H102,3)="bit",MID(H102,FIND("(",H102)+1,FIND(")",H102)-FIND("(",H102)-1),"???")
        )
    )
)</f>
        <v>256</v>
      </c>
      <c r="J102" s="11"/>
      <c r="K102" s="11"/>
      <c r="L102" s="9"/>
      <c r="M102" s="11" t="str">
        <f t="shared" si="6"/>
        <v/>
      </c>
      <c r="N102" s="11" t="s">
        <v>48</v>
      </c>
      <c r="O102" s="11"/>
      <c r="P102" s="11" t="s">
        <v>109</v>
      </c>
      <c r="Q102" s="11"/>
      <c r="R102" s="9"/>
      <c r="S102" s="9"/>
      <c r="T102" s="9"/>
      <c r="U102" s="11" t="s">
        <v>110</v>
      </c>
    </row>
    <row r="103" spans="1:21" ht="18.75" customHeight="1">
      <c r="A103" s="9" t="s">
        <v>46</v>
      </c>
      <c r="B103" s="9" t="str">
        <f t="shared" ca="1" si="5"/>
        <v>response_status.soft_delete_flag</v>
      </c>
      <c r="C103" s="10">
        <f t="shared" si="0"/>
        <v>102</v>
      </c>
      <c r="D103" s="11" t="str" cm="1">
        <f t="array" aca="1" ref="D103" ca="1">INDIRECT(ADDRESS(ROW()-1,COLUMN()))</f>
        <v>response_status</v>
      </c>
      <c r="E103" s="11" t="str" cm="1">
        <f t="array" aca="1" ref="E103" ca="1">INDIRECT(ADDRESS(ROW()-1,COLUMN()))</f>
        <v>対応状況</v>
      </c>
      <c r="F103" s="11" t="s">
        <v>115</v>
      </c>
      <c r="G103" s="11" t="s">
        <v>116</v>
      </c>
      <c r="H103" s="11" t="s">
        <v>489</v>
      </c>
      <c r="I103" s="11">
        <f>_xlfn.XLOOKUP(
    $H103,
    型とバイト数!$B$3:$B$54,
    型とバイト数!$E$3:$E$54,
    IF(LEFT($H103,7)="varchar",MID(H103,FIND("(",H103)+1,FIND(")",H103)-FIND("(",H103)-1)*8,
        IF(LEFT($H103,4)="char",MID(H103,FIND("(",H103)+1,FIND(")",H103)-FIND("(",H103)-1)*8,
            IF(LEFT($H103,3)="bit",MID(H103,FIND("(",H103)+1,FIND(")",H103)-FIND("(",H103)-1),"???")
        )
    )
)</f>
        <v>8</v>
      </c>
      <c r="J103" s="11"/>
      <c r="K103" s="11"/>
      <c r="L103" s="9"/>
      <c r="M103" s="11" t="str">
        <f t="shared" si="6"/>
        <v/>
      </c>
      <c r="N103" s="11" t="s">
        <v>48</v>
      </c>
      <c r="O103" s="11"/>
      <c r="P103" s="11" t="b">
        <v>0</v>
      </c>
      <c r="Q103" s="11"/>
      <c r="R103" s="9"/>
      <c r="S103" s="9"/>
      <c r="T103" s="9"/>
      <c r="U103" s="11"/>
    </row>
    <row r="104" spans="1:21" ht="18.75" customHeight="1">
      <c r="A104" s="9" t="s">
        <v>46</v>
      </c>
      <c r="B104" s="9" t="str">
        <f t="shared" si="5"/>
        <v>language.language_sequence_id</v>
      </c>
      <c r="C104" s="10">
        <f t="shared" si="0"/>
        <v>103</v>
      </c>
      <c r="D104" s="11" t="s">
        <v>178</v>
      </c>
      <c r="E104" s="11" t="s">
        <v>179</v>
      </c>
      <c r="F104" s="11" t="str">
        <f>D104&amp;"_sequence_id"</f>
        <v>language_sequence_id</v>
      </c>
      <c r="G104" s="11" t="str">
        <f>E104&amp;"ID"</f>
        <v>表示言語ID</v>
      </c>
      <c r="H104" s="11" t="s">
        <v>527</v>
      </c>
      <c r="I104" s="11">
        <f>_xlfn.XLOOKUP(
    $H104,
    型とバイト数!$B$3:$B$54,
    型とバイト数!$E$3:$E$54,
    IF(LEFT($H104,7)="varchar",MID(H104,FIND("(",H104)+1,FIND(")",H104)-FIND("(",H104)-1)*8,
        IF(LEFT($H104,4)="char",MID(H104,FIND("(",H104)+1,FIND(")",H104)-FIND("(",H104)-1)*8,
            IF(LEFT($H104,3)="bit",MID(H104,FIND("(",H104)+1,FIND(")",H104)-FIND("(",H104)-1),"???")
        )
    )
)</f>
        <v>32</v>
      </c>
      <c r="J104" s="11" t="s">
        <v>452</v>
      </c>
      <c r="K104" s="11"/>
      <c r="L104" s="9"/>
      <c r="M104" s="11" t="str">
        <f t="shared" si="6"/>
        <v/>
      </c>
      <c r="N104" s="11" t="s">
        <v>473</v>
      </c>
      <c r="O104" s="11" t="s">
        <v>473</v>
      </c>
      <c r="P104" s="11" t="s">
        <v>526</v>
      </c>
      <c r="Q104" s="11"/>
      <c r="R104" s="9"/>
      <c r="S104" s="9"/>
      <c r="T104" s="9"/>
      <c r="U104" s="11"/>
    </row>
    <row r="105" spans="1:21" ht="18.75" customHeight="1">
      <c r="A105" s="9" t="s">
        <v>46</v>
      </c>
      <c r="B105" s="9" t="str">
        <f t="shared" ca="1" si="5"/>
        <v>language.language_physical_name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180</v>
      </c>
      <c r="G105" s="11" t="s">
        <v>181</v>
      </c>
      <c r="H105" s="11" t="s">
        <v>71</v>
      </c>
      <c r="I105" s="11">
        <f>_xlfn.XLOOKUP(
    $H105,
    型とバイト数!$B$3:$B$54,
    型とバイト数!$E$3:$E$54,
    IF(LEFT($H105,7)="varchar",MID(H105,FIND("(",H105)+1,FIND(")",H105)-FIND("(",H105)-1)*8,
        IF(LEFT($H105,4)="char",MID(H105,FIND("(",H105)+1,FIND(")",H105)-FIND("(",H105)-1)*8,
            IF(LEFT($H105,3)="bit",MID(H105,FIND("(",H105)+1,FIND(")",H105)-FIND("(",H105)-1),"???")
        )
    )
)</f>
        <v>128</v>
      </c>
      <c r="J105" s="11"/>
      <c r="K105" s="11"/>
      <c r="L105" s="9"/>
      <c r="M105" s="11" t="str">
        <f t="shared" si="6"/>
        <v/>
      </c>
      <c r="N105" s="11" t="s">
        <v>465</v>
      </c>
      <c r="O105" s="11" t="s">
        <v>465</v>
      </c>
      <c r="P105" s="11"/>
      <c r="Q105" s="11"/>
      <c r="R105" s="9"/>
      <c r="S105" s="9"/>
      <c r="T105" s="9"/>
      <c r="U105" s="11" t="s">
        <v>495</v>
      </c>
    </row>
    <row r="106" spans="1:21" ht="18.75" customHeight="1">
      <c r="A106" s="9" t="s">
        <v>46</v>
      </c>
      <c r="B106" s="9" t="str">
        <f t="shared" ca="1" si="5"/>
        <v>language.language_image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182</v>
      </c>
      <c r="G106" s="11" t="s">
        <v>183</v>
      </c>
      <c r="H106" s="11" t="s">
        <v>99</v>
      </c>
      <c r="I106" s="11">
        <f>_xlfn.XLOOKUP(
    $H106,
    型とバイト数!$B$3:$B$54,
    型とバイト数!$E$3:$E$54,
    IF(LEFT($H106,7)="varchar",MID(H106,FIND("(",H106)+1,FIND(")",H106)-FIND("(",H106)-1)*8,
        IF(LEFT($H106,4)="char",MID(H106,FIND("(",H106)+1,FIND(")",H106)-FIND("(",H106)-1)*8,
            IF(LEFT($H106,3)="bit",MID(H106,FIND("(",H106)+1,FIND(")",H106)-FIND("(",H106)-1),"???")
        )
    )
)</f>
        <v>32</v>
      </c>
      <c r="J106" s="11"/>
      <c r="K106" s="11" t="s">
        <v>452</v>
      </c>
      <c r="L106" s="9" t="s">
        <v>561</v>
      </c>
      <c r="M106" s="11">
        <f t="shared" ca="1" si="6"/>
        <v>193</v>
      </c>
      <c r="N106" s="11"/>
      <c r="O106" s="11"/>
      <c r="P106" s="11"/>
      <c r="Q106" s="11" t="s">
        <v>549</v>
      </c>
      <c r="R106" s="9"/>
      <c r="S106" s="9"/>
      <c r="T106" s="9"/>
      <c r="U106" s="11" t="s">
        <v>184</v>
      </c>
    </row>
    <row r="107" spans="1:21" ht="18.75" customHeight="1">
      <c r="A107" s="9" t="s">
        <v>46</v>
      </c>
      <c r="B107" s="9" t="str">
        <f t="shared" ca="1" si="5"/>
        <v>language.enable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185</v>
      </c>
      <c r="G107" s="11" t="s">
        <v>186</v>
      </c>
      <c r="H107" s="11" t="s">
        <v>489</v>
      </c>
      <c r="I107" s="11">
        <f>_xlfn.XLOOKUP(
    $H107,
    型とバイト数!$B$3:$B$54,
    型とバイト数!$E$3:$E$54,
    IF(LEFT($H107,7)="varchar",MID(H107,FIND("(",H107)+1,FIND(")",H107)-FIND("(",H107)-1)*8,
        IF(LEFT($H107,4)="char",MID(H107,FIND("(",H107)+1,FIND(")",H107)-FIND("(",H107)-1)*8,
            IF(LEFT($H107,3)="bit",MID(H107,FIND("(",H107)+1,FIND(")",H107)-FIND("(",H107)-1),"???")
        )
    )
)</f>
        <v>8</v>
      </c>
      <c r="J107" s="11"/>
      <c r="K107" s="11"/>
      <c r="L107" s="9"/>
      <c r="M107" s="11" t="str">
        <f t="shared" si="6"/>
        <v/>
      </c>
      <c r="N107" s="11" t="s">
        <v>48</v>
      </c>
      <c r="O107" s="11"/>
      <c r="P107" s="11" t="b">
        <v>0</v>
      </c>
      <c r="Q107" s="11"/>
      <c r="R107" s="9"/>
      <c r="S107" s="9"/>
      <c r="T107" s="9"/>
      <c r="U107" s="11"/>
    </row>
    <row r="108" spans="1:21" ht="18.75" customHeight="1">
      <c r="A108" s="9" t="s">
        <v>46</v>
      </c>
      <c r="B108" s="9" t="str">
        <f t="shared" ca="1" si="5"/>
        <v>language.create_datetime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104</v>
      </c>
      <c r="G108" s="11" t="s">
        <v>105</v>
      </c>
      <c r="H108" s="11" t="s">
        <v>487</v>
      </c>
      <c r="I108" s="11">
        <f>_xlfn.XLOOKUP(
    $H108,
    型とバイト数!$B$3:$B$54,
    型とバイト数!$E$3:$E$54,
    IF(LEFT($H108,7)="varchar",MID(H108,FIND("(",H108)+1,FIND(")",H108)-FIND("(",H108)-1)*8,
        IF(LEFT($H108,4)="char",MID(H108,FIND("(",H108)+1,FIND(")",H108)-FIND("(",H108)-1)*8,
            IF(LEFT($H108,3)="bit",MID(H108,FIND("(",H108)+1,FIND(")",H108)-FIND("(",H108)-1),"???")
        )
    )
)</f>
        <v>64</v>
      </c>
      <c r="J108" s="11"/>
      <c r="K108" s="11"/>
      <c r="L108" s="9"/>
      <c r="M108" s="11" t="str">
        <f t="shared" si="6"/>
        <v/>
      </c>
      <c r="N108" s="11" t="s">
        <v>48</v>
      </c>
      <c r="O108" s="11"/>
      <c r="P108" s="11" t="s">
        <v>106</v>
      </c>
      <c r="Q108" s="11"/>
      <c r="R108" s="9"/>
      <c r="S108" s="9"/>
      <c r="T108" s="9"/>
      <c r="U108" s="11"/>
    </row>
    <row r="109" spans="1:21" ht="18.75" customHeight="1">
      <c r="A109" s="9" t="s">
        <v>46</v>
      </c>
      <c r="B109" s="9" t="str">
        <f t="shared" ca="1" si="5"/>
        <v>language.create_user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107</v>
      </c>
      <c r="G109" s="11" t="s">
        <v>108</v>
      </c>
      <c r="H109" s="11" t="s">
        <v>65</v>
      </c>
      <c r="I109" s="11">
        <f>_xlfn.XLOOKUP(
    $H109,
    型とバイト数!$B$3:$B$54,
    型とバイト数!$E$3:$E$54,
    IF(LEFT($H109,7)="varchar",MID(H109,FIND("(",H109)+1,FIND(")",H109)-FIND("(",H109)-1)*8,
        IF(LEFT($H109,4)="char",MID(H109,FIND("(",H109)+1,FIND(")",H109)-FIND("(",H109)-1)*8,
            IF(LEFT($H109,3)="bit",MID(H109,FIND("(",H109)+1,FIND(")",H109)-FIND("(",H109)-1),"???")
        )
    )
)</f>
        <v>256</v>
      </c>
      <c r="J109" s="11"/>
      <c r="K109" s="11"/>
      <c r="L109" s="9"/>
      <c r="M109" s="11" t="str">
        <f t="shared" si="6"/>
        <v/>
      </c>
      <c r="N109" s="11" t="s">
        <v>48</v>
      </c>
      <c r="O109" s="11"/>
      <c r="P109" s="11" t="s">
        <v>109</v>
      </c>
      <c r="Q109" s="11"/>
      <c r="R109" s="9"/>
      <c r="S109" s="9"/>
      <c r="T109" s="9"/>
      <c r="U109" s="11" t="s">
        <v>110</v>
      </c>
    </row>
    <row r="110" spans="1:21" ht="18.75" customHeight="1">
      <c r="A110" s="9" t="s">
        <v>46</v>
      </c>
      <c r="B110" s="9" t="str">
        <f t="shared" ca="1" si="5"/>
        <v>language.update_datetime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111</v>
      </c>
      <c r="G110" s="11" t="s">
        <v>112</v>
      </c>
      <c r="H110" s="11" t="s">
        <v>487</v>
      </c>
      <c r="I110" s="11">
        <f>_xlfn.XLOOKUP(
    $H110,
    型とバイト数!$B$3:$B$54,
    型とバイト数!$E$3:$E$54,
    IF(LEFT($H110,7)="varchar",MID(H110,FIND("(",H110)+1,FIND(")",H110)-FIND("(",H110)-1)*8,
        IF(LEFT($H110,4)="char",MID(H110,FIND("(",H110)+1,FIND(")",H110)-FIND("(",H110)-1)*8,
            IF(LEFT($H110,3)="bit",MID(H110,FIND("(",H110)+1,FIND(")",H110)-FIND("(",H110)-1),"???")
        )
    )
)</f>
        <v>64</v>
      </c>
      <c r="J110" s="11"/>
      <c r="K110" s="11"/>
      <c r="L110" s="9"/>
      <c r="M110" s="11" t="str">
        <f t="shared" si="6"/>
        <v/>
      </c>
      <c r="N110" s="11" t="s">
        <v>48</v>
      </c>
      <c r="O110" s="11"/>
      <c r="P110" s="11" t="s">
        <v>106</v>
      </c>
      <c r="Q110" s="11"/>
      <c r="R110" s="9"/>
      <c r="S110" s="9"/>
      <c r="T110" s="9"/>
      <c r="U110" s="11"/>
    </row>
    <row r="111" spans="1:21" ht="18.75" customHeight="1">
      <c r="A111" s="9" t="s">
        <v>46</v>
      </c>
      <c r="B111" s="9" t="str">
        <f t="shared" ca="1" si="5"/>
        <v>language.update_user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113</v>
      </c>
      <c r="G111" s="11" t="s">
        <v>114</v>
      </c>
      <c r="H111" s="11" t="s">
        <v>65</v>
      </c>
      <c r="I111" s="11">
        <f>_xlfn.XLOOKUP(
    $H111,
    型とバイト数!$B$3:$B$54,
    型とバイト数!$E$3:$E$54,
    IF(LEFT($H111,7)="varchar",MID(H111,FIND("(",H111)+1,FIND(")",H111)-FIND("(",H111)-1)*8,
        IF(LEFT($H111,4)="char",MID(H111,FIND("(",H111)+1,FIND(")",H111)-FIND("(",H111)-1)*8,
            IF(LEFT($H111,3)="bit",MID(H111,FIND("(",H111)+1,FIND(")",H111)-FIND("(",H111)-1),"???")
        )
    )
)</f>
        <v>256</v>
      </c>
      <c r="J111" s="11"/>
      <c r="K111" s="11"/>
      <c r="L111" s="9"/>
      <c r="M111" s="11" t="str">
        <f t="shared" si="6"/>
        <v/>
      </c>
      <c r="N111" s="11" t="s">
        <v>48</v>
      </c>
      <c r="O111" s="11"/>
      <c r="P111" s="11" t="s">
        <v>109</v>
      </c>
      <c r="Q111" s="11"/>
      <c r="R111" s="9"/>
      <c r="S111" s="9"/>
      <c r="T111" s="9"/>
      <c r="U111" s="11" t="s">
        <v>110</v>
      </c>
    </row>
    <row r="112" spans="1:21" ht="18.75" customHeight="1">
      <c r="A112" s="9" t="s">
        <v>46</v>
      </c>
      <c r="B112" s="9" t="str">
        <f t="shared" ca="1" si="5"/>
        <v>language.soft_delete_flag</v>
      </c>
      <c r="C112" s="10">
        <f t="shared" si="0"/>
        <v>111</v>
      </c>
      <c r="D112" s="11" t="str" cm="1">
        <f t="array" aca="1" ref="D112" ca="1">INDIRECT(ADDRESS(ROW()-1,COLUMN()))</f>
        <v>language</v>
      </c>
      <c r="E112" s="11" t="str" cm="1">
        <f t="array" aca="1" ref="E112" ca="1">INDIRECT(ADDRESS(ROW()-1,COLUMN()))</f>
        <v>表示言語</v>
      </c>
      <c r="F112" s="11" t="s">
        <v>115</v>
      </c>
      <c r="G112" s="11" t="s">
        <v>116</v>
      </c>
      <c r="H112" s="11" t="s">
        <v>489</v>
      </c>
      <c r="I112" s="11">
        <f>_xlfn.XLOOKUP(
    $H112,
    型とバイト数!$B$3:$B$54,
    型とバイト数!$E$3:$E$54,
    IF(LEFT($H112,7)="varchar",MID(H112,FIND("(",H112)+1,FIND(")",H112)-FIND("(",H112)-1)*8,
        IF(LEFT($H112,4)="char",MID(H112,FIND("(",H112)+1,FIND(")",H112)-FIND("(",H112)-1)*8,
            IF(LEFT($H112,3)="bit",MID(H112,FIND("(",H112)+1,FIND(")",H112)-FIND("(",H112)-1),"???")
        )
    )
)</f>
        <v>8</v>
      </c>
      <c r="J112" s="11"/>
      <c r="K112" s="11"/>
      <c r="L112" s="9"/>
      <c r="M112" s="11" t="str">
        <f t="shared" si="6"/>
        <v/>
      </c>
      <c r="N112" s="11" t="s">
        <v>48</v>
      </c>
      <c r="O112" s="11"/>
      <c r="P112" s="11" t="b">
        <v>0</v>
      </c>
      <c r="Q112" s="11"/>
      <c r="R112" s="9"/>
      <c r="S112" s="9"/>
      <c r="T112" s="9"/>
      <c r="U112" s="11"/>
    </row>
    <row r="113" spans="1:21" ht="18.75" customHeight="1">
      <c r="A113" s="9" t="s">
        <v>46</v>
      </c>
      <c r="B113" s="9" t="str">
        <f t="shared" si="5"/>
        <v>screen_word.screen_word_sequence_id</v>
      </c>
      <c r="C113" s="10">
        <f t="shared" si="0"/>
        <v>112</v>
      </c>
      <c r="D113" s="11" t="s">
        <v>187</v>
      </c>
      <c r="E113" s="11" t="s">
        <v>188</v>
      </c>
      <c r="F113" s="11" t="str">
        <f>D113&amp;"_sequence_id"</f>
        <v>screen_word_sequence_id</v>
      </c>
      <c r="G113" s="11" t="str">
        <f>E113&amp;"ID"</f>
        <v>画面文言ID</v>
      </c>
      <c r="H113" s="11" t="s">
        <v>527</v>
      </c>
      <c r="I113" s="11">
        <f>_xlfn.XLOOKUP(
    $H113,
    型とバイト数!$B$3:$B$54,
    型とバイト数!$E$3:$E$54,
    IF(LEFT($H113,7)="varchar",MID(H113,FIND("(",H113)+1,FIND(")",H113)-FIND("(",H113)-1)*8,
        IF(LEFT($H113,4)="char",MID(H113,FIND("(",H113)+1,FIND(")",H113)-FIND("(",H113)-1)*8,
            IF(LEFT($H113,3)="bit",MID(H113,FIND("(",H113)+1,FIND(")",H113)-FIND("(",H113)-1),"???")
        )
    )
)</f>
        <v>32</v>
      </c>
      <c r="J113" s="11" t="s">
        <v>465</v>
      </c>
      <c r="K113" s="11"/>
      <c r="L113" s="9"/>
      <c r="M113" s="11" t="str">
        <f t="shared" si="6"/>
        <v/>
      </c>
      <c r="N113" s="11" t="s">
        <v>473</v>
      </c>
      <c r="O113" s="11" t="s">
        <v>473</v>
      </c>
      <c r="P113" s="11" t="s">
        <v>526</v>
      </c>
      <c r="Q113" s="11"/>
      <c r="R113" s="9"/>
      <c r="S113" s="9"/>
      <c r="T113" s="9"/>
      <c r="U113" s="11"/>
    </row>
    <row r="114" spans="1:21" ht="18.75" customHeight="1">
      <c r="A114" s="9" t="s">
        <v>46</v>
      </c>
      <c r="B114" s="9" t="str">
        <f t="shared" ca="1" si="5"/>
        <v>screen_word.language_physical_name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180</v>
      </c>
      <c r="G114" s="11" t="s">
        <v>181</v>
      </c>
      <c r="H114" s="11" t="s">
        <v>99</v>
      </c>
      <c r="I114" s="11">
        <f>_xlfn.XLOOKUP(
    $H114,
    型とバイト数!$B$3:$B$54,
    型とバイト数!$E$3:$E$54,
    IF(LEFT($H114,7)="varchar",MID(H114,FIND("(",H114)+1,FIND(")",H114)-FIND("(",H114)-1)*8,
        IF(LEFT($H114,4)="char",MID(H114,FIND("(",H114)+1,FIND(")",H114)-FIND("(",H114)-1)*8,
            IF(LEFT($H114,3)="bit",MID(H114,FIND("(",H114)+1,FIND(")",H114)-FIND("(",H114)-1),"???")
        )
    )
)</f>
        <v>32</v>
      </c>
      <c r="J114" s="11"/>
      <c r="K114" s="11" t="s">
        <v>48</v>
      </c>
      <c r="L114" s="9" t="s">
        <v>538</v>
      </c>
      <c r="M114" s="11">
        <f t="shared" ca="1" si="6"/>
        <v>103</v>
      </c>
      <c r="N114" s="11"/>
      <c r="O114" s="11"/>
      <c r="P114" s="11"/>
      <c r="Q114" s="11" t="s">
        <v>549</v>
      </c>
      <c r="R114" s="9"/>
      <c r="S114" s="9"/>
      <c r="T114" s="9"/>
      <c r="U114" s="11"/>
    </row>
    <row r="115" spans="1:21" ht="18.75" customHeight="1">
      <c r="A115" s="9" t="s">
        <v>46</v>
      </c>
      <c r="B115" s="9" t="str">
        <f t="shared" ca="1" si="5"/>
        <v>screen_word.message_id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189</v>
      </c>
      <c r="G115" s="11" t="s">
        <v>190</v>
      </c>
      <c r="H115" s="11" t="s">
        <v>99</v>
      </c>
      <c r="I115" s="11">
        <f>_xlfn.XLOOKUP(
    $H115,
    型とバイト数!$B$3:$B$54,
    型とバイト数!$E$3:$E$54,
    IF(LEFT($H115,7)="varchar",MID(H115,FIND("(",H115)+1,FIND(")",H115)-FIND("(",H115)-1)*8,
        IF(LEFT($H115,4)="char",MID(H115,FIND("(",H115)+1,FIND(")",H115)-FIND("(",H115)-1)*8,
            IF(LEFT($H115,3)="bit",MID(H115,FIND("(",H115)+1,FIND(")",H115)-FIND("(",H115)-1),"???")
        )
    )
)</f>
        <v>32</v>
      </c>
      <c r="J115" s="11"/>
      <c r="K115" s="11"/>
      <c r="L115" s="9"/>
      <c r="M115" s="11" t="str">
        <f t="shared" si="6"/>
        <v/>
      </c>
      <c r="N115" s="11" t="s">
        <v>452</v>
      </c>
      <c r="O115" s="11"/>
      <c r="P115" s="11"/>
      <c r="Q115" s="11" t="s">
        <v>547</v>
      </c>
      <c r="R115" s="9"/>
      <c r="S115" s="9"/>
      <c r="T115" s="9"/>
      <c r="U115" s="11"/>
    </row>
    <row r="116" spans="1:21" ht="18.75" customHeight="1">
      <c r="A116" s="9" t="s">
        <v>46</v>
      </c>
      <c r="B116" s="9" t="str">
        <f ca="1">D116&amp;"."&amp;F116</f>
        <v>screen_word.display_message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192</v>
      </c>
      <c r="G116" s="11" t="s">
        <v>193</v>
      </c>
      <c r="H116" s="11" t="s">
        <v>81</v>
      </c>
      <c r="I116" s="11" t="str">
        <f>_xlfn.XLOOKUP(
    $H116,
    型とバイト数!$B$3:$B$54,
    型とバイト数!$E$3:$E$54,
    IF(LEFT($H116,7)="varchar",MID(H116,FIND("(",H116)+1,FIND(")",H116)-FIND("(",H116)-1)*8,
        IF(LEFT($H116,4)="char",MID(H116,FIND("(",H116)+1,FIND(")",H116)-FIND("(",H116)-1)*8,
            IF(LEFT($H116,3)="bit",MID(H116,FIND("(",H116)+1,FIND(")",H116)-FIND("(",H116)-1),"???")
        )
    )
)</f>
        <v>-</v>
      </c>
      <c r="J116" s="11"/>
      <c r="K116" s="11"/>
      <c r="L116" s="9"/>
      <c r="M116" s="11" t="str">
        <f t="shared" si="6"/>
        <v/>
      </c>
      <c r="N116" s="11"/>
      <c r="O116" s="11"/>
      <c r="P116" s="11"/>
      <c r="Q116" s="11" t="s">
        <v>491</v>
      </c>
      <c r="R116" s="9"/>
      <c r="S116" s="9"/>
      <c r="T116" s="9"/>
      <c r="U116" s="11"/>
    </row>
    <row r="117" spans="1:21" ht="18.75" customHeight="1">
      <c r="A117" s="9" t="s">
        <v>46</v>
      </c>
      <c r="B117" s="9" t="str">
        <f t="shared" ca="1" si="5"/>
        <v>screen_word.message_id_table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575</v>
      </c>
      <c r="G117" s="11" t="s">
        <v>576</v>
      </c>
      <c r="H117" s="11" t="s">
        <v>492</v>
      </c>
      <c r="I117" s="11" t="str">
        <f>_xlfn.XLOOKUP(
    $H117,
    型とバイト数!$B$3:$B$54,
    型とバイト数!$E$3:$E$54,
    IF(LEFT($H117,7)="varchar",MID(H117,FIND("(",H117)+1,FIND(")",H117)-FIND("(",H117)-1)*8,
        IF(LEFT($H117,4)="char",MID(H117,FIND("(",H117)+1,FIND(")",H117)-FIND("(",H117)-1)*8,
            IF(LEFT($H117,3)="bit",MID(H117,FIND("(",H117)+1,FIND(")",H117)-FIND("(",H117)-1),"???")
        )
    )
)</f>
        <v>-</v>
      </c>
      <c r="J117" s="11"/>
      <c r="K117" s="11"/>
      <c r="L117" s="9"/>
      <c r="M117" s="11" t="str">
        <f t="shared" si="6"/>
        <v/>
      </c>
      <c r="N117" s="11"/>
      <c r="O117" s="11"/>
      <c r="P117" s="11"/>
      <c r="Q117" s="11" t="s">
        <v>749</v>
      </c>
      <c r="R117" s="9"/>
      <c r="S117" s="9"/>
      <c r="T117" s="9"/>
      <c r="U117" s="11"/>
    </row>
    <row r="118" spans="1:21" ht="18.75" customHeight="1">
      <c r="A118" s="9" t="s">
        <v>46</v>
      </c>
      <c r="B118" s="9" t="str">
        <f t="shared" ca="1" si="5"/>
        <v>screen_word.create_datetime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104</v>
      </c>
      <c r="G118" s="11" t="s">
        <v>105</v>
      </c>
      <c r="H118" s="11" t="s">
        <v>487</v>
      </c>
      <c r="I118" s="11">
        <f>_xlfn.XLOOKUP(
    $H118,
    型とバイト数!$B$3:$B$54,
    型とバイト数!$E$3:$E$54,
    IF(LEFT($H118,7)="varchar",MID(H118,FIND("(",H118)+1,FIND(")",H118)-FIND("(",H118)-1)*8,
        IF(LEFT($H118,4)="char",MID(H118,FIND("(",H118)+1,FIND(")",H118)-FIND("(",H118)-1)*8,
            IF(LEFT($H118,3)="bit",MID(H118,FIND("(",H118)+1,FIND(")",H118)-FIND("(",H118)-1),"???")
        )
    )
)</f>
        <v>64</v>
      </c>
      <c r="J118" s="11"/>
      <c r="K118" s="11"/>
      <c r="L118" s="9"/>
      <c r="M118" s="11" t="str">
        <f t="shared" si="6"/>
        <v/>
      </c>
      <c r="N118" s="11" t="s">
        <v>48</v>
      </c>
      <c r="O118" s="11"/>
      <c r="P118" s="11" t="s">
        <v>106</v>
      </c>
      <c r="Q118" s="11"/>
      <c r="R118" s="9"/>
      <c r="S118" s="9"/>
      <c r="T118" s="9"/>
      <c r="U118" s="11"/>
    </row>
    <row r="119" spans="1:21" ht="18.75" customHeight="1">
      <c r="A119" s="9" t="s">
        <v>46</v>
      </c>
      <c r="B119" s="9" t="str">
        <f t="shared" ca="1" si="5"/>
        <v>screen_word.create_user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107</v>
      </c>
      <c r="G119" s="11" t="s">
        <v>108</v>
      </c>
      <c r="H119" s="11" t="s">
        <v>65</v>
      </c>
      <c r="I119" s="11">
        <f>_xlfn.XLOOKUP(
    $H119,
    型とバイト数!$B$3:$B$54,
    型とバイト数!$E$3:$E$54,
    IF(LEFT($H119,7)="varchar",MID(H119,FIND("(",H119)+1,FIND(")",H119)-FIND("(",H119)-1)*8,
        IF(LEFT($H119,4)="char",MID(H119,FIND("(",H119)+1,FIND(")",H119)-FIND("(",H119)-1)*8,
            IF(LEFT($H119,3)="bit",MID(H119,FIND("(",H119)+1,FIND(")",H119)-FIND("(",H119)-1),"???")
        )
    )
)</f>
        <v>256</v>
      </c>
      <c r="J119" s="11"/>
      <c r="K119" s="11"/>
      <c r="L119" s="9"/>
      <c r="M119" s="11" t="str">
        <f t="shared" si="6"/>
        <v/>
      </c>
      <c r="N119" s="11" t="s">
        <v>48</v>
      </c>
      <c r="O119" s="11"/>
      <c r="P119" s="11" t="s">
        <v>109</v>
      </c>
      <c r="Q119" s="11"/>
      <c r="R119" s="9"/>
      <c r="S119" s="9"/>
      <c r="T119" s="9"/>
      <c r="U119" s="11" t="s">
        <v>110</v>
      </c>
    </row>
    <row r="120" spans="1:21" ht="18.75" customHeight="1">
      <c r="A120" s="9" t="s">
        <v>46</v>
      </c>
      <c r="B120" s="9" t="str">
        <f t="shared" ca="1" si="5"/>
        <v>screen_word.update_datetime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111</v>
      </c>
      <c r="G120" s="11" t="s">
        <v>112</v>
      </c>
      <c r="H120" s="11" t="s">
        <v>487</v>
      </c>
      <c r="I120" s="11">
        <f>_xlfn.XLOOKUP(
    $H120,
    型とバイト数!$B$3:$B$54,
    型とバイト数!$E$3:$E$54,
    IF(LEFT($H120,7)="varchar",MID(H120,FIND("(",H120)+1,FIND(")",H120)-FIND("(",H120)-1)*8,
        IF(LEFT($H120,4)="char",MID(H120,FIND("(",H120)+1,FIND(")",H120)-FIND("(",H120)-1)*8,
            IF(LEFT($H120,3)="bit",MID(H120,FIND("(",H120)+1,FIND(")",H120)-FIND("(",H120)-1),"???")
        )
    )
)</f>
        <v>64</v>
      </c>
      <c r="J120" s="11"/>
      <c r="K120" s="11"/>
      <c r="L120" s="9"/>
      <c r="M120" s="11" t="str">
        <f t="shared" si="6"/>
        <v/>
      </c>
      <c r="N120" s="11" t="s">
        <v>48</v>
      </c>
      <c r="O120" s="11"/>
      <c r="P120" s="11" t="s">
        <v>106</v>
      </c>
      <c r="Q120" s="11"/>
      <c r="R120" s="9"/>
      <c r="S120" s="9"/>
      <c r="T120" s="9"/>
      <c r="U120" s="11"/>
    </row>
    <row r="121" spans="1:21" ht="18.75" customHeight="1">
      <c r="A121" s="9" t="s">
        <v>46</v>
      </c>
      <c r="B121" s="9" t="str">
        <f t="shared" ca="1" si="5"/>
        <v>screen_word.update_user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113</v>
      </c>
      <c r="G121" s="11" t="s">
        <v>114</v>
      </c>
      <c r="H121" s="11" t="s">
        <v>65</v>
      </c>
      <c r="I121" s="11">
        <f>_xlfn.XLOOKUP(
    $H121,
    型とバイト数!$B$3:$B$54,
    型とバイト数!$E$3:$E$54,
    IF(LEFT($H121,7)="varchar",MID(H121,FIND("(",H121)+1,FIND(")",H121)-FIND("(",H121)-1)*8,
        IF(LEFT($H121,4)="char",MID(H121,FIND("(",H121)+1,FIND(")",H121)-FIND("(",H121)-1)*8,
            IF(LEFT($H121,3)="bit",MID(H121,FIND("(",H121)+1,FIND(")",H121)-FIND("(",H121)-1),"???")
        )
    )
)</f>
        <v>256</v>
      </c>
      <c r="J121" s="11"/>
      <c r="K121" s="11"/>
      <c r="L121" s="9"/>
      <c r="M121" s="11" t="str">
        <f t="shared" si="6"/>
        <v/>
      </c>
      <c r="N121" s="11" t="s">
        <v>48</v>
      </c>
      <c r="O121" s="11"/>
      <c r="P121" s="11" t="s">
        <v>109</v>
      </c>
      <c r="Q121" s="11"/>
      <c r="R121" s="9"/>
      <c r="S121" s="9"/>
      <c r="T121" s="9"/>
      <c r="U121" s="11" t="s">
        <v>110</v>
      </c>
    </row>
    <row r="122" spans="1:21" ht="18.75" customHeight="1">
      <c r="A122" s="9" t="s">
        <v>46</v>
      </c>
      <c r="B122" s="9" t="str">
        <f t="shared" ca="1" si="5"/>
        <v>screen_word.soft_delete_flag</v>
      </c>
      <c r="C122" s="10">
        <f t="shared" si="0"/>
        <v>121</v>
      </c>
      <c r="D122" s="11" t="str" cm="1">
        <f t="array" aca="1" ref="D122" ca="1">INDIRECT(ADDRESS(ROW()-1,COLUMN()))</f>
        <v>screen_word</v>
      </c>
      <c r="E122" s="11" t="str" cm="1">
        <f t="array" aca="1" ref="E122" ca="1">INDIRECT(ADDRESS(ROW()-1,COLUMN()))</f>
        <v>画面文言</v>
      </c>
      <c r="F122" s="11" t="s">
        <v>115</v>
      </c>
      <c r="G122" s="11" t="s">
        <v>116</v>
      </c>
      <c r="H122" s="11" t="s">
        <v>489</v>
      </c>
      <c r="I122" s="11">
        <f>_xlfn.XLOOKUP(
    $H122,
    型とバイト数!$B$3:$B$54,
    型とバイト数!$E$3:$E$54,
    IF(LEFT($H122,7)="varchar",MID(H122,FIND("(",H122)+1,FIND(")",H122)-FIND("(",H122)-1)*8,
        IF(LEFT($H122,4)="char",MID(H122,FIND("(",H122)+1,FIND(")",H122)-FIND("(",H122)-1)*8,
            IF(LEFT($H122,3)="bit",MID(H122,FIND("(",H122)+1,FIND(")",H122)-FIND("(",H122)-1),"???")
        )
    )
)</f>
        <v>8</v>
      </c>
      <c r="J122" s="11"/>
      <c r="K122" s="11"/>
      <c r="L122" s="9"/>
      <c r="M122" s="11" t="str">
        <f t="shared" si="6"/>
        <v/>
      </c>
      <c r="N122" s="11" t="s">
        <v>48</v>
      </c>
      <c r="O122" s="11"/>
      <c r="P122" s="11" t="b">
        <v>0</v>
      </c>
      <c r="Q122" s="11"/>
      <c r="R122" s="9"/>
      <c r="S122" s="9"/>
      <c r="T122" s="9"/>
      <c r="U122" s="11"/>
    </row>
    <row r="123" spans="1:21" ht="18.75" customHeight="1">
      <c r="A123" s="9" t="s">
        <v>46</v>
      </c>
      <c r="B123" s="9" t="str">
        <f t="shared" si="5"/>
        <v>sns_support.sns_support_sequence_id</v>
      </c>
      <c r="C123" s="10">
        <f t="shared" si="0"/>
        <v>122</v>
      </c>
      <c r="D123" s="11" t="s">
        <v>194</v>
      </c>
      <c r="E123" s="11" t="s">
        <v>195</v>
      </c>
      <c r="F123" s="11" t="str">
        <f>D123&amp;"_sequence_id"</f>
        <v>sns_support_sequence_id</v>
      </c>
      <c r="G123" s="11" t="str">
        <f>E123&amp;"ID"</f>
        <v>サポートするSNSID</v>
      </c>
      <c r="H123" s="11" t="s">
        <v>527</v>
      </c>
      <c r="I123" s="11">
        <f>_xlfn.XLOOKUP(
    $H123,
    型とバイト数!$B$3:$B$54,
    型とバイト数!$E$3:$E$54,
    IF(LEFT($H123,7)="varchar",MID(H123,FIND("(",H123)+1,FIND(")",H123)-FIND("(",H123)-1)*8,
        IF(LEFT($H123,4)="char",MID(H123,FIND("(",H123)+1,FIND(")",H123)-FIND("(",H123)-1)*8,
            IF(LEFT($H123,3)="bit",MID(H123,FIND("(",H123)+1,FIND(")",H123)-FIND("(",H123)-1),"???")
        )
    )
)</f>
        <v>32</v>
      </c>
      <c r="J123" s="11" t="s">
        <v>452</v>
      </c>
      <c r="K123" s="11"/>
      <c r="L123" s="9"/>
      <c r="M123" s="11" t="str">
        <f t="shared" si="6"/>
        <v/>
      </c>
      <c r="N123" s="11" t="s">
        <v>473</v>
      </c>
      <c r="O123" s="11" t="s">
        <v>473</v>
      </c>
      <c r="P123" s="11" t="s">
        <v>526</v>
      </c>
      <c r="Q123" s="11"/>
      <c r="R123" s="9"/>
      <c r="S123" s="9"/>
      <c r="T123" s="9"/>
      <c r="U123" s="11"/>
    </row>
    <row r="124" spans="1:21" ht="18.75" customHeight="1">
      <c r="A124" s="9" t="s">
        <v>46</v>
      </c>
      <c r="B124" s="9" t="str">
        <f t="shared" ca="1" si="5"/>
        <v>sns_support.sns_name_physical_name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196</v>
      </c>
      <c r="G124" s="11" t="s">
        <v>197</v>
      </c>
      <c r="H124" s="11" t="s">
        <v>65</v>
      </c>
      <c r="I124" s="11">
        <f>_xlfn.XLOOKUP(
    $H124,
    型とバイト数!$B$3:$B$54,
    型とバイト数!$E$3:$E$54,
    IF(LEFT($H124,7)="varchar",MID(H124,FIND("(",H124)+1,FIND(")",H124)-FIND("(",H124)-1)*8,
        IF(LEFT($H124,4)="char",MID(H124,FIND("(",H124)+1,FIND(")",H124)-FIND("(",H124)-1)*8,
            IF(LEFT($H124,3)="bit",MID(H124,FIND("(",H124)+1,FIND(")",H124)-FIND("(",H124)-1),"???")
        )
    )
)</f>
        <v>256</v>
      </c>
      <c r="J124" s="11"/>
      <c r="K124" s="11"/>
      <c r="L124" s="9"/>
      <c r="M124" s="11" t="str">
        <f t="shared" si="6"/>
        <v/>
      </c>
      <c r="N124" s="11" t="s">
        <v>465</v>
      </c>
      <c r="O124" s="11" t="s">
        <v>465</v>
      </c>
      <c r="P124" s="11"/>
      <c r="Q124" s="11"/>
      <c r="R124" s="9"/>
      <c r="S124" s="9"/>
      <c r="T124" s="9"/>
      <c r="U124" s="11"/>
    </row>
    <row r="125" spans="1:21" ht="18.75" customHeight="1">
      <c r="A125" s="9" t="s">
        <v>46</v>
      </c>
      <c r="B125" s="9" t="str">
        <f t="shared" ca="1" si="5"/>
        <v>sns_support.image_id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198</v>
      </c>
      <c r="G125" s="11" t="s">
        <v>199</v>
      </c>
      <c r="H125" s="11" t="s">
        <v>99</v>
      </c>
      <c r="I125" s="11">
        <f>_xlfn.XLOOKUP(
    $H125,
    型とバイト数!$B$3:$B$54,
    型とバイト数!$E$3:$E$54,
    IF(LEFT($H125,7)="varchar",MID(H125,FIND("(",H125)+1,FIND(")",H125)-FIND("(",H125)-1)*8,
        IF(LEFT($H125,4)="char",MID(H125,FIND("(",H125)+1,FIND(")",H125)-FIND("(",H125)-1)*8,
            IF(LEFT($H125,3)="bit",MID(H125,FIND("(",H125)+1,FIND(")",H125)-FIND("(",H125)-1),"???")
        )
    )
)</f>
        <v>32</v>
      </c>
      <c r="J125" s="11"/>
      <c r="K125" s="11" t="s">
        <v>48</v>
      </c>
      <c r="L125" s="9" t="s">
        <v>539</v>
      </c>
      <c r="M125" s="11">
        <f t="shared" ca="1" si="6"/>
        <v>193</v>
      </c>
      <c r="N125" s="11" t="s">
        <v>48</v>
      </c>
      <c r="O125" s="11"/>
      <c r="P125" s="11"/>
      <c r="Q125" s="11" t="s">
        <v>550</v>
      </c>
      <c r="R125" s="9"/>
      <c r="S125" s="9"/>
      <c r="T125" s="9"/>
      <c r="U125" s="11" t="s">
        <v>200</v>
      </c>
    </row>
    <row r="126" spans="1:21" ht="18.75" customHeight="1">
      <c r="A126" s="9" t="s">
        <v>46</v>
      </c>
      <c r="B126" s="9" t="str">
        <f t="shared" ca="1" si="5"/>
        <v>sns_support.use_login_service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201</v>
      </c>
      <c r="G126" s="11" t="s">
        <v>202</v>
      </c>
      <c r="H126" s="11" t="s">
        <v>489</v>
      </c>
      <c r="I126" s="11">
        <f>_xlfn.XLOOKUP(
    $H126,
    型とバイト数!$B$3:$B$54,
    型とバイト数!$E$3:$E$54,
    IF(LEFT($H126,7)="varchar",MID(H126,FIND("(",H126)+1,FIND(")",H126)-FIND("(",H126)-1)*8,
        IF(LEFT($H126,4)="char",MID(H126,FIND("(",H126)+1,FIND(")",H126)-FIND("(",H126)-1)*8,
            IF(LEFT($H126,3)="bit",MID(H126,FIND("(",H126)+1,FIND(")",H126)-FIND("(",H126)-1),"???")
        )
    )
)</f>
        <v>8</v>
      </c>
      <c r="J126" s="11"/>
      <c r="K126" s="11"/>
      <c r="L126" s="9"/>
      <c r="M126" s="11" t="str">
        <f t="shared" si="6"/>
        <v/>
      </c>
      <c r="N126" s="11" t="s">
        <v>48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customHeight="1">
      <c r="A127" s="9" t="s">
        <v>46</v>
      </c>
      <c r="B127" s="9" t="str">
        <f t="shared" ref="B127:B179" ca="1" si="7">D127&amp;"."&amp;F127</f>
        <v>sns_support.use_sns_link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203</v>
      </c>
      <c r="G127" s="11" t="s">
        <v>204</v>
      </c>
      <c r="H127" s="11" t="s">
        <v>489</v>
      </c>
      <c r="I127" s="11">
        <f>_xlfn.XLOOKUP(
    $H127,
    型とバイト数!$B$3:$B$54,
    型とバイト数!$E$3:$E$54,
    IF(LEFT($H127,7)="varchar",MID(H127,FIND("(",H127)+1,FIND(")",H127)-FIND("(",H127)-1)*8,
        IF(LEFT($H127,4)="char",MID(H127,FIND("(",H127)+1,FIND(")",H127)-FIND("(",H127)-1)*8,
            IF(LEFT($H127,3)="bit",MID(H127,FIND("(",H127)+1,FIND(")",H127)-FIND("(",H127)-1),"???")
        )
    )
)</f>
        <v>8</v>
      </c>
      <c r="J127" s="11"/>
      <c r="K127" s="11"/>
      <c r="L127" s="9"/>
      <c r="M127" s="11" t="str">
        <f t="shared" si="6"/>
        <v/>
      </c>
      <c r="N127" s="11" t="s">
        <v>48</v>
      </c>
      <c r="O127" s="11"/>
      <c r="P127" s="11" t="b">
        <v>1</v>
      </c>
      <c r="Q127" s="11"/>
      <c r="R127" s="9"/>
      <c r="S127" s="9"/>
      <c r="T127" s="9"/>
      <c r="U127" s="11"/>
    </row>
    <row r="128" spans="1:21" ht="18.75" customHeight="1">
      <c r="A128" s="9" t="s">
        <v>46</v>
      </c>
      <c r="B128" s="9" t="str">
        <f t="shared" ca="1" si="7"/>
        <v>sns_support.create_datetime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104</v>
      </c>
      <c r="G128" s="11" t="s">
        <v>105</v>
      </c>
      <c r="H128" s="11" t="s">
        <v>487</v>
      </c>
      <c r="I128" s="11">
        <f>_xlfn.XLOOKUP(
    $H128,
    型とバイト数!$B$3:$B$54,
    型とバイト数!$E$3:$E$54,
    IF(LEFT($H128,7)="varchar",MID(H128,FIND("(",H128)+1,FIND(")",H128)-FIND("(",H128)-1)*8,
        IF(LEFT($H128,4)="char",MID(H128,FIND("(",H128)+1,FIND(")",H128)-FIND("(",H128)-1)*8,
            IF(LEFT($H128,3)="bit",MID(H128,FIND("(",H128)+1,FIND(")",H128)-FIND("(",H128)-1),"???")
        )
    )
)</f>
        <v>64</v>
      </c>
      <c r="J128" s="11"/>
      <c r="K128" s="11"/>
      <c r="L128" s="9"/>
      <c r="M128" s="11" t="str">
        <f t="shared" si="6"/>
        <v/>
      </c>
      <c r="N128" s="11" t="s">
        <v>48</v>
      </c>
      <c r="O128" s="11"/>
      <c r="P128" s="11" t="s">
        <v>106</v>
      </c>
      <c r="Q128" s="11"/>
      <c r="R128" s="9"/>
      <c r="S128" s="9"/>
      <c r="T128" s="9"/>
      <c r="U128" s="11"/>
    </row>
    <row r="129" spans="1:21" ht="18.75" customHeight="1">
      <c r="A129" s="9" t="s">
        <v>46</v>
      </c>
      <c r="B129" s="9" t="str">
        <f t="shared" ca="1" si="7"/>
        <v>sns_support.create_user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107</v>
      </c>
      <c r="G129" s="11" t="s">
        <v>108</v>
      </c>
      <c r="H129" s="11" t="s">
        <v>65</v>
      </c>
      <c r="I129" s="11">
        <f>_xlfn.XLOOKUP(
    $H129,
    型とバイト数!$B$3:$B$54,
    型とバイト数!$E$3:$E$54,
    IF(LEFT($H129,7)="varchar",MID(H129,FIND("(",H129)+1,FIND(")",H129)-FIND("(",H129)-1)*8,
        IF(LEFT($H129,4)="char",MID(H129,FIND("(",H129)+1,FIND(")",H129)-FIND("(",H129)-1)*8,
            IF(LEFT($H129,3)="bit",MID(H129,FIND("(",H129)+1,FIND(")",H129)-FIND("(",H129)-1),"???")
        )
    )
)</f>
        <v>256</v>
      </c>
      <c r="J129" s="11"/>
      <c r="K129" s="11"/>
      <c r="L129" s="9"/>
      <c r="M129" s="11" t="str">
        <f t="shared" si="6"/>
        <v/>
      </c>
      <c r="N129" s="11" t="s">
        <v>48</v>
      </c>
      <c r="O129" s="11"/>
      <c r="P129" s="11" t="s">
        <v>109</v>
      </c>
      <c r="Q129" s="11"/>
      <c r="R129" s="9"/>
      <c r="S129" s="9"/>
      <c r="T129" s="9"/>
      <c r="U129" s="11" t="s">
        <v>110</v>
      </c>
    </row>
    <row r="130" spans="1:21" ht="18.75" customHeight="1">
      <c r="A130" s="9" t="s">
        <v>46</v>
      </c>
      <c r="B130" s="9" t="str">
        <f t="shared" ca="1" si="7"/>
        <v>sns_support.update_datetime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111</v>
      </c>
      <c r="G130" s="11" t="s">
        <v>112</v>
      </c>
      <c r="H130" s="11" t="s">
        <v>487</v>
      </c>
      <c r="I130" s="11">
        <f>_xlfn.XLOOKUP(
    $H130,
    型とバイト数!$B$3:$B$54,
    型とバイト数!$E$3:$E$54,
    IF(LEFT($H130,7)="varchar",MID(H130,FIND("(",H130)+1,FIND(")",H130)-FIND("(",H130)-1)*8,
        IF(LEFT($H130,4)="char",MID(H130,FIND("(",H130)+1,FIND(")",H130)-FIND("(",H130)-1)*8,
            IF(LEFT($H130,3)="bit",MID(H130,FIND("(",H130)+1,FIND(")",H130)-FIND("(",H130)-1),"???")
        )
    )
)</f>
        <v>64</v>
      </c>
      <c r="J130" s="11"/>
      <c r="K130" s="11"/>
      <c r="L130" s="9"/>
      <c r="M130" s="11" t="str">
        <f t="shared" si="6"/>
        <v/>
      </c>
      <c r="N130" s="11" t="s">
        <v>48</v>
      </c>
      <c r="O130" s="11"/>
      <c r="P130" s="11" t="s">
        <v>106</v>
      </c>
      <c r="Q130" s="11"/>
      <c r="R130" s="9"/>
      <c r="S130" s="9"/>
      <c r="T130" s="9"/>
      <c r="U130" s="11"/>
    </row>
    <row r="131" spans="1:21" ht="18.75" customHeight="1">
      <c r="A131" s="9" t="s">
        <v>46</v>
      </c>
      <c r="B131" s="9" t="str">
        <f t="shared" ca="1" si="7"/>
        <v>sns_support.update_user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113</v>
      </c>
      <c r="G131" s="11" t="s">
        <v>114</v>
      </c>
      <c r="H131" s="11" t="s">
        <v>65</v>
      </c>
      <c r="I131" s="11">
        <f>_xlfn.XLOOKUP(
    $H131,
    型とバイト数!$B$3:$B$54,
    型とバイト数!$E$3:$E$54,
    IF(LEFT($H131,7)="varchar",MID(H131,FIND("(",H131)+1,FIND(")",H131)-FIND("(",H131)-1)*8,
        IF(LEFT($H131,4)="char",MID(H131,FIND("(",H131)+1,FIND(")",H131)-FIND("(",H131)-1)*8,
            IF(LEFT($H131,3)="bit",MID(H131,FIND("(",H131)+1,FIND(")",H131)-FIND("(",H131)-1),"???")
        )
    )
)</f>
        <v>256</v>
      </c>
      <c r="J131" s="11"/>
      <c r="K131" s="11"/>
      <c r="L131" s="9"/>
      <c r="M131" s="11" t="str">
        <f t="shared" si="6"/>
        <v/>
      </c>
      <c r="N131" s="11" t="s">
        <v>48</v>
      </c>
      <c r="O131" s="11"/>
      <c r="P131" s="11" t="s">
        <v>109</v>
      </c>
      <c r="Q131" s="11"/>
      <c r="R131" s="9"/>
      <c r="S131" s="9"/>
      <c r="T131" s="9"/>
      <c r="U131" s="11" t="s">
        <v>110</v>
      </c>
    </row>
    <row r="132" spans="1:21" ht="18.75" customHeight="1">
      <c r="A132" s="9" t="s">
        <v>46</v>
      </c>
      <c r="B132" s="9" t="str">
        <f t="shared" ca="1" si="7"/>
        <v>sns_support.soft_delete_flag</v>
      </c>
      <c r="C132" s="10">
        <f t="shared" si="0"/>
        <v>131</v>
      </c>
      <c r="D132" s="11" t="str" cm="1">
        <f t="array" aca="1" ref="D132" ca="1">INDIRECT(ADDRESS(ROW()-1,COLUMN()))</f>
        <v>sns_support</v>
      </c>
      <c r="E132" s="11" t="str" cm="1">
        <f t="array" aca="1" ref="E132" ca="1">INDIRECT(ADDRESS(ROW()-1,COLUMN()))</f>
        <v>サポートするSNS</v>
      </c>
      <c r="F132" s="11" t="s">
        <v>115</v>
      </c>
      <c r="G132" s="11" t="s">
        <v>116</v>
      </c>
      <c r="H132" s="11" t="s">
        <v>489</v>
      </c>
      <c r="I132" s="11">
        <f>_xlfn.XLOOKUP(
    $H132,
    型とバイト数!$B$3:$B$54,
    型とバイト数!$E$3:$E$54,
    IF(LEFT($H132,7)="varchar",MID(H132,FIND("(",H132)+1,FIND(")",H132)-FIND("(",H132)-1)*8,
        IF(LEFT($H132,4)="char",MID(H132,FIND("(",H132)+1,FIND(")",H132)-FIND("(",H132)-1)*8,
            IF(LEFT($H132,3)="bit",MID(H132,FIND("(",H132)+1,FIND(")",H132)-FIND("(",H132)-1),"???")
        )
    )
)</f>
        <v>8</v>
      </c>
      <c r="J132" s="11"/>
      <c r="K132" s="11"/>
      <c r="L132" s="9"/>
      <c r="M132" s="11" t="str">
        <f t="shared" ref="M132:M195" si="8">IF(K132="","",IF(L132="","参照先未定義",_xlfn.XLOOKUP(L132,$B$1:$B$501,$C$1:$C$501,"エラー")))</f>
        <v/>
      </c>
      <c r="N132" s="11" t="s">
        <v>48</v>
      </c>
      <c r="O132" s="11"/>
      <c r="P132" s="11" t="b">
        <v>0</v>
      </c>
      <c r="Q132" s="11"/>
      <c r="R132" s="9"/>
      <c r="S132" s="9"/>
      <c r="T132" s="9"/>
      <c r="U132" s="11"/>
    </row>
    <row r="133" spans="1:21" ht="18.75" customHeight="1">
      <c r="A133" s="9" t="s">
        <v>46</v>
      </c>
      <c r="B133" s="9" t="str">
        <f t="shared" si="7"/>
        <v>profile_report.profile_report_sequence_id</v>
      </c>
      <c r="C133" s="10">
        <f t="shared" si="0"/>
        <v>132</v>
      </c>
      <c r="D133" s="11" t="s">
        <v>205</v>
      </c>
      <c r="E133" s="11" t="s">
        <v>206</v>
      </c>
      <c r="F133" s="11" t="str">
        <f>D133&amp;"_sequence_id"</f>
        <v>profile_report_sequence_id</v>
      </c>
      <c r="G133" s="11" t="str">
        <f>E133&amp;"ID"</f>
        <v>プロフィール通報ID</v>
      </c>
      <c r="H133" s="11" t="s">
        <v>527</v>
      </c>
      <c r="I133" s="11">
        <f>_xlfn.XLOOKUP(
    $H133,
    型とバイト数!$B$3:$B$54,
    型とバイト数!$E$3:$E$54,
    IF(LEFT($H133,7)="varchar",MID(H133,FIND("(",H133)+1,FIND(")",H133)-FIND("(",H133)-1)*8,
        IF(LEFT($H133,4)="char",MID(H133,FIND("(",H133)+1,FIND(")",H133)-FIND("(",H133)-1)*8,
            IF(LEFT($H133,3)="bit",MID(H133,FIND("(",H133)+1,FIND(")",H133)-FIND("(",H133)-1),"???")
        )
    )
)</f>
        <v>32</v>
      </c>
      <c r="J133" s="11" t="s">
        <v>452</v>
      </c>
      <c r="K133" s="11"/>
      <c r="L133" s="9"/>
      <c r="M133" s="11" t="str">
        <f t="shared" si="8"/>
        <v/>
      </c>
      <c r="N133" s="11" t="s">
        <v>473</v>
      </c>
      <c r="O133" s="11" t="s">
        <v>473</v>
      </c>
      <c r="P133" s="11" t="s">
        <v>526</v>
      </c>
      <c r="Q133" s="11"/>
      <c r="R133" s="9"/>
      <c r="S133" s="9"/>
      <c r="T133" s="9"/>
      <c r="U133" s="11"/>
    </row>
    <row r="134" spans="1:21" ht="18.75" customHeight="1">
      <c r="A134" s="9" t="s">
        <v>46</v>
      </c>
      <c r="B134" s="9" t="str">
        <f t="shared" ca="1" si="7"/>
        <v>profile_report.user_id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53</v>
      </c>
      <c r="G134" s="11" t="s">
        <v>54</v>
      </c>
      <c r="H134" s="11" t="s">
        <v>99</v>
      </c>
      <c r="I134" s="11">
        <f>_xlfn.XLOOKUP(
    $H134,
    型とバイト数!$B$3:$B$54,
    型とバイト数!$E$3:$E$54,
    IF(LEFT($H134,7)="varchar",MID(H134,FIND("(",H134)+1,FIND(")",H134)-FIND("(",H134)-1)*8,
        IF(LEFT($H134,4)="char",MID(H134,FIND("(",H134)+1,FIND(")",H134)-FIND("(",H134)-1)*8,
            IF(LEFT($H134,3)="bit",MID(H134,FIND("(",H134)+1,FIND(")",H134)-FIND("(",H134)-1),"???")
        )
    )
)</f>
        <v>32</v>
      </c>
      <c r="J134" s="11"/>
      <c r="K134" s="11" t="s">
        <v>48</v>
      </c>
      <c r="L134" s="9" t="s">
        <v>530</v>
      </c>
      <c r="M134" s="11">
        <f t="shared" ca="1" si="8"/>
        <v>150</v>
      </c>
      <c r="N134" s="11"/>
      <c r="O134" s="11"/>
      <c r="P134" s="11"/>
      <c r="Q134" s="11" t="s">
        <v>551</v>
      </c>
      <c r="R134" s="9"/>
      <c r="S134" s="9"/>
      <c r="T134" s="9"/>
      <c r="U134" s="11"/>
    </row>
    <row r="135" spans="1:21" ht="18.75" customHeight="1">
      <c r="A135" s="9" t="s">
        <v>46</v>
      </c>
      <c r="B135" s="9" t="str">
        <f t="shared" ca="1" si="7"/>
        <v>profile_report.vtuber_profiles_id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49</v>
      </c>
      <c r="G135" s="11" t="s">
        <v>50</v>
      </c>
      <c r="H135" s="11" t="s">
        <v>99</v>
      </c>
      <c r="I135" s="11">
        <f>_xlfn.XLOOKUP(
    $H135,
    型とバイト数!$B$3:$B$54,
    型とバイト数!$E$3:$E$54,
    IF(LEFT($H135,7)="varchar",MID(H135,FIND("(",H135)+1,FIND(")",H135)-FIND("(",H135)-1)*8,
        IF(LEFT($H135,4)="char",MID(H135,FIND("(",H135)+1,FIND(")",H135)-FIND("(",H135)-1)*8,
            IF(LEFT($H135,3)="bit",MID(H135,FIND("(",H135)+1,FIND(")",H135)-FIND("(",H135)-1),"???")
        )
    )
)</f>
        <v>32</v>
      </c>
      <c r="J135" s="11"/>
      <c r="K135" s="11" t="s">
        <v>48</v>
      </c>
      <c r="L135" s="9" t="s">
        <v>533</v>
      </c>
      <c r="M135" s="11">
        <f t="shared" si="8"/>
        <v>1</v>
      </c>
      <c r="N135" s="11" t="s">
        <v>48</v>
      </c>
      <c r="O135" s="11"/>
      <c r="P135" s="11"/>
      <c r="Q135" s="11" t="s">
        <v>551</v>
      </c>
      <c r="R135" s="9"/>
      <c r="S135" s="9"/>
      <c r="T135" s="9"/>
      <c r="U135" s="11"/>
    </row>
    <row r="136" spans="1:21" ht="18.75" customHeight="1">
      <c r="A136" s="9" t="s">
        <v>46</v>
      </c>
      <c r="B136" s="9" t="str">
        <f t="shared" ca="1" si="7"/>
        <v>profile_report.report_reason_physical_name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207</v>
      </c>
      <c r="G136" s="11" t="s">
        <v>208</v>
      </c>
      <c r="H136" s="11" t="s">
        <v>99</v>
      </c>
      <c r="I136" s="11">
        <f>_xlfn.XLOOKUP(
    $H136,
    型とバイト数!$B$3:$B$54,
    型とバイト数!$E$3:$E$54,
    IF(LEFT($H136,7)="varchar",MID(H136,FIND("(",H136)+1,FIND(")",H136)-FIND("(",H136)-1)*8,
        IF(LEFT($H136,4)="char",MID(H136,FIND("(",H136)+1,FIND(")",H136)-FIND("(",H136)-1)*8,
            IF(LEFT($H136,3)="bit",MID(H136,FIND("(",H136)+1,FIND(")",H136)-FIND("(",H136)-1),"???")
        )
    )
)</f>
        <v>32</v>
      </c>
      <c r="J136" s="11"/>
      <c r="K136" s="11" t="s">
        <v>48</v>
      </c>
      <c r="L136" s="9" t="s">
        <v>540</v>
      </c>
      <c r="M136" s="11">
        <f t="shared" ca="1" si="8"/>
        <v>143</v>
      </c>
      <c r="N136" s="11" t="s">
        <v>48</v>
      </c>
      <c r="O136" s="11"/>
      <c r="P136" s="11"/>
      <c r="Q136" s="11" t="s">
        <v>551</v>
      </c>
      <c r="R136" s="9" t="s">
        <v>48</v>
      </c>
      <c r="S136" s="9"/>
      <c r="T136" s="9"/>
      <c r="U136" s="11"/>
    </row>
    <row r="137" spans="1:21" ht="18.75" customHeight="1">
      <c r="A137" s="9" t="s">
        <v>46</v>
      </c>
      <c r="B137" s="9" t="str">
        <f t="shared" ca="1" si="7"/>
        <v>profile_report.report_detail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209</v>
      </c>
      <c r="G137" s="11" t="s">
        <v>210</v>
      </c>
      <c r="H137" s="11" t="s">
        <v>81</v>
      </c>
      <c r="I137" s="11" t="str">
        <f>_xlfn.XLOOKUP(
    $H137,
    型とバイト数!$B$3:$B$54,
    型とバイト数!$E$3:$E$54,
    IF(LEFT($H137,7)="varchar",MID(H137,FIND("(",H137)+1,FIND(")",H137)-FIND("(",H137)-1)*8,
        IF(LEFT($H137,4)="char",MID(H137,FIND("(",H137)+1,FIND(")",H137)-FIND("(",H137)-1)*8,
            IF(LEFT($H137,3)="bit",MID(H137,FIND("(",H137)+1,FIND(")",H137)-FIND("(",H137)-1),"???")
        )
    )
)</f>
        <v>-</v>
      </c>
      <c r="J137" s="11"/>
      <c r="K137" s="11"/>
      <c r="L137" s="9"/>
      <c r="M137" s="11" t="str">
        <f t="shared" si="8"/>
        <v/>
      </c>
      <c r="N137" s="11" t="s">
        <v>48</v>
      </c>
      <c r="O137" s="11"/>
      <c r="P137" s="11"/>
      <c r="Q137" s="11"/>
      <c r="R137" s="9" t="s">
        <v>48</v>
      </c>
      <c r="S137" s="9"/>
      <c r="T137" s="9"/>
      <c r="U137" s="11"/>
    </row>
    <row r="138" spans="1:21" ht="18.75" customHeight="1">
      <c r="A138" s="9" t="s">
        <v>46</v>
      </c>
      <c r="B138" s="9" t="str">
        <f t="shared" ca="1" si="7"/>
        <v>profile_report.report_datetime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211</v>
      </c>
      <c r="G138" s="11" t="s">
        <v>212</v>
      </c>
      <c r="H138" s="11" t="s">
        <v>487</v>
      </c>
      <c r="I138" s="11">
        <f>_xlfn.XLOOKUP(
    $H138,
    型とバイト数!$B$3:$B$54,
    型とバイト数!$E$3:$E$54,
    IF(LEFT($H138,7)="varchar",MID(H138,FIND("(",H138)+1,FIND(")",H138)-FIND("(",H138)-1)*8,
        IF(LEFT($H138,4)="char",MID(H138,FIND("(",H138)+1,FIND(")",H138)-FIND("(",H138)-1)*8,
            IF(LEFT($H138,3)="bit",MID(H138,FIND("(",H138)+1,FIND(")",H138)-FIND("(",H138)-1),"???")
        )
    )
)</f>
        <v>64</v>
      </c>
      <c r="J138" s="11"/>
      <c r="K138" s="11"/>
      <c r="L138" s="9"/>
      <c r="M138" s="11" t="str">
        <f t="shared" si="8"/>
        <v/>
      </c>
      <c r="N138" s="11" t="s">
        <v>48</v>
      </c>
      <c r="O138" s="11"/>
      <c r="P138" s="11" t="s">
        <v>106</v>
      </c>
      <c r="Q138" s="11"/>
      <c r="R138" s="9"/>
      <c r="S138" s="9"/>
      <c r="T138" s="9"/>
      <c r="U138" s="11"/>
    </row>
    <row r="139" spans="1:21" ht="18.75" customHeight="1">
      <c r="A139" s="9" t="s">
        <v>46</v>
      </c>
      <c r="B139" s="9" t="str">
        <f t="shared" ca="1" si="7"/>
        <v>profile_report.create_datetime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104</v>
      </c>
      <c r="G139" s="11" t="s">
        <v>105</v>
      </c>
      <c r="H139" s="11" t="s">
        <v>487</v>
      </c>
      <c r="I139" s="11">
        <f>_xlfn.XLOOKUP(
    $H139,
    型とバイト数!$B$3:$B$54,
    型とバイト数!$E$3:$E$54,
    IF(LEFT($H139,7)="varchar",MID(H139,FIND("(",H139)+1,FIND(")",H139)-FIND("(",H139)-1)*8,
        IF(LEFT($H139,4)="char",MID(H139,FIND("(",H139)+1,FIND(")",H139)-FIND("(",H139)-1)*8,
            IF(LEFT($H139,3)="bit",MID(H139,FIND("(",H139)+1,FIND(")",H139)-FIND("(",H139)-1),"???")
        )
    )
)</f>
        <v>64</v>
      </c>
      <c r="J139" s="11"/>
      <c r="K139" s="11"/>
      <c r="L139" s="9"/>
      <c r="M139" s="11" t="str">
        <f t="shared" si="8"/>
        <v/>
      </c>
      <c r="N139" s="11" t="s">
        <v>48</v>
      </c>
      <c r="O139" s="11"/>
      <c r="P139" s="11" t="s">
        <v>106</v>
      </c>
      <c r="Q139" s="11"/>
      <c r="R139" s="9"/>
      <c r="S139" s="9"/>
      <c r="T139" s="9"/>
      <c r="U139" s="11"/>
    </row>
    <row r="140" spans="1:21" ht="18.75" customHeight="1">
      <c r="A140" s="9" t="s">
        <v>46</v>
      </c>
      <c r="B140" s="9" t="str">
        <f t="shared" ca="1" si="7"/>
        <v>profile_report.create_user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107</v>
      </c>
      <c r="G140" s="11" t="s">
        <v>108</v>
      </c>
      <c r="H140" s="11" t="s">
        <v>65</v>
      </c>
      <c r="I140" s="11">
        <f>_xlfn.XLOOKUP(
    $H140,
    型とバイト数!$B$3:$B$54,
    型とバイト数!$E$3:$E$54,
    IF(LEFT($H140,7)="varchar",MID(H140,FIND("(",H140)+1,FIND(")",H140)-FIND("(",H140)-1)*8,
        IF(LEFT($H140,4)="char",MID(H140,FIND("(",H140)+1,FIND(")",H140)-FIND("(",H140)-1)*8,
            IF(LEFT($H140,3)="bit",MID(H140,FIND("(",H140)+1,FIND(")",H140)-FIND("(",H140)-1),"???")
        )
    )
)</f>
        <v>256</v>
      </c>
      <c r="J140" s="11"/>
      <c r="K140" s="11"/>
      <c r="L140" s="9"/>
      <c r="M140" s="11" t="str">
        <f t="shared" si="8"/>
        <v/>
      </c>
      <c r="N140" s="11" t="s">
        <v>48</v>
      </c>
      <c r="O140" s="11"/>
      <c r="P140" s="11" t="s">
        <v>109</v>
      </c>
      <c r="Q140" s="11"/>
      <c r="R140" s="9"/>
      <c r="S140" s="9"/>
      <c r="T140" s="9"/>
      <c r="U140" s="11" t="s">
        <v>110</v>
      </c>
    </row>
    <row r="141" spans="1:21" ht="18.75" customHeight="1">
      <c r="A141" s="9" t="s">
        <v>46</v>
      </c>
      <c r="B141" s="9" t="str">
        <f t="shared" ca="1" si="7"/>
        <v>profile_report.update_datetime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111</v>
      </c>
      <c r="G141" s="11" t="s">
        <v>112</v>
      </c>
      <c r="H141" s="11" t="s">
        <v>487</v>
      </c>
      <c r="I141" s="11">
        <f>_xlfn.XLOOKUP(
    $H141,
    型とバイト数!$B$3:$B$54,
    型とバイト数!$E$3:$E$54,
    IF(LEFT($H141,7)="varchar",MID(H141,FIND("(",H141)+1,FIND(")",H141)-FIND("(",H141)-1)*8,
        IF(LEFT($H141,4)="char",MID(H141,FIND("(",H141)+1,FIND(")",H141)-FIND("(",H141)-1)*8,
            IF(LEFT($H141,3)="bit",MID(H141,FIND("(",H141)+1,FIND(")",H141)-FIND("(",H141)-1),"???")
        )
    )
)</f>
        <v>64</v>
      </c>
      <c r="J141" s="11"/>
      <c r="K141" s="11"/>
      <c r="L141" s="9"/>
      <c r="M141" s="11" t="str">
        <f t="shared" si="8"/>
        <v/>
      </c>
      <c r="N141" s="11" t="s">
        <v>48</v>
      </c>
      <c r="O141" s="11"/>
      <c r="P141" s="11" t="s">
        <v>106</v>
      </c>
      <c r="Q141" s="11"/>
      <c r="R141" s="9"/>
      <c r="S141" s="9"/>
      <c r="T141" s="9"/>
      <c r="U141" s="11"/>
    </row>
    <row r="142" spans="1:21" ht="18.75" customHeight="1">
      <c r="A142" s="9" t="s">
        <v>46</v>
      </c>
      <c r="B142" s="9" t="str">
        <f t="shared" ca="1" si="7"/>
        <v>profile_report.update_user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113</v>
      </c>
      <c r="G142" s="11" t="s">
        <v>114</v>
      </c>
      <c r="H142" s="11" t="s">
        <v>65</v>
      </c>
      <c r="I142" s="11">
        <f>_xlfn.XLOOKUP(
    $H142,
    型とバイト数!$B$3:$B$54,
    型とバイト数!$E$3:$E$54,
    IF(LEFT($H142,7)="varchar",MID(H142,FIND("(",H142)+1,FIND(")",H142)-FIND("(",H142)-1)*8,
        IF(LEFT($H142,4)="char",MID(H142,FIND("(",H142)+1,FIND(")",H142)-FIND("(",H142)-1)*8,
            IF(LEFT($H142,3)="bit",MID(H142,FIND("(",H142)+1,FIND(")",H142)-FIND("(",H142)-1),"???")
        )
    )
)</f>
        <v>256</v>
      </c>
      <c r="J142" s="11"/>
      <c r="K142" s="11"/>
      <c r="L142" s="9"/>
      <c r="M142" s="11" t="str">
        <f t="shared" si="8"/>
        <v/>
      </c>
      <c r="N142" s="11" t="s">
        <v>48</v>
      </c>
      <c r="O142" s="11"/>
      <c r="P142" s="11" t="s">
        <v>109</v>
      </c>
      <c r="Q142" s="11"/>
      <c r="R142" s="9"/>
      <c r="S142" s="9"/>
      <c r="T142" s="9"/>
      <c r="U142" s="11" t="s">
        <v>110</v>
      </c>
    </row>
    <row r="143" spans="1:21" ht="18.75" customHeight="1">
      <c r="A143" s="9" t="s">
        <v>46</v>
      </c>
      <c r="B143" s="9" t="str">
        <f t="shared" ca="1" si="7"/>
        <v>profile_report.soft_delete_flag</v>
      </c>
      <c r="C143" s="10">
        <f t="shared" si="0"/>
        <v>142</v>
      </c>
      <c r="D143" s="11" t="str" cm="1">
        <f t="array" aca="1" ref="D143" ca="1">INDIRECT(ADDRESS(ROW()-1,COLUMN()))</f>
        <v>profile_report</v>
      </c>
      <c r="E143" s="11" t="str" cm="1">
        <f t="array" aca="1" ref="E143" ca="1">INDIRECT(ADDRESS(ROW()-1,COLUMN()))</f>
        <v>プロフィール通報</v>
      </c>
      <c r="F143" s="11" t="s">
        <v>115</v>
      </c>
      <c r="G143" s="11" t="s">
        <v>116</v>
      </c>
      <c r="H143" s="11" t="s">
        <v>489</v>
      </c>
      <c r="I143" s="11">
        <f>_xlfn.XLOOKUP(
    $H143,
    型とバイト数!$B$3:$B$54,
    型とバイト数!$E$3:$E$54,
    IF(LEFT($H143,7)="varchar",MID(H143,FIND("(",H143)+1,FIND(")",H143)-FIND("(",H143)-1)*8,
        IF(LEFT($H143,4)="char",MID(H143,FIND("(",H143)+1,FIND(")",H143)-FIND("(",H143)-1)*8,
            IF(LEFT($H143,3)="bit",MID(H143,FIND("(",H143)+1,FIND(")",H143)-FIND("(",H143)-1),"???")
        )
    )
)</f>
        <v>8</v>
      </c>
      <c r="J143" s="11"/>
      <c r="K143" s="11"/>
      <c r="L143" s="9"/>
      <c r="M143" s="11" t="str">
        <f t="shared" si="8"/>
        <v/>
      </c>
      <c r="N143" s="11" t="s">
        <v>48</v>
      </c>
      <c r="O143" s="11"/>
      <c r="P143" s="11" t="b">
        <v>0</v>
      </c>
      <c r="Q143" s="11"/>
      <c r="R143" s="9"/>
      <c r="S143" s="9"/>
      <c r="T143" s="9"/>
      <c r="U143" s="11"/>
    </row>
    <row r="144" spans="1:21" ht="18.75" customHeight="1">
      <c r="A144" s="9" t="s">
        <v>46</v>
      </c>
      <c r="B144" s="9" t="str">
        <f t="shared" si="7"/>
        <v>report_reason.report_reason_sequence_id</v>
      </c>
      <c r="C144" s="10">
        <f t="shared" si="0"/>
        <v>143</v>
      </c>
      <c r="D144" s="11" t="s">
        <v>213</v>
      </c>
      <c r="E144" s="11" t="s">
        <v>214</v>
      </c>
      <c r="F144" s="11" t="str">
        <f>D144&amp;"_sequence_id"</f>
        <v>report_reason_sequence_id</v>
      </c>
      <c r="G144" s="11" t="str">
        <f>E144&amp;"ID"</f>
        <v>通報理由ID</v>
      </c>
      <c r="H144" s="11" t="s">
        <v>527</v>
      </c>
      <c r="I144" s="11">
        <f>_xlfn.XLOOKUP(
    $H144,
    型とバイト数!$B$3:$B$54,
    型とバイト数!$E$3:$E$54,
    IF(LEFT($H144,7)="varchar",MID(H144,FIND("(",H144)+1,FIND(")",H144)-FIND("(",H144)-1)*8,
        IF(LEFT($H144,4)="char",MID(H144,FIND("(",H144)+1,FIND(")",H144)-FIND("(",H144)-1)*8,
            IF(LEFT($H144,3)="bit",MID(H144,FIND("(",H144)+1,FIND(")",H144)-FIND("(",H144)-1),"???")
        )
    )
)</f>
        <v>32</v>
      </c>
      <c r="J144" s="11" t="s">
        <v>452</v>
      </c>
      <c r="K144" s="11"/>
      <c r="L144" s="9"/>
      <c r="M144" s="11" t="str">
        <f t="shared" si="8"/>
        <v/>
      </c>
      <c r="N144" s="11" t="s">
        <v>473</v>
      </c>
      <c r="O144" s="11" t="s">
        <v>473</v>
      </c>
      <c r="P144" s="11" t="s">
        <v>526</v>
      </c>
      <c r="Q144" s="11"/>
      <c r="R144" s="9"/>
      <c r="S144" s="9"/>
      <c r="T144" s="9"/>
      <c r="U144" s="11"/>
    </row>
    <row r="145" spans="1:21" ht="18.75" customHeight="1">
      <c r="A145" s="9" t="s">
        <v>46</v>
      </c>
      <c r="B145" s="9" t="str">
        <f t="shared" ca="1" si="7"/>
        <v>report_reason.report_reason_physical_name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207</v>
      </c>
      <c r="G145" s="11" t="s">
        <v>208</v>
      </c>
      <c r="H145" s="11" t="s">
        <v>71</v>
      </c>
      <c r="I145" s="11">
        <f>_xlfn.XLOOKUP(
    $H145,
    型とバイト数!$B$3:$B$54,
    型とバイト数!$E$3:$E$54,
    IF(LEFT($H145,7)="varchar",MID(H145,FIND("(",H145)+1,FIND(")",H145)-FIND("(",H145)-1)*8,
        IF(LEFT($H145,4)="char",MID(H145,FIND("(",H145)+1,FIND(")",H145)-FIND("(",H145)-1)*8,
            IF(LEFT($H145,3)="bit",MID(H145,FIND("(",H145)+1,FIND(")",H145)-FIND("(",H145)-1),"???")
        )
    )
)</f>
        <v>128</v>
      </c>
      <c r="J145" s="11"/>
      <c r="K145" s="11"/>
      <c r="L145" s="9"/>
      <c r="M145" s="11" t="str">
        <f t="shared" si="8"/>
        <v/>
      </c>
      <c r="N145" s="11" t="s">
        <v>465</v>
      </c>
      <c r="O145" s="11" t="s">
        <v>465</v>
      </c>
      <c r="P145" s="11"/>
      <c r="Q145" s="11"/>
      <c r="R145" s="9"/>
      <c r="S145" s="9"/>
      <c r="T145" s="9"/>
      <c r="U145" s="11" t="s">
        <v>495</v>
      </c>
    </row>
    <row r="146" spans="1:21" ht="18.75" customHeight="1">
      <c r="A146" s="9" t="s">
        <v>46</v>
      </c>
      <c r="B146" s="9" t="str">
        <f t="shared" ca="1" si="7"/>
        <v>report_reason.create_datetime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104</v>
      </c>
      <c r="G146" s="11" t="s">
        <v>105</v>
      </c>
      <c r="H146" s="11" t="s">
        <v>487</v>
      </c>
      <c r="I146" s="11">
        <f>_xlfn.XLOOKUP(
    $H146,
    型とバイト数!$B$3:$B$54,
    型とバイト数!$E$3:$E$54,
    IF(LEFT($H146,7)="varchar",MID(H146,FIND("(",H146)+1,FIND(")",H146)-FIND("(",H146)-1)*8,
        IF(LEFT($H146,4)="char",MID(H146,FIND("(",H146)+1,FIND(")",H146)-FIND("(",H146)-1)*8,
            IF(LEFT($H146,3)="bit",MID(H146,FIND("(",H146)+1,FIND(")",H146)-FIND("(",H146)-1),"???")
        )
    )
)</f>
        <v>64</v>
      </c>
      <c r="J146" s="11"/>
      <c r="K146" s="11"/>
      <c r="L146" s="9"/>
      <c r="M146" s="11" t="str">
        <f t="shared" si="8"/>
        <v/>
      </c>
      <c r="N146" s="11" t="s">
        <v>48</v>
      </c>
      <c r="O146" s="11"/>
      <c r="P146" s="11" t="s">
        <v>106</v>
      </c>
      <c r="Q146" s="11"/>
      <c r="R146" s="9"/>
      <c r="S146" s="9"/>
      <c r="T146" s="9"/>
      <c r="U146" s="11"/>
    </row>
    <row r="147" spans="1:21" ht="18.75" customHeight="1">
      <c r="A147" s="9" t="s">
        <v>46</v>
      </c>
      <c r="B147" s="9" t="str">
        <f t="shared" ca="1" si="7"/>
        <v>report_reason.create_user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107</v>
      </c>
      <c r="G147" s="11" t="s">
        <v>108</v>
      </c>
      <c r="H147" s="11" t="s">
        <v>65</v>
      </c>
      <c r="I147" s="11">
        <f>_xlfn.XLOOKUP(
    $H147,
    型とバイト数!$B$3:$B$54,
    型とバイト数!$E$3:$E$54,
    IF(LEFT($H147,7)="varchar",MID(H147,FIND("(",H147)+1,FIND(")",H147)-FIND("(",H147)-1)*8,
        IF(LEFT($H147,4)="char",MID(H147,FIND("(",H147)+1,FIND(")",H147)-FIND("(",H147)-1)*8,
            IF(LEFT($H147,3)="bit",MID(H147,FIND("(",H147)+1,FIND(")",H147)-FIND("(",H147)-1),"???")
        )
    )
)</f>
        <v>256</v>
      </c>
      <c r="J147" s="11"/>
      <c r="K147" s="11"/>
      <c r="L147" s="9"/>
      <c r="M147" s="11" t="str">
        <f t="shared" si="8"/>
        <v/>
      </c>
      <c r="N147" s="11" t="s">
        <v>48</v>
      </c>
      <c r="O147" s="11"/>
      <c r="P147" s="11" t="s">
        <v>109</v>
      </c>
      <c r="Q147" s="11"/>
      <c r="R147" s="9"/>
      <c r="S147" s="9"/>
      <c r="T147" s="9"/>
      <c r="U147" s="11" t="s">
        <v>110</v>
      </c>
    </row>
    <row r="148" spans="1:21" ht="18.75" customHeight="1">
      <c r="A148" s="9" t="s">
        <v>46</v>
      </c>
      <c r="B148" s="9" t="str">
        <f t="shared" ca="1" si="7"/>
        <v>report_reason.update_datetime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111</v>
      </c>
      <c r="G148" s="11" t="s">
        <v>112</v>
      </c>
      <c r="H148" s="11" t="s">
        <v>487</v>
      </c>
      <c r="I148" s="11">
        <f>_xlfn.XLOOKUP(
    $H148,
    型とバイト数!$B$3:$B$54,
    型とバイト数!$E$3:$E$54,
    IF(LEFT($H148,7)="varchar",MID(H148,FIND("(",H148)+1,FIND(")",H148)-FIND("(",H148)-1)*8,
        IF(LEFT($H148,4)="char",MID(H148,FIND("(",H148)+1,FIND(")",H148)-FIND("(",H148)-1)*8,
            IF(LEFT($H148,3)="bit",MID(H148,FIND("(",H148)+1,FIND(")",H148)-FIND("(",H148)-1),"???")
        )
    )
)</f>
        <v>64</v>
      </c>
      <c r="J148" s="11"/>
      <c r="K148" s="11"/>
      <c r="L148" s="9"/>
      <c r="M148" s="11" t="str">
        <f t="shared" si="8"/>
        <v/>
      </c>
      <c r="N148" s="11" t="s">
        <v>48</v>
      </c>
      <c r="O148" s="11"/>
      <c r="P148" s="11" t="s">
        <v>106</v>
      </c>
      <c r="Q148" s="11"/>
      <c r="R148" s="9"/>
      <c r="S148" s="9"/>
      <c r="T148" s="9"/>
      <c r="U148" s="11"/>
    </row>
    <row r="149" spans="1:21" ht="18.75" customHeight="1">
      <c r="A149" s="9" t="s">
        <v>46</v>
      </c>
      <c r="B149" s="9" t="str">
        <f t="shared" ca="1" si="7"/>
        <v>report_reason.update_user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113</v>
      </c>
      <c r="G149" s="11" t="s">
        <v>114</v>
      </c>
      <c r="H149" s="11" t="s">
        <v>65</v>
      </c>
      <c r="I149" s="11">
        <f>_xlfn.XLOOKUP(
    $H149,
    型とバイト数!$B$3:$B$54,
    型とバイト数!$E$3:$E$54,
    IF(LEFT($H149,7)="varchar",MID(H149,FIND("(",H149)+1,FIND(")",H149)-FIND("(",H149)-1)*8,
        IF(LEFT($H149,4)="char",MID(H149,FIND("(",H149)+1,FIND(")",H149)-FIND("(",H149)-1)*8,
            IF(LEFT($H149,3)="bit",MID(H149,FIND("(",H149)+1,FIND(")",H149)-FIND("(",H149)-1),"???")
        )
    )
)</f>
        <v>256</v>
      </c>
      <c r="J149" s="11"/>
      <c r="K149" s="11"/>
      <c r="L149" s="9"/>
      <c r="M149" s="11" t="str">
        <f t="shared" si="8"/>
        <v/>
      </c>
      <c r="N149" s="11" t="s">
        <v>48</v>
      </c>
      <c r="O149" s="11"/>
      <c r="P149" s="11" t="s">
        <v>109</v>
      </c>
      <c r="Q149" s="11"/>
      <c r="R149" s="9"/>
      <c r="S149" s="9"/>
      <c r="T149" s="9"/>
      <c r="U149" s="11" t="s">
        <v>110</v>
      </c>
    </row>
    <row r="150" spans="1:21" ht="18.75" customHeight="1">
      <c r="A150" s="9" t="s">
        <v>46</v>
      </c>
      <c r="B150" s="9" t="str">
        <f t="shared" ca="1" si="7"/>
        <v>report_reason.soft_delete_flag</v>
      </c>
      <c r="C150" s="10">
        <f t="shared" si="0"/>
        <v>149</v>
      </c>
      <c r="D150" s="11" t="str" cm="1">
        <f t="array" aca="1" ref="D150" ca="1">INDIRECT(ADDRESS(ROW()-1,COLUMN()))</f>
        <v>report_reason</v>
      </c>
      <c r="E150" s="11" t="str" cm="1">
        <f t="array" aca="1" ref="E150" ca="1">INDIRECT(ADDRESS(ROW()-1,COLUMN()))</f>
        <v>通報理由</v>
      </c>
      <c r="F150" s="11" t="s">
        <v>115</v>
      </c>
      <c r="G150" s="11" t="s">
        <v>116</v>
      </c>
      <c r="H150" s="11" t="s">
        <v>489</v>
      </c>
      <c r="I150" s="11">
        <f>_xlfn.XLOOKUP(
    $H150,
    型とバイト数!$B$3:$B$54,
    型とバイト数!$E$3:$E$54,
    IF(LEFT($H150,7)="varchar",MID(H150,FIND("(",H150)+1,FIND(")",H150)-FIND("(",H150)-1)*8,
        IF(LEFT($H150,4)="char",MID(H150,FIND("(",H150)+1,FIND(")",H150)-FIND("(",H150)-1)*8,
            IF(LEFT($H150,3)="bit",MID(H150,FIND("(",H150)+1,FIND(")",H150)-FIND("(",H150)-1),"???")
        )
    )
)</f>
        <v>8</v>
      </c>
      <c r="J150" s="11"/>
      <c r="K150" s="11"/>
      <c r="L150" s="9"/>
      <c r="M150" s="11" t="str">
        <f t="shared" si="8"/>
        <v/>
      </c>
      <c r="N150" s="11" t="s">
        <v>48</v>
      </c>
      <c r="O150" s="11"/>
      <c r="P150" s="11" t="b">
        <v>0</v>
      </c>
      <c r="Q150" s="11"/>
      <c r="R150" s="9"/>
      <c r="S150" s="9"/>
      <c r="T150" s="9"/>
      <c r="U150" s="11"/>
    </row>
    <row r="151" spans="1:21" ht="18.75" customHeight="1">
      <c r="A151" s="9" t="s">
        <v>46</v>
      </c>
      <c r="B151" s="9" t="str">
        <f t="shared" si="7"/>
        <v>users.users_sequence_id</v>
      </c>
      <c r="C151" s="10">
        <f t="shared" si="0"/>
        <v>150</v>
      </c>
      <c r="D151" s="11" t="s">
        <v>467</v>
      </c>
      <c r="E151" s="11" t="s">
        <v>215</v>
      </c>
      <c r="F151" s="11" t="str">
        <f>D151&amp;"_sequence_id"</f>
        <v>users_sequence_id</v>
      </c>
      <c r="G151" s="11" t="str">
        <f>E151&amp;"ID"</f>
        <v>ユーザーID</v>
      </c>
      <c r="H151" s="11" t="s">
        <v>527</v>
      </c>
      <c r="I151" s="11">
        <f>_xlfn.XLOOKUP(
    $H151,
    型とバイト数!$B$3:$B$54,
    型とバイト数!$E$3:$E$54,
    IF(LEFT($H151,7)="varchar",MID(H151,FIND("(",H151)+1,FIND(")",H151)-FIND("(",H151)-1)*8,
        IF(LEFT($H151,4)="char",MID(H151,FIND("(",H151)+1,FIND(")",H151)-FIND("(",H151)-1)*8,
            IF(LEFT($H151,3)="bit",MID(H151,FIND("(",H151)+1,FIND(")",H151)-FIND("(",H151)-1),"???")
        )
    )
)</f>
        <v>32</v>
      </c>
      <c r="J151" s="11" t="s">
        <v>452</v>
      </c>
      <c r="K151" s="11"/>
      <c r="L151" s="9"/>
      <c r="M151" s="11" t="str">
        <f t="shared" si="8"/>
        <v/>
      </c>
      <c r="N151" s="11" t="s">
        <v>473</v>
      </c>
      <c r="O151" s="11" t="s">
        <v>473</v>
      </c>
      <c r="P151" s="11" t="s">
        <v>526</v>
      </c>
      <c r="Q151" s="11"/>
      <c r="R151" s="9"/>
      <c r="S151" s="9"/>
      <c r="T151" s="9"/>
      <c r="U151" s="11"/>
    </row>
    <row r="152" spans="1:21" ht="18.75" customHeight="1">
      <c r="A152" s="9" t="s">
        <v>46</v>
      </c>
      <c r="B152" s="9" t="str">
        <f t="shared" ca="1" si="7"/>
        <v>users.user_id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544</v>
      </c>
      <c r="G152" s="11" t="s">
        <v>54</v>
      </c>
      <c r="H152" s="11" t="s">
        <v>51</v>
      </c>
      <c r="I152" s="11">
        <f>_xlfn.XLOOKUP(
    $H152,
    型とバイト数!$B$3:$B$54,
    型とバイト数!$E$3:$E$54,
    IF(LEFT($H152,7)="varchar",MID(H152,FIND("(",H152)+1,FIND(")",H152)-FIND("(",H152)-1)*8,
        IF(LEFT($H152,4)="char",MID(H152,FIND("(",H152)+1,FIND(")",H152)-FIND("(",H152)-1)*8,
            IF(LEFT($H152,3)="bit",MID(H152,FIND("(",H152)+1,FIND(")",H152)-FIND("(",H152)-1),"???")
        )
    )
)</f>
        <v>64</v>
      </c>
      <c r="J152" s="11"/>
      <c r="K152" s="11"/>
      <c r="L152" s="9"/>
      <c r="M152" s="11" t="str">
        <f t="shared" si="8"/>
        <v/>
      </c>
      <c r="N152" s="11" t="s">
        <v>465</v>
      </c>
      <c r="O152" s="11" t="s">
        <v>465</v>
      </c>
      <c r="P152" s="11" t="s">
        <v>52</v>
      </c>
      <c r="Q152" s="11"/>
      <c r="R152" s="9"/>
      <c r="S152" s="9"/>
      <c r="T152" s="9"/>
      <c r="U152" s="11"/>
    </row>
    <row r="153" spans="1:21" ht="18.75" customHeight="1">
      <c r="A153" s="9" t="s">
        <v>46</v>
      </c>
      <c r="B153" s="9" t="str">
        <f t="shared" ca="1" si="7"/>
        <v>users.user_name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141</v>
      </c>
      <c r="G153" s="11" t="s">
        <v>142</v>
      </c>
      <c r="H153" s="11" t="s">
        <v>62</v>
      </c>
      <c r="I153" s="11">
        <f>_xlfn.XLOOKUP(
    $H153,
    型とバイト数!$B$3:$B$54,
    型とバイト数!$E$3:$E$54,
    IF(LEFT($H153,7)="varchar",MID(H153,FIND("(",H153)+1,FIND(")",H153)-FIND("(",H153)-1)*8,
        IF(LEFT($H153,4)="char",MID(H153,FIND("(",H153)+1,FIND(")",H153)-FIND("(",H153)-1)*8,
            IF(LEFT($H153,3)="bit",MID(H153,FIND("(",H153)+1,FIND(")",H153)-FIND("(",H153)-1),"???")
        )
    )
)</f>
        <v>512</v>
      </c>
      <c r="J153" s="11"/>
      <c r="K153" s="11"/>
      <c r="L153" s="9"/>
      <c r="M153" s="11" t="str">
        <f t="shared" si="8"/>
        <v/>
      </c>
      <c r="N153" s="11"/>
      <c r="O153" s="11"/>
      <c r="P153" s="11"/>
      <c r="Q153" s="11"/>
      <c r="R153" s="9"/>
      <c r="S153" s="9"/>
      <c r="T153" s="9"/>
      <c r="U153" s="11"/>
    </row>
    <row r="154" spans="1:21" ht="18.75" customHeight="1">
      <c r="A154" s="9" t="s">
        <v>46</v>
      </c>
      <c r="B154" s="9" t="str">
        <f t="shared" ca="1" si="7"/>
        <v>users.user_role_physical_name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216</v>
      </c>
      <c r="G154" s="11" t="s">
        <v>217</v>
      </c>
      <c r="H154" s="11" t="s">
        <v>99</v>
      </c>
      <c r="I154" s="11">
        <f>_xlfn.XLOOKUP(
    $H154,
    型とバイト数!$B$3:$B$54,
    型とバイト数!$E$3:$E$54,
    IF(LEFT($H154,7)="varchar",MID(H154,FIND("(",H154)+1,FIND(")",H154)-FIND("(",H154)-1)*8,
        IF(LEFT($H154,4)="char",MID(H154,FIND("(",H154)+1,FIND(")",H154)-FIND("(",H154)-1)*8,
            IF(LEFT($H154,3)="bit",MID(H154,FIND("(",H154)+1,FIND(")",H154)-FIND("(",H154)-1),"???")
        )
    )
)</f>
        <v>32</v>
      </c>
      <c r="J154" s="11"/>
      <c r="K154" s="11" t="s">
        <v>48</v>
      </c>
      <c r="L154" s="9" t="s">
        <v>541</v>
      </c>
      <c r="M154" s="11">
        <f t="shared" ca="1" si="8"/>
        <v>171</v>
      </c>
      <c r="N154" s="11"/>
      <c r="O154" s="11"/>
      <c r="P154" s="11"/>
      <c r="Q154" s="11" t="s">
        <v>551</v>
      </c>
      <c r="R154" s="9"/>
      <c r="S154" s="9"/>
      <c r="T154" s="9"/>
      <c r="U154" s="11"/>
    </row>
    <row r="155" spans="1:21" ht="18.75" customHeight="1">
      <c r="A155" s="9" t="s">
        <v>46</v>
      </c>
      <c r="B155" s="9" t="str">
        <f t="shared" ca="1" si="7"/>
        <v>users.user_name_hidden_flag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218</v>
      </c>
      <c r="G155" s="11" t="s">
        <v>219</v>
      </c>
      <c r="H155" s="11" t="s">
        <v>489</v>
      </c>
      <c r="I155" s="11">
        <f>_xlfn.XLOOKUP(
    $H155,
    型とバイト数!$B$3:$B$54,
    型とバイト数!$E$3:$E$54,
    IF(LEFT($H155,7)="varchar",MID(H155,FIND("(",H155)+1,FIND(")",H155)-FIND("(",H155)-1)*8,
        IF(LEFT($H155,4)="char",MID(H155,FIND("(",H155)+1,FIND(")",H155)-FIND("(",H155)-1)*8,
            IF(LEFT($H155,3)="bit",MID(H155,FIND("(",H155)+1,FIND(")",H155)-FIND("(",H155)-1),"???")
        )
    )
)</f>
        <v>8</v>
      </c>
      <c r="J155" s="11"/>
      <c r="K155" s="11"/>
      <c r="L155" s="9"/>
      <c r="M155" s="11" t="str">
        <f t="shared" si="8"/>
        <v/>
      </c>
      <c r="N155" s="11" t="s">
        <v>48</v>
      </c>
      <c r="O155" s="11"/>
      <c r="P155" s="11" t="b">
        <v>0</v>
      </c>
      <c r="Q155" s="11" t="s">
        <v>220</v>
      </c>
      <c r="R155" s="9"/>
      <c r="S155" s="9"/>
      <c r="T155" s="9"/>
      <c r="U155" s="11"/>
    </row>
    <row r="156" spans="1:21" ht="18.75" customHeight="1">
      <c r="A156" s="9" t="s">
        <v>46</v>
      </c>
      <c r="B156" s="9" t="str">
        <f t="shared" ca="1" si="7"/>
        <v>users.login_service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221</v>
      </c>
      <c r="G156" s="11" t="s">
        <v>222</v>
      </c>
      <c r="H156" s="11" t="s">
        <v>99</v>
      </c>
      <c r="I156" s="11">
        <f>_xlfn.XLOOKUP(
    $H156,
    型とバイト数!$B$3:$B$54,
    型とバイト数!$E$3:$E$54,
    IF(LEFT($H156,7)="varchar",MID(H156,FIND("(",H156)+1,FIND(")",H156)-FIND("(",H156)-1)*8,
        IF(LEFT($H156,4)="char",MID(H156,FIND("(",H156)+1,FIND(")",H156)-FIND("(",H156)-1)*8,
            IF(LEFT($H156,3)="bit",MID(H156,FIND("(",H156)+1,FIND(")",H156)-FIND("(",H156)-1),"???")
        )
    )
)</f>
        <v>32</v>
      </c>
      <c r="J156" s="11"/>
      <c r="K156" s="11" t="s">
        <v>48</v>
      </c>
      <c r="L156" s="9" t="s">
        <v>534</v>
      </c>
      <c r="M156" s="11">
        <f t="shared" ca="1" si="8"/>
        <v>122</v>
      </c>
      <c r="N156" s="11"/>
      <c r="O156" s="11"/>
      <c r="P156" s="11"/>
      <c r="Q156" s="11" t="s">
        <v>551</v>
      </c>
      <c r="R156" s="9"/>
      <c r="S156" s="9"/>
      <c r="T156" s="9"/>
      <c r="U156" s="11"/>
    </row>
    <row r="157" spans="1:21" ht="18.75" customHeight="1">
      <c r="A157" s="9" t="s">
        <v>46</v>
      </c>
      <c r="B157" s="9" t="str">
        <f t="shared" ca="1" si="7"/>
        <v>users.register_date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223</v>
      </c>
      <c r="G157" s="11" t="s">
        <v>224</v>
      </c>
      <c r="H157" s="11" t="s">
        <v>487</v>
      </c>
      <c r="I157" s="11">
        <f>_xlfn.XLOOKUP(
    $H157,
    型とバイト数!$B$3:$B$54,
    型とバイト数!$E$3:$E$54,
    IF(LEFT($H157,7)="varchar",MID(H157,FIND("(",H157)+1,FIND(")",H157)-FIND("(",H157)-1)*8,
        IF(LEFT($H157,4)="char",MID(H157,FIND("(",H157)+1,FIND(")",H157)-FIND("(",H157)-1)*8,
            IF(LEFT($H157,3)="bit",MID(H157,FIND("(",H157)+1,FIND(")",H157)-FIND("(",H157)-1),"???")
        )
    )
)</f>
        <v>64</v>
      </c>
      <c r="J157" s="11"/>
      <c r="K157" s="11"/>
      <c r="L157" s="9"/>
      <c r="M157" s="11" t="str">
        <f t="shared" si="8"/>
        <v/>
      </c>
      <c r="N157" s="11" t="s">
        <v>48</v>
      </c>
      <c r="O157" s="11"/>
      <c r="P157" s="11" t="s">
        <v>106</v>
      </c>
      <c r="Q157" s="11"/>
      <c r="R157" s="9"/>
      <c r="S157" s="9"/>
      <c r="T157" s="9"/>
      <c r="U157" s="11"/>
    </row>
    <row r="158" spans="1:21" ht="18.75" customHeight="1">
      <c r="A158" s="9" t="s">
        <v>46</v>
      </c>
      <c r="B158" s="9" t="str">
        <f t="shared" ca="1" si="7"/>
        <v>users.disp_theme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225</v>
      </c>
      <c r="G158" s="11" t="s">
        <v>226</v>
      </c>
      <c r="H158" s="11" t="s">
        <v>99</v>
      </c>
      <c r="I158" s="11">
        <f>_xlfn.XLOOKUP(
    $H158,
    型とバイト数!$B$3:$B$54,
    型とバイト数!$E$3:$E$54,
    IF(LEFT($H158,7)="varchar",MID(H158,FIND("(",H158)+1,FIND(")",H158)-FIND("(",H158)-1)*8,
        IF(LEFT($H158,4)="char",MID(H158,FIND("(",H158)+1,FIND(")",H158)-FIND("(",H158)-1)*8,
            IF(LEFT($H158,3)="bit",MID(H158,FIND("(",H158)+1,FIND(")",H158)-FIND("(",H158)-1),"???")
        )
    )
)</f>
        <v>32</v>
      </c>
      <c r="J158" s="11"/>
      <c r="K158" s="11" t="s">
        <v>48</v>
      </c>
      <c r="L158" s="9" t="s">
        <v>542</v>
      </c>
      <c r="M158" s="11">
        <f t="shared" ca="1" si="8"/>
        <v>164</v>
      </c>
      <c r="N158" s="11" t="s">
        <v>48</v>
      </c>
      <c r="O158" s="11"/>
      <c r="P158" s="11" t="s">
        <v>545</v>
      </c>
      <c r="Q158" s="11" t="s">
        <v>551</v>
      </c>
      <c r="R158" s="9"/>
      <c r="S158" s="9"/>
      <c r="T158" s="9"/>
      <c r="U158" s="11"/>
    </row>
    <row r="159" spans="1:21" ht="18.75" customHeight="1">
      <c r="A159" s="9" t="s">
        <v>46</v>
      </c>
      <c r="B159" s="9" t="str">
        <f t="shared" ca="1" si="7"/>
        <v>users.language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178</v>
      </c>
      <c r="G159" s="11" t="s">
        <v>179</v>
      </c>
      <c r="H159" s="11" t="s">
        <v>99</v>
      </c>
      <c r="I159" s="11">
        <f>_xlfn.XLOOKUP(
    $H159,
    型とバイト数!$B$3:$B$54,
    型とバイト数!$E$3:$E$54,
    IF(LEFT($H159,7)="varchar",MID(H159,FIND("(",H159)+1,FIND(")",H159)-FIND("(",H159)-1)*8,
        IF(LEFT($H159,4)="char",MID(H159,FIND("(",H159)+1,FIND(")",H159)-FIND("(",H159)-1)*8,
            IF(LEFT($H159,3)="bit",MID(H159,FIND("(",H159)+1,FIND(")",H159)-FIND("(",H159)-1),"???")
        )
    )
)</f>
        <v>32</v>
      </c>
      <c r="J159" s="11"/>
      <c r="K159" s="11" t="s">
        <v>48</v>
      </c>
      <c r="L159" s="9" t="s">
        <v>538</v>
      </c>
      <c r="M159" s="11">
        <f t="shared" ca="1" si="8"/>
        <v>103</v>
      </c>
      <c r="N159" s="11" t="s">
        <v>48</v>
      </c>
      <c r="O159" s="11"/>
      <c r="P159" s="11" t="s">
        <v>546</v>
      </c>
      <c r="Q159" s="11" t="s">
        <v>551</v>
      </c>
      <c r="R159" s="9"/>
      <c r="S159" s="9"/>
      <c r="T159" s="9"/>
      <c r="U159" s="11"/>
    </row>
    <row r="160" spans="1:21" ht="18.75" customHeight="1">
      <c r="A160" s="9" t="s">
        <v>46</v>
      </c>
      <c r="B160" s="9" t="str">
        <f t="shared" ca="1" si="7"/>
        <v>users.create_datetime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104</v>
      </c>
      <c r="G160" s="11" t="s">
        <v>105</v>
      </c>
      <c r="H160" s="11" t="s">
        <v>487</v>
      </c>
      <c r="I160" s="11">
        <f>_xlfn.XLOOKUP(
    $H160,
    型とバイト数!$B$3:$B$54,
    型とバイト数!$E$3:$E$54,
    IF(LEFT($H160,7)="varchar",MID(H160,FIND("(",H160)+1,FIND(")",H160)-FIND("(",H160)-1)*8,
        IF(LEFT($H160,4)="char",MID(H160,FIND("(",H160)+1,FIND(")",H160)-FIND("(",H160)-1)*8,
            IF(LEFT($H160,3)="bit",MID(H160,FIND("(",H160)+1,FIND(")",H160)-FIND("(",H160)-1),"???")
        )
    )
)</f>
        <v>64</v>
      </c>
      <c r="J160" s="11"/>
      <c r="K160" s="11"/>
      <c r="L160" s="9"/>
      <c r="M160" s="11" t="str">
        <f t="shared" si="8"/>
        <v/>
      </c>
      <c r="N160" s="11" t="s">
        <v>48</v>
      </c>
      <c r="O160" s="11"/>
      <c r="P160" s="11" t="s">
        <v>106</v>
      </c>
      <c r="Q160" s="11"/>
      <c r="R160" s="9"/>
      <c r="S160" s="9"/>
      <c r="T160" s="9"/>
      <c r="U160" s="11"/>
    </row>
    <row r="161" spans="1:21" ht="18.75" customHeight="1">
      <c r="A161" s="9" t="s">
        <v>46</v>
      </c>
      <c r="B161" s="9" t="str">
        <f t="shared" ca="1" si="7"/>
        <v>users.create_user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107</v>
      </c>
      <c r="G161" s="11" t="s">
        <v>108</v>
      </c>
      <c r="H161" s="11" t="s">
        <v>65</v>
      </c>
      <c r="I161" s="11">
        <f>_xlfn.XLOOKUP(
    $H161,
    型とバイト数!$B$3:$B$54,
    型とバイト数!$E$3:$E$54,
    IF(LEFT($H161,7)="varchar",MID(H161,FIND("(",H161)+1,FIND(")",H161)-FIND("(",H161)-1)*8,
        IF(LEFT($H161,4)="char",MID(H161,FIND("(",H161)+1,FIND(")",H161)-FIND("(",H161)-1)*8,
            IF(LEFT($H161,3)="bit",MID(H161,FIND("(",H161)+1,FIND(")",H161)-FIND("(",H161)-1),"???")
        )
    )
)</f>
        <v>256</v>
      </c>
      <c r="J161" s="11"/>
      <c r="K161" s="11"/>
      <c r="L161" s="9"/>
      <c r="M161" s="11" t="str">
        <f t="shared" si="8"/>
        <v/>
      </c>
      <c r="N161" s="11" t="s">
        <v>48</v>
      </c>
      <c r="O161" s="11"/>
      <c r="P161" s="11" t="s">
        <v>109</v>
      </c>
      <c r="Q161" s="11"/>
      <c r="R161" s="9"/>
      <c r="S161" s="9"/>
      <c r="T161" s="9"/>
      <c r="U161" s="11" t="s">
        <v>110</v>
      </c>
    </row>
    <row r="162" spans="1:21" ht="18.75" customHeight="1">
      <c r="A162" s="9" t="s">
        <v>46</v>
      </c>
      <c r="B162" s="9" t="str">
        <f t="shared" ca="1" si="7"/>
        <v>users.update_datetime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111</v>
      </c>
      <c r="G162" s="11" t="s">
        <v>112</v>
      </c>
      <c r="H162" s="11" t="s">
        <v>487</v>
      </c>
      <c r="I162" s="11">
        <f>_xlfn.XLOOKUP(
    $H162,
    型とバイト数!$B$3:$B$54,
    型とバイト数!$E$3:$E$54,
    IF(LEFT($H162,7)="varchar",MID(H162,FIND("(",H162)+1,FIND(")",H162)-FIND("(",H162)-1)*8,
        IF(LEFT($H162,4)="char",MID(H162,FIND("(",H162)+1,FIND(")",H162)-FIND("(",H162)-1)*8,
            IF(LEFT($H162,3)="bit",MID(H162,FIND("(",H162)+1,FIND(")",H162)-FIND("(",H162)-1),"???")
        )
    )
)</f>
        <v>64</v>
      </c>
      <c r="J162" s="11"/>
      <c r="K162" s="11"/>
      <c r="L162" s="9"/>
      <c r="M162" s="11" t="str">
        <f t="shared" si="8"/>
        <v/>
      </c>
      <c r="N162" s="11" t="s">
        <v>48</v>
      </c>
      <c r="O162" s="11"/>
      <c r="P162" s="11" t="s">
        <v>106</v>
      </c>
      <c r="Q162" s="11"/>
      <c r="R162" s="9"/>
      <c r="S162" s="9"/>
      <c r="T162" s="9"/>
      <c r="U162" s="11"/>
    </row>
    <row r="163" spans="1:21" ht="18.75" customHeight="1">
      <c r="A163" s="9" t="s">
        <v>46</v>
      </c>
      <c r="B163" s="9" t="str">
        <f t="shared" ca="1" si="7"/>
        <v>users.update_user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113</v>
      </c>
      <c r="G163" s="11" t="s">
        <v>114</v>
      </c>
      <c r="H163" s="11" t="s">
        <v>65</v>
      </c>
      <c r="I163" s="11">
        <f>_xlfn.XLOOKUP(
    $H163,
    型とバイト数!$B$3:$B$54,
    型とバイト数!$E$3:$E$54,
    IF(LEFT($H163,7)="varchar",MID(H163,FIND("(",H163)+1,FIND(")",H163)-FIND("(",H163)-1)*8,
        IF(LEFT($H163,4)="char",MID(H163,FIND("(",H163)+1,FIND(")",H163)-FIND("(",H163)-1)*8,
            IF(LEFT($H163,3)="bit",MID(H163,FIND("(",H163)+1,FIND(")",H163)-FIND("(",H163)-1),"???")
        )
    )
)</f>
        <v>256</v>
      </c>
      <c r="J163" s="11"/>
      <c r="K163" s="11"/>
      <c r="L163" s="9"/>
      <c r="M163" s="11" t="str">
        <f t="shared" si="8"/>
        <v/>
      </c>
      <c r="N163" s="11" t="s">
        <v>48</v>
      </c>
      <c r="O163" s="11"/>
      <c r="P163" s="11" t="s">
        <v>109</v>
      </c>
      <c r="Q163" s="11"/>
      <c r="R163" s="9"/>
      <c r="S163" s="9"/>
      <c r="T163" s="9"/>
      <c r="U163" s="11" t="s">
        <v>110</v>
      </c>
    </row>
    <row r="164" spans="1:21" ht="18.75" customHeight="1">
      <c r="A164" s="9" t="s">
        <v>46</v>
      </c>
      <c r="B164" s="9" t="str">
        <f t="shared" ca="1" si="7"/>
        <v>users.soft_delete_flag</v>
      </c>
      <c r="C164" s="10">
        <f t="shared" si="0"/>
        <v>163</v>
      </c>
      <c r="D164" s="11" t="str" cm="1">
        <f t="array" aca="1" ref="D164" ca="1">INDIRECT(ADDRESS(ROW()-1,COLUMN()))</f>
        <v>users</v>
      </c>
      <c r="E164" s="11" t="str" cm="1">
        <f t="array" aca="1" ref="E164" ca="1">INDIRECT(ADDRESS(ROW()-1,COLUMN()))</f>
        <v>ユーザー</v>
      </c>
      <c r="F164" s="11" t="s">
        <v>115</v>
      </c>
      <c r="G164" s="11" t="s">
        <v>116</v>
      </c>
      <c r="H164" s="11" t="s">
        <v>489</v>
      </c>
      <c r="I164" s="11">
        <f>_xlfn.XLOOKUP(
    $H164,
    型とバイト数!$B$3:$B$54,
    型とバイト数!$E$3:$E$54,
    IF(LEFT($H164,7)="varchar",MID(H164,FIND("(",H164)+1,FIND(")",H164)-FIND("(",H164)-1)*8,
        IF(LEFT($H164,4)="char",MID(H164,FIND("(",H164)+1,FIND(")",H164)-FIND("(",H164)-1)*8,
            IF(LEFT($H164,3)="bit",MID(H164,FIND("(",H164)+1,FIND(")",H164)-FIND("(",H164)-1),"???")
        )
    )
)</f>
        <v>8</v>
      </c>
      <c r="J164" s="11"/>
      <c r="K164" s="11"/>
      <c r="L164" s="9"/>
      <c r="M164" s="11" t="str">
        <f t="shared" si="8"/>
        <v/>
      </c>
      <c r="N164" s="11" t="s">
        <v>48</v>
      </c>
      <c r="O164" s="11"/>
      <c r="P164" s="11" t="b">
        <v>0</v>
      </c>
      <c r="Q164" s="11"/>
      <c r="R164" s="9"/>
      <c r="S164" s="9"/>
      <c r="T164" s="9"/>
      <c r="U164" s="11"/>
    </row>
    <row r="165" spans="1:21" ht="18.75" customHeight="1">
      <c r="A165" s="9" t="s">
        <v>46</v>
      </c>
      <c r="B165" s="9" t="str">
        <f t="shared" si="7"/>
        <v>theme.theme_sequence_id</v>
      </c>
      <c r="C165" s="10">
        <f t="shared" si="0"/>
        <v>164</v>
      </c>
      <c r="D165" s="11" t="s">
        <v>227</v>
      </c>
      <c r="E165" s="11" t="s">
        <v>226</v>
      </c>
      <c r="F165" s="11" t="str">
        <f>D165&amp;"_sequence_id"</f>
        <v>theme_sequence_id</v>
      </c>
      <c r="G165" s="11" t="str">
        <f>E165&amp;"ID"</f>
        <v>画面テーマID</v>
      </c>
      <c r="H165" s="11" t="s">
        <v>527</v>
      </c>
      <c r="I165" s="11">
        <f>_xlfn.XLOOKUP(
    $H165,
    型とバイト数!$B$3:$B$54,
    型とバイト数!$E$3:$E$54,
    IF(LEFT($H165,7)="varchar",MID(H165,FIND("(",H165)+1,FIND(")",H165)-FIND("(",H165)-1)*8,
        IF(LEFT($H165,4)="char",MID(H165,FIND("(",H165)+1,FIND(")",H165)-FIND("(",H165)-1)*8,
            IF(LEFT($H165,3)="bit",MID(H165,FIND("(",H165)+1,FIND(")",H165)-FIND("(",H165)-1),"???")
        )
    )
)</f>
        <v>32</v>
      </c>
      <c r="J165" s="11" t="s">
        <v>452</v>
      </c>
      <c r="K165" s="11"/>
      <c r="L165" s="9"/>
      <c r="M165" s="11" t="str">
        <f t="shared" si="8"/>
        <v/>
      </c>
      <c r="N165" s="11" t="s">
        <v>473</v>
      </c>
      <c r="O165" s="11" t="s">
        <v>473</v>
      </c>
      <c r="P165" s="11" t="s">
        <v>526</v>
      </c>
      <c r="Q165" s="11"/>
      <c r="R165" s="9"/>
      <c r="S165" s="9"/>
      <c r="T165" s="9"/>
      <c r="U165" s="11"/>
    </row>
    <row r="166" spans="1:21" ht="18.75" customHeight="1">
      <c r="A166" s="9" t="s">
        <v>46</v>
      </c>
      <c r="B166" s="9" t="str">
        <f t="shared" ca="1" si="7"/>
        <v>theme.theme_physical_name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228</v>
      </c>
      <c r="G166" s="11" t="s">
        <v>229</v>
      </c>
      <c r="H166" s="11" t="s">
        <v>71</v>
      </c>
      <c r="I166" s="11">
        <f>_xlfn.XLOOKUP(
    $H166,
    型とバイト数!$B$3:$B$54,
    型とバイト数!$E$3:$E$54,
    IF(LEFT($H166,7)="varchar",MID(H166,FIND("(",H166)+1,FIND(")",H166)-FIND("(",H166)-1)*8,
        IF(LEFT($H166,4)="char",MID(H166,FIND("(",H166)+1,FIND(")",H166)-FIND("(",H166)-1)*8,
            IF(LEFT($H166,3)="bit",MID(H166,FIND("(",H166)+1,FIND(")",H166)-FIND("(",H166)-1),"???")
        )
    )
)</f>
        <v>128</v>
      </c>
      <c r="J166" s="11"/>
      <c r="K166" s="11"/>
      <c r="L166" s="9"/>
      <c r="M166" s="11" t="str">
        <f t="shared" si="8"/>
        <v/>
      </c>
      <c r="N166" s="11" t="s">
        <v>465</v>
      </c>
      <c r="O166" s="11" t="s">
        <v>465</v>
      </c>
      <c r="P166" s="11"/>
      <c r="Q166" s="11"/>
      <c r="R166" s="9"/>
      <c r="S166" s="9"/>
      <c r="T166" s="9"/>
      <c r="U166" s="11" t="s">
        <v>495</v>
      </c>
    </row>
    <row r="167" spans="1:21" ht="18.75" customHeight="1">
      <c r="A167" s="9" t="s">
        <v>46</v>
      </c>
      <c r="B167" s="9" t="str">
        <f t="shared" ca="1" si="7"/>
        <v>theme.create_datetime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104</v>
      </c>
      <c r="G167" s="11" t="s">
        <v>105</v>
      </c>
      <c r="H167" s="11" t="s">
        <v>487</v>
      </c>
      <c r="I167" s="11">
        <f>_xlfn.XLOOKUP(
    $H167,
    型とバイト数!$B$3:$B$54,
    型とバイト数!$E$3:$E$54,
    IF(LEFT($H167,7)="varchar",MID(H167,FIND("(",H167)+1,FIND(")",H167)-FIND("(",H167)-1)*8,
        IF(LEFT($H167,4)="char",MID(H167,FIND("(",H167)+1,FIND(")",H167)-FIND("(",H167)-1)*8,
            IF(LEFT($H167,3)="bit",MID(H167,FIND("(",H167)+1,FIND(")",H167)-FIND("(",H167)-1),"???")
        )
    )
)</f>
        <v>64</v>
      </c>
      <c r="J167" s="11"/>
      <c r="K167" s="11"/>
      <c r="L167" s="9"/>
      <c r="M167" s="11" t="str">
        <f t="shared" si="8"/>
        <v/>
      </c>
      <c r="N167" s="11" t="s">
        <v>48</v>
      </c>
      <c r="O167" s="11"/>
      <c r="P167" s="11" t="s">
        <v>106</v>
      </c>
      <c r="Q167" s="11"/>
      <c r="R167" s="9"/>
      <c r="S167" s="9"/>
      <c r="T167" s="9"/>
      <c r="U167" s="11"/>
    </row>
    <row r="168" spans="1:21" ht="18.75" customHeight="1">
      <c r="A168" s="9" t="s">
        <v>46</v>
      </c>
      <c r="B168" s="9" t="str">
        <f t="shared" ca="1" si="7"/>
        <v>theme.create_user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107</v>
      </c>
      <c r="G168" s="11" t="s">
        <v>108</v>
      </c>
      <c r="H168" s="11" t="s">
        <v>65</v>
      </c>
      <c r="I168" s="11">
        <f>_xlfn.XLOOKUP(
    $H168,
    型とバイト数!$B$3:$B$54,
    型とバイト数!$E$3:$E$54,
    IF(LEFT($H168,7)="varchar",MID(H168,FIND("(",H168)+1,FIND(")",H168)-FIND("(",H168)-1)*8,
        IF(LEFT($H168,4)="char",MID(H168,FIND("(",H168)+1,FIND(")",H168)-FIND("(",H168)-1)*8,
            IF(LEFT($H168,3)="bit",MID(H168,FIND("(",H168)+1,FIND(")",H168)-FIND("(",H168)-1),"???")
        )
    )
)</f>
        <v>256</v>
      </c>
      <c r="J168" s="11"/>
      <c r="K168" s="11"/>
      <c r="L168" s="9"/>
      <c r="M168" s="11" t="str">
        <f t="shared" si="8"/>
        <v/>
      </c>
      <c r="N168" s="11" t="s">
        <v>48</v>
      </c>
      <c r="O168" s="11"/>
      <c r="P168" s="11" t="s">
        <v>109</v>
      </c>
      <c r="Q168" s="11"/>
      <c r="R168" s="9"/>
      <c r="S168" s="9"/>
      <c r="T168" s="9"/>
      <c r="U168" s="11" t="s">
        <v>110</v>
      </c>
    </row>
    <row r="169" spans="1:21" ht="18.75" customHeight="1">
      <c r="A169" s="9" t="s">
        <v>46</v>
      </c>
      <c r="B169" s="9" t="str">
        <f t="shared" ca="1" si="7"/>
        <v>theme.update_datetime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111</v>
      </c>
      <c r="G169" s="11" t="s">
        <v>112</v>
      </c>
      <c r="H169" s="11" t="s">
        <v>487</v>
      </c>
      <c r="I169" s="11">
        <f>_xlfn.XLOOKUP(
    $H169,
    型とバイト数!$B$3:$B$54,
    型とバイト数!$E$3:$E$54,
    IF(LEFT($H169,7)="varchar",MID(H169,FIND("(",H169)+1,FIND(")",H169)-FIND("(",H169)-1)*8,
        IF(LEFT($H169,4)="char",MID(H169,FIND("(",H169)+1,FIND(")",H169)-FIND("(",H169)-1)*8,
            IF(LEFT($H169,3)="bit",MID(H169,FIND("(",H169)+1,FIND(")",H169)-FIND("(",H169)-1),"???")
        )
    )
)</f>
        <v>64</v>
      </c>
      <c r="J169" s="11"/>
      <c r="K169" s="11"/>
      <c r="L169" s="9"/>
      <c r="M169" s="11" t="str">
        <f t="shared" si="8"/>
        <v/>
      </c>
      <c r="N169" s="11" t="s">
        <v>48</v>
      </c>
      <c r="O169" s="11"/>
      <c r="P169" s="11" t="s">
        <v>106</v>
      </c>
      <c r="Q169" s="11"/>
      <c r="R169" s="9"/>
      <c r="S169" s="9"/>
      <c r="T169" s="9"/>
      <c r="U169" s="11"/>
    </row>
    <row r="170" spans="1:21" ht="18.75" customHeight="1">
      <c r="A170" s="9" t="s">
        <v>46</v>
      </c>
      <c r="B170" s="9" t="str">
        <f t="shared" ca="1" si="7"/>
        <v>theme.update_user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113</v>
      </c>
      <c r="G170" s="11" t="s">
        <v>114</v>
      </c>
      <c r="H170" s="11" t="s">
        <v>65</v>
      </c>
      <c r="I170" s="11">
        <f>_xlfn.XLOOKUP(
    $H170,
    型とバイト数!$B$3:$B$54,
    型とバイト数!$E$3:$E$54,
    IF(LEFT($H170,7)="varchar",MID(H170,FIND("(",H170)+1,FIND(")",H170)-FIND("(",H170)-1)*8,
        IF(LEFT($H170,4)="char",MID(H170,FIND("(",H170)+1,FIND(")",H170)-FIND("(",H170)-1)*8,
            IF(LEFT($H170,3)="bit",MID(H170,FIND("(",H170)+1,FIND(")",H170)-FIND("(",H170)-1),"???")
        )
    )
)</f>
        <v>256</v>
      </c>
      <c r="J170" s="11"/>
      <c r="K170" s="11"/>
      <c r="L170" s="9"/>
      <c r="M170" s="11" t="str">
        <f t="shared" si="8"/>
        <v/>
      </c>
      <c r="N170" s="11" t="s">
        <v>48</v>
      </c>
      <c r="O170" s="11"/>
      <c r="P170" s="11" t="s">
        <v>109</v>
      </c>
      <c r="Q170" s="11"/>
      <c r="R170" s="9"/>
      <c r="S170" s="9"/>
      <c r="T170" s="9"/>
      <c r="U170" s="11" t="s">
        <v>110</v>
      </c>
    </row>
    <row r="171" spans="1:21" ht="18.75" customHeight="1">
      <c r="A171" s="9" t="s">
        <v>46</v>
      </c>
      <c r="B171" s="9" t="str">
        <f t="shared" ca="1" si="7"/>
        <v>theme.soft_delete_flag</v>
      </c>
      <c r="C171" s="10">
        <f t="shared" si="0"/>
        <v>170</v>
      </c>
      <c r="D171" s="11" t="str" cm="1">
        <f t="array" aca="1" ref="D171" ca="1">INDIRECT(ADDRESS(ROW()-1,COLUMN()))</f>
        <v>theme</v>
      </c>
      <c r="E171" s="11" t="str" cm="1">
        <f t="array" aca="1" ref="E171" ca="1">INDIRECT(ADDRESS(ROW()-1,COLUMN()))</f>
        <v>画面テーマ</v>
      </c>
      <c r="F171" s="11" t="s">
        <v>115</v>
      </c>
      <c r="G171" s="11" t="s">
        <v>116</v>
      </c>
      <c r="H171" s="11" t="s">
        <v>489</v>
      </c>
      <c r="I171" s="11">
        <f>_xlfn.XLOOKUP(
    $H171,
    型とバイト数!$B$3:$B$54,
    型とバイト数!$E$3:$E$54,
    IF(LEFT($H171,7)="varchar",MID(H171,FIND("(",H171)+1,FIND(")",H171)-FIND("(",H171)-1)*8,
        IF(LEFT($H171,4)="char",MID(H171,FIND("(",H171)+1,FIND(")",H171)-FIND("(",H171)-1)*8,
            IF(LEFT($H171,3)="bit",MID(H171,FIND("(",H171)+1,FIND(")",H171)-FIND("(",H171)-1),"???")
        )
    )
)</f>
        <v>8</v>
      </c>
      <c r="J171" s="11"/>
      <c r="K171" s="11"/>
      <c r="L171" s="9"/>
      <c r="M171" s="11" t="str">
        <f t="shared" si="8"/>
        <v/>
      </c>
      <c r="N171" s="11" t="s">
        <v>48</v>
      </c>
      <c r="O171" s="11"/>
      <c r="P171" s="11" t="b">
        <v>0</v>
      </c>
      <c r="Q171" s="11"/>
      <c r="R171" s="9"/>
      <c r="S171" s="9"/>
      <c r="T171" s="9"/>
      <c r="U171" s="11"/>
    </row>
    <row r="172" spans="1:21" ht="18.75" customHeight="1">
      <c r="A172" s="9" t="s">
        <v>46</v>
      </c>
      <c r="B172" s="9" t="str">
        <f t="shared" si="7"/>
        <v>user_role.user_role_sequence_id</v>
      </c>
      <c r="C172" s="10">
        <f t="shared" si="0"/>
        <v>171</v>
      </c>
      <c r="D172" s="11" t="s">
        <v>230</v>
      </c>
      <c r="E172" s="11" t="s">
        <v>231</v>
      </c>
      <c r="F172" s="11" t="str">
        <f>D172&amp;"_sequence_id"</f>
        <v>user_role_sequence_id</v>
      </c>
      <c r="G172" s="11" t="str">
        <f>E172&amp;"ID"</f>
        <v>ユーザー権限ID</v>
      </c>
      <c r="H172" s="11" t="s">
        <v>527</v>
      </c>
      <c r="I172" s="11">
        <f>_xlfn.XLOOKUP(
    $H172,
    型とバイト数!$B$3:$B$54,
    型とバイト数!$E$3:$E$54,
    IF(LEFT($H172,7)="varchar",MID(H172,FIND("(",H172)+1,FIND(")",H172)-FIND("(",H172)-1)*8,
        IF(LEFT($H172,4)="char",MID(H172,FIND("(",H172)+1,FIND(")",H172)-FIND("(",H172)-1)*8,
            IF(LEFT($H172,3)="bit",MID(H172,FIND("(",H172)+1,FIND(")",H172)-FIND("(",H172)-1),"???")
        )
    )
)</f>
        <v>32</v>
      </c>
      <c r="J172" s="11" t="s">
        <v>452</v>
      </c>
      <c r="K172" s="11"/>
      <c r="L172" s="9"/>
      <c r="M172" s="11" t="str">
        <f t="shared" si="8"/>
        <v/>
      </c>
      <c r="N172" s="11" t="s">
        <v>473</v>
      </c>
      <c r="O172" s="11" t="s">
        <v>473</v>
      </c>
      <c r="P172" s="11" t="s">
        <v>526</v>
      </c>
      <c r="Q172" s="11"/>
      <c r="R172" s="9"/>
      <c r="S172" s="9"/>
      <c r="T172" s="9"/>
      <c r="U172" s="11"/>
    </row>
    <row r="173" spans="1:21" ht="18.75" customHeight="1">
      <c r="A173" s="9" t="s">
        <v>46</v>
      </c>
      <c r="B173" s="9" t="str">
        <f t="shared" ca="1" si="7"/>
        <v>user_role.user_role_physical_name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216</v>
      </c>
      <c r="G173" s="11" t="s">
        <v>217</v>
      </c>
      <c r="H173" s="11" t="s">
        <v>51</v>
      </c>
      <c r="I173" s="11">
        <f>_xlfn.XLOOKUP(
    $H173,
    型とバイト数!$B$3:$B$54,
    型とバイト数!$E$3:$E$54,
    IF(LEFT($H173,7)="varchar",MID(H173,FIND("(",H173)+1,FIND(")",H173)-FIND("(",H173)-1)*8,
        IF(LEFT($H173,4)="char",MID(H173,FIND("(",H173)+1,FIND(")",H173)-FIND("(",H173)-1)*8,
            IF(LEFT($H173,3)="bit",MID(H173,FIND("(",H173)+1,FIND(")",H173)-FIND("(",H173)-1),"???")
        )
    )
)</f>
        <v>64</v>
      </c>
      <c r="J173" s="11"/>
      <c r="K173" s="11"/>
      <c r="L173" s="9"/>
      <c r="M173" s="11" t="str">
        <f t="shared" si="8"/>
        <v/>
      </c>
      <c r="N173" s="11" t="s">
        <v>465</v>
      </c>
      <c r="O173" s="11" t="s">
        <v>465</v>
      </c>
      <c r="P173" s="11"/>
      <c r="Q173" s="11"/>
      <c r="R173" s="9"/>
      <c r="S173" s="9"/>
      <c r="T173" s="9"/>
      <c r="U173" s="11" t="s">
        <v>495</v>
      </c>
    </row>
    <row r="174" spans="1:21" ht="18.75" customHeight="1">
      <c r="A174" s="9" t="s">
        <v>46</v>
      </c>
      <c r="B174" s="9" t="str">
        <f t="shared" ca="1" si="7"/>
        <v>user_role.create_datetime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104</v>
      </c>
      <c r="G174" s="11" t="s">
        <v>105</v>
      </c>
      <c r="H174" s="11" t="s">
        <v>487</v>
      </c>
      <c r="I174" s="11">
        <f>_xlfn.XLOOKUP(
    $H174,
    型とバイト数!$B$3:$B$54,
    型とバイト数!$E$3:$E$54,
    IF(LEFT($H174,7)="varchar",MID(H174,FIND("(",H174)+1,FIND(")",H174)-FIND("(",H174)-1)*8,
        IF(LEFT($H174,4)="char",MID(H174,FIND("(",H174)+1,FIND(")",H174)-FIND("(",H174)-1)*8,
            IF(LEFT($H174,3)="bit",MID(H174,FIND("(",H174)+1,FIND(")",H174)-FIND("(",H174)-1),"???")
        )
    )
)</f>
        <v>64</v>
      </c>
      <c r="J174" s="11"/>
      <c r="K174" s="11"/>
      <c r="L174" s="9"/>
      <c r="M174" s="11" t="str">
        <f t="shared" si="8"/>
        <v/>
      </c>
      <c r="N174" s="11" t="s">
        <v>48</v>
      </c>
      <c r="O174" s="11"/>
      <c r="P174" s="11" t="s">
        <v>106</v>
      </c>
      <c r="Q174" s="11"/>
      <c r="R174" s="9"/>
      <c r="S174" s="9"/>
      <c r="T174" s="9"/>
      <c r="U174" s="11"/>
    </row>
    <row r="175" spans="1:21" ht="18.75" customHeight="1">
      <c r="A175" s="9" t="s">
        <v>46</v>
      </c>
      <c r="B175" s="9" t="str">
        <f t="shared" ca="1" si="7"/>
        <v>user_role.create_user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107</v>
      </c>
      <c r="G175" s="11" t="s">
        <v>108</v>
      </c>
      <c r="H175" s="11" t="s">
        <v>65</v>
      </c>
      <c r="I175" s="11">
        <f>_xlfn.XLOOKUP(
    $H175,
    型とバイト数!$B$3:$B$54,
    型とバイト数!$E$3:$E$54,
    IF(LEFT($H175,7)="varchar",MID(H175,FIND("(",H175)+1,FIND(")",H175)-FIND("(",H175)-1)*8,
        IF(LEFT($H175,4)="char",MID(H175,FIND("(",H175)+1,FIND(")",H175)-FIND("(",H175)-1)*8,
            IF(LEFT($H175,3)="bit",MID(H175,FIND("(",H175)+1,FIND(")",H175)-FIND("(",H175)-1),"???")
        )
    )
)</f>
        <v>256</v>
      </c>
      <c r="J175" s="11"/>
      <c r="K175" s="11"/>
      <c r="L175" s="9"/>
      <c r="M175" s="11" t="str">
        <f t="shared" si="8"/>
        <v/>
      </c>
      <c r="N175" s="11" t="s">
        <v>48</v>
      </c>
      <c r="O175" s="11"/>
      <c r="P175" s="11" t="s">
        <v>109</v>
      </c>
      <c r="Q175" s="11"/>
      <c r="R175" s="9"/>
      <c r="S175" s="9"/>
      <c r="T175" s="9"/>
      <c r="U175" s="11" t="s">
        <v>110</v>
      </c>
    </row>
    <row r="176" spans="1:21" ht="18.75" customHeight="1">
      <c r="A176" s="9" t="s">
        <v>46</v>
      </c>
      <c r="B176" s="9" t="str">
        <f t="shared" ca="1" si="7"/>
        <v>user_role.update_datetime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111</v>
      </c>
      <c r="G176" s="11" t="s">
        <v>112</v>
      </c>
      <c r="H176" s="11" t="s">
        <v>487</v>
      </c>
      <c r="I176" s="11">
        <f>_xlfn.XLOOKUP(
    $H176,
    型とバイト数!$B$3:$B$54,
    型とバイト数!$E$3:$E$54,
    IF(LEFT($H176,7)="varchar",MID(H176,FIND("(",H176)+1,FIND(")",H176)-FIND("(",H176)-1)*8,
        IF(LEFT($H176,4)="char",MID(H176,FIND("(",H176)+1,FIND(")",H176)-FIND("(",H176)-1)*8,
            IF(LEFT($H176,3)="bit",MID(H176,FIND("(",H176)+1,FIND(")",H176)-FIND("(",H176)-1),"???")
        )
    )
)</f>
        <v>64</v>
      </c>
      <c r="J176" s="11"/>
      <c r="K176" s="11"/>
      <c r="L176" s="9"/>
      <c r="M176" s="11" t="str">
        <f t="shared" si="8"/>
        <v/>
      </c>
      <c r="N176" s="11" t="s">
        <v>48</v>
      </c>
      <c r="O176" s="11"/>
      <c r="P176" s="11" t="s">
        <v>106</v>
      </c>
      <c r="Q176" s="11"/>
      <c r="R176" s="9"/>
      <c r="S176" s="9"/>
      <c r="T176" s="9"/>
      <c r="U176" s="11"/>
    </row>
    <row r="177" spans="1:21" ht="18.75" customHeight="1">
      <c r="A177" s="9" t="s">
        <v>46</v>
      </c>
      <c r="B177" s="9" t="str">
        <f t="shared" ca="1" si="7"/>
        <v>user_role.update_user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113</v>
      </c>
      <c r="G177" s="11" t="s">
        <v>114</v>
      </c>
      <c r="H177" s="11" t="s">
        <v>65</v>
      </c>
      <c r="I177" s="11">
        <f>_xlfn.XLOOKUP(
    $H177,
    型とバイト数!$B$3:$B$54,
    型とバイト数!$E$3:$E$54,
    IF(LEFT($H177,7)="varchar",MID(H177,FIND("(",H177)+1,FIND(")",H177)-FIND("(",H177)-1)*8,
        IF(LEFT($H177,4)="char",MID(H177,FIND("(",H177)+1,FIND(")",H177)-FIND("(",H177)-1)*8,
            IF(LEFT($H177,3)="bit",MID(H177,FIND("(",H177)+1,FIND(")",H177)-FIND("(",H177)-1),"???")
        )
    )
)</f>
        <v>256</v>
      </c>
      <c r="J177" s="11"/>
      <c r="K177" s="11"/>
      <c r="L177" s="9"/>
      <c r="M177" s="11" t="str">
        <f t="shared" si="8"/>
        <v/>
      </c>
      <c r="N177" s="11" t="s">
        <v>48</v>
      </c>
      <c r="O177" s="11"/>
      <c r="P177" s="11" t="s">
        <v>109</v>
      </c>
      <c r="Q177" s="11"/>
      <c r="R177" s="9"/>
      <c r="S177" s="9"/>
      <c r="T177" s="9"/>
      <c r="U177" s="11" t="s">
        <v>110</v>
      </c>
    </row>
    <row r="178" spans="1:21" ht="18.75" customHeight="1">
      <c r="A178" s="9" t="s">
        <v>46</v>
      </c>
      <c r="B178" s="9" t="str">
        <f t="shared" ca="1" si="7"/>
        <v>user_role.soft_delete_flag</v>
      </c>
      <c r="C178" s="10">
        <f t="shared" si="0"/>
        <v>177</v>
      </c>
      <c r="D178" s="11" t="str" cm="1">
        <f t="array" aca="1" ref="D178" ca="1">INDIRECT(ADDRESS(ROW()-1,COLUMN()))</f>
        <v>user_role</v>
      </c>
      <c r="E178" s="11" t="str" cm="1">
        <f t="array" aca="1" ref="E178" ca="1">INDIRECT(ADDRESS(ROW()-1,COLUMN()))</f>
        <v>ユーザー権限</v>
      </c>
      <c r="F178" s="11" t="s">
        <v>115</v>
      </c>
      <c r="G178" s="11" t="s">
        <v>116</v>
      </c>
      <c r="H178" s="11" t="s">
        <v>489</v>
      </c>
      <c r="I178" s="11">
        <f>_xlfn.XLOOKUP(
    $H178,
    型とバイト数!$B$3:$B$54,
    型とバイト数!$E$3:$E$54,
    IF(LEFT($H178,7)="varchar",MID(H178,FIND("(",H178)+1,FIND(")",H178)-FIND("(",H178)-1)*8,
        IF(LEFT($H178,4)="char",MID(H178,FIND("(",H178)+1,FIND(")",H178)-FIND("(",H178)-1)*8,
            IF(LEFT($H178,3)="bit",MID(H178,FIND("(",H178)+1,FIND(")",H178)-FIND("(",H178)-1),"???")
        )
    )
)</f>
        <v>8</v>
      </c>
      <c r="J178" s="11"/>
      <c r="K178" s="11"/>
      <c r="L178" s="9"/>
      <c r="M178" s="11" t="str">
        <f t="shared" si="8"/>
        <v/>
      </c>
      <c r="N178" s="11" t="s">
        <v>48</v>
      </c>
      <c r="O178" s="11"/>
      <c r="P178" s="11" t="b">
        <v>0</v>
      </c>
      <c r="Q178" s="11"/>
      <c r="R178" s="9"/>
      <c r="S178" s="9"/>
      <c r="T178" s="9"/>
      <c r="U178" s="11"/>
    </row>
    <row r="179" spans="1:21" ht="18.75" customHeight="1">
      <c r="A179" s="9" t="s">
        <v>46</v>
      </c>
      <c r="B179" s="9" t="str">
        <f t="shared" si="7"/>
        <v>images_contents.images_contents_sequence_id</v>
      </c>
      <c r="C179" s="10">
        <f t="shared" si="0"/>
        <v>178</v>
      </c>
      <c r="D179" s="11" t="s">
        <v>470</v>
      </c>
      <c r="E179" s="11" t="s">
        <v>232</v>
      </c>
      <c r="F179" s="11" t="str">
        <f>D179&amp;"_sequence_id"</f>
        <v>images_contents_sequence_id</v>
      </c>
      <c r="G179" s="11" t="str">
        <f>E179&amp;"ID"</f>
        <v>画像(ユーザー投稿)ID</v>
      </c>
      <c r="H179" s="11" t="s">
        <v>527</v>
      </c>
      <c r="I179" s="11">
        <f>_xlfn.XLOOKUP(
    $H179,
    型とバイト数!$B$3:$B$54,
    型とバイト数!$E$3:$E$54,
    IF(LEFT($H179,7)="varchar",MID(H179,FIND("(",H179)+1,FIND(")",H179)-FIND("(",H179)-1)*8,
        IF(LEFT($H179,4)="char",MID(H179,FIND("(",H179)+1,FIND(")",H179)-FIND("(",H179)-1)*8,
            IF(LEFT($H179,3)="bit",MID(H179,FIND("(",H179)+1,FIND(")",H179)-FIND("(",H179)-1),"???")
        )
    )
)</f>
        <v>32</v>
      </c>
      <c r="J179" s="11" t="s">
        <v>452</v>
      </c>
      <c r="K179" s="11"/>
      <c r="L179" s="9"/>
      <c r="M179" s="11" t="str">
        <f t="shared" si="8"/>
        <v/>
      </c>
      <c r="N179" s="11" t="s">
        <v>473</v>
      </c>
      <c r="O179" s="11" t="s">
        <v>473</v>
      </c>
      <c r="P179" s="11" t="s">
        <v>526</v>
      </c>
      <c r="Q179" s="11"/>
      <c r="R179" s="9"/>
      <c r="S179" s="9"/>
      <c r="T179" s="9"/>
      <c r="U179" s="11"/>
    </row>
    <row r="180" spans="1:21" ht="18.75" customHeight="1">
      <c r="A180" s="9" t="s">
        <v>46</v>
      </c>
      <c r="B180" s="9" t="str">
        <f t="shared" ref="B180:B211" ca="1" si="9">D180&amp;"."&amp;F180</f>
        <v>images_contents.user_id</v>
      </c>
      <c r="C180" s="10">
        <f t="shared" si="0"/>
        <v>179</v>
      </c>
      <c r="D180" s="11" t="str" cm="1">
        <f t="array" aca="1" ref="D180" ca="1">INDIRECT(ADDRESS(ROW()-1,COLUMN()))</f>
        <v>images_contents</v>
      </c>
      <c r="E180" s="11" t="str" cm="1">
        <f t="array" aca="1" ref="E180" ca="1">INDIRECT(ADDRESS(ROW()-1,COLUMN()))</f>
        <v>画像(ユーザー投稿)</v>
      </c>
      <c r="F180" s="11" t="s">
        <v>53</v>
      </c>
      <c r="G180" s="11" t="s">
        <v>54</v>
      </c>
      <c r="H180" s="11" t="s">
        <v>99</v>
      </c>
      <c r="I180" s="11">
        <f>_xlfn.XLOOKUP(
    $H180,
    型とバイト数!$B$3:$B$54,
    型とバイト数!$E$3:$E$54,
    IF(LEFT($H180,7)="varchar",MID(H180,FIND("(",H180)+1,FIND(")",H180)-FIND("(",H180)-1)*8,
        IF(LEFT($H180,4)="char",MID(H180,FIND("(",H180)+1,FIND(")",H180)-FIND("(",H180)-1)*8,
            IF(LEFT($H180,3)="bit",MID(H180,FIND("(",H180)+1,FIND(")",H180)-FIND("(",H180)-1),"???")
        )
    )
)</f>
        <v>32</v>
      </c>
      <c r="J180" s="11"/>
      <c r="K180" s="11" t="s">
        <v>48</v>
      </c>
      <c r="L180" s="9" t="s">
        <v>530</v>
      </c>
      <c r="M180" s="11">
        <f t="shared" ca="1" si="8"/>
        <v>150</v>
      </c>
      <c r="N180" s="11" t="s">
        <v>48</v>
      </c>
      <c r="O180" s="11"/>
      <c r="P180" s="11"/>
      <c r="Q180" s="11" t="s">
        <v>551</v>
      </c>
      <c r="R180" s="9"/>
      <c r="S180" s="9"/>
      <c r="T180" s="9"/>
      <c r="U180" s="11"/>
    </row>
    <row r="181" spans="1:21" ht="18.75" customHeight="1">
      <c r="A181" s="9" t="s">
        <v>46</v>
      </c>
      <c r="B181" s="9" t="str">
        <f t="shared" ca="1" si="9"/>
        <v>images_contents.gcs_bucket</v>
      </c>
      <c r="C181" s="10">
        <f t="shared" si="0"/>
        <v>180</v>
      </c>
      <c r="D181" s="26" t="str" cm="1">
        <f t="array" aca="1" ref="D181" ca="1">INDIRECT(ADDRESS(ROW()-1,COLUMN()))</f>
        <v>images_contents</v>
      </c>
      <c r="E181" s="26" t="str" cm="1">
        <f t="array" aca="1" ref="E181" ca="1">INDIRECT(ADDRESS(ROW()-1,COLUMN()))</f>
        <v>画像(ユーザー投稿)</v>
      </c>
      <c r="F181" s="26" t="s">
        <v>233</v>
      </c>
      <c r="G181" s="26" t="s">
        <v>234</v>
      </c>
      <c r="H181" s="26" t="s">
        <v>235</v>
      </c>
      <c r="I181" s="26">
        <f>_xlfn.XLOOKUP(
    $H181,
    型とバイト数!$B$3:$B$54,
    型とバイト数!$E$3:$E$54,
    IF(LEFT($H181,7)="varchar",MID(H181,FIND("(",H181)+1,FIND(")",H181)-FIND("(",H181)-1)*8,
        IF(LEFT($H181,4)="char",MID(H181,FIND("(",H181)+1,FIND(")",H181)-FIND("(",H181)-1)*8,
            IF(LEFT($H181,3)="bit",MID(H181,FIND("(",H181)+1,FIND(")",H181)-FIND("(",H181)-1),"???")
        )
    )
)</f>
        <v>800</v>
      </c>
      <c r="J181" s="26"/>
      <c r="K181" s="26"/>
      <c r="L181" s="27"/>
      <c r="M181" s="26" t="str">
        <f t="shared" si="8"/>
        <v/>
      </c>
      <c r="N181" s="26" t="s">
        <v>48</v>
      </c>
      <c r="O181" s="26"/>
      <c r="P181" s="26"/>
      <c r="Q181" s="26"/>
      <c r="R181" s="27"/>
      <c r="S181" s="27"/>
      <c r="T181" s="27"/>
      <c r="U181" s="26" t="s">
        <v>617</v>
      </c>
    </row>
    <row r="182" spans="1:21" ht="18.75" customHeight="1">
      <c r="A182" s="9" t="s">
        <v>46</v>
      </c>
      <c r="B182" s="9" t="str">
        <f t="shared" ca="1" si="9"/>
        <v>images_contents.gcs_object_name</v>
      </c>
      <c r="C182" s="10">
        <f t="shared" si="0"/>
        <v>181</v>
      </c>
      <c r="D182" s="11" t="str" cm="1">
        <f t="array" aca="1" ref="D182" ca="1">INDIRECT(ADDRESS(ROW()-1,COLUMN()))</f>
        <v>images_contents</v>
      </c>
      <c r="E182" s="11" t="str" cm="1">
        <f t="array" aca="1" ref="E182" ca="1">INDIRECT(ADDRESS(ROW()-1,COLUMN()))</f>
        <v>画像(ユーザー投稿)</v>
      </c>
      <c r="F182" s="11" t="s">
        <v>236</v>
      </c>
      <c r="G182" s="11" t="s">
        <v>237</v>
      </c>
      <c r="H182" s="11" t="s">
        <v>238</v>
      </c>
      <c r="I182" s="11">
        <f>_xlfn.XLOOKUP(
    $H182,
    型とバイト数!$B$3:$B$54,
    型とバイト数!$E$3:$E$54,
    IF(LEFT($H182,7)="varchar",MID(H182,FIND("(",H182)+1,FIND(")",H182)-FIND("(",H182)-1)*8,
        IF(LEFT($H182,4)="char",MID(H182,FIND("(",H182)+1,FIND(")",H182)-FIND("(",H182)-1)*8,
            IF(LEFT($H182,3)="bit",MID(H182,FIND("(",H182)+1,FIND(")",H182)-FIND("(",H182)-1),"???")
        )
    )
)</f>
        <v>4096</v>
      </c>
      <c r="J182" s="11"/>
      <c r="K182" s="11"/>
      <c r="L182" s="9"/>
      <c r="M182" s="11" t="str">
        <f t="shared" si="8"/>
        <v/>
      </c>
      <c r="N182" s="11" t="s">
        <v>48</v>
      </c>
      <c r="O182" s="11"/>
      <c r="P182" s="11"/>
      <c r="Q182" s="11" t="s">
        <v>239</v>
      </c>
      <c r="R182" s="9"/>
      <c r="S182" s="9"/>
      <c r="T182" s="9"/>
      <c r="U182" s="11"/>
    </row>
    <row r="183" spans="1:21" ht="18.75" customHeight="1">
      <c r="A183" s="9" t="s">
        <v>46</v>
      </c>
      <c r="B183" s="9" t="str">
        <f t="shared" ca="1" si="9"/>
        <v>images_contents.cdn_url</v>
      </c>
      <c r="C183" s="10">
        <f t="shared" si="0"/>
        <v>182</v>
      </c>
      <c r="D183" s="26" t="str" cm="1">
        <f t="array" aca="1" ref="D183" ca="1">INDIRECT(ADDRESS(ROW()-1,COLUMN()))</f>
        <v>images_contents</v>
      </c>
      <c r="E183" s="26" t="str" cm="1">
        <f t="array" aca="1" ref="E183" ca="1">INDIRECT(ADDRESS(ROW()-1,COLUMN()))</f>
        <v>画像(ユーザー投稿)</v>
      </c>
      <c r="F183" s="26" t="s">
        <v>240</v>
      </c>
      <c r="G183" s="26" t="s">
        <v>241</v>
      </c>
      <c r="H183" s="26" t="s">
        <v>238</v>
      </c>
      <c r="I183" s="26">
        <f>_xlfn.XLOOKUP(
    $H183,
    型とバイト数!$B$3:$B$54,
    型とバイト数!$E$3:$E$54,
    IF(LEFT($H183,7)="varchar",MID(H183,FIND("(",H183)+1,FIND(")",H183)-FIND("(",H183)-1)*8,
        IF(LEFT($H183,4)="char",MID(H183,FIND("(",H183)+1,FIND(")",H183)-FIND("(",H183)-1)*8,
            IF(LEFT($H183,3)="bit",MID(H183,FIND("(",H183)+1,FIND(")",H183)-FIND("(",H183)-1),"???")
        )
    )
)</f>
        <v>4096</v>
      </c>
      <c r="J183" s="26"/>
      <c r="K183" s="26"/>
      <c r="L183" s="27"/>
      <c r="M183" s="26" t="str">
        <f t="shared" si="8"/>
        <v/>
      </c>
      <c r="N183" s="26"/>
      <c r="O183" s="26"/>
      <c r="P183" s="26"/>
      <c r="Q183" s="26" t="s">
        <v>242</v>
      </c>
      <c r="R183" s="27"/>
      <c r="S183" s="27"/>
      <c r="T183" s="27"/>
      <c r="U183" s="26" t="s">
        <v>617</v>
      </c>
    </row>
    <row r="184" spans="1:21" ht="18.75" customHeight="1">
      <c r="A184" s="9" t="s">
        <v>46</v>
      </c>
      <c r="B184" s="9" t="str">
        <f t="shared" ca="1" si="9"/>
        <v>images_contents.content_type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243</v>
      </c>
      <c r="G184" s="11" t="s">
        <v>244</v>
      </c>
      <c r="H184" s="11" t="s">
        <v>245</v>
      </c>
      <c r="I184" s="11">
        <f>_xlfn.XLOOKUP(
    $H184,
    型とバイト数!$B$3:$B$54,
    型とバイト数!$E$3:$E$54,
    IF(LEFT($H184,7)="varchar",MID(H184,FIND("(",H184)+1,FIND(")",H184)-FIND("(",H184)-1)*8,
        IF(LEFT($H184,4)="char",MID(H184,FIND("(",H184)+1,FIND(")",H184)-FIND("(",H184)-1)*8,
            IF(LEFT($H184,3)="bit",MID(H184,FIND("(",H184)+1,FIND(")",H184)-FIND("(",H184)-1),"???")
        )
    )
)</f>
        <v>400</v>
      </c>
      <c r="J184" s="11"/>
      <c r="K184" s="11"/>
      <c r="L184" s="9"/>
      <c r="M184" s="11" t="str">
        <f t="shared" si="8"/>
        <v/>
      </c>
      <c r="N184" s="11"/>
      <c r="O184" s="11"/>
      <c r="P184" s="11"/>
      <c r="Q184" s="11" t="s">
        <v>246</v>
      </c>
      <c r="R184" s="9"/>
      <c r="S184" s="9"/>
      <c r="T184" s="9"/>
      <c r="U184" s="11" t="s">
        <v>619</v>
      </c>
    </row>
    <row r="185" spans="1:21" ht="18.75" customHeight="1">
      <c r="A185" s="9" t="s">
        <v>46</v>
      </c>
      <c r="B185" s="9" t="str">
        <f t="shared" ca="1" si="9"/>
        <v>images_contents.width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247</v>
      </c>
      <c r="G185" s="11" t="s">
        <v>248</v>
      </c>
      <c r="H185" s="11" t="s">
        <v>99</v>
      </c>
      <c r="I185" s="11">
        <f>_xlfn.XLOOKUP(
    $H185,
    型とバイト数!$B$3:$B$54,
    型とバイト数!$E$3:$E$54,
    IF(LEFT($H185,7)="varchar",MID(H185,FIND("(",H185)+1,FIND(")",H185)-FIND("(",H185)-1)*8,
        IF(LEFT($H185,4)="char",MID(H185,FIND("(",H185)+1,FIND(")",H185)-FIND("(",H185)-1)*8,
            IF(LEFT($H185,3)="bit",MID(H185,FIND("(",H185)+1,FIND(")",H185)-FIND("(",H185)-1),"???")
        )
    )
)</f>
        <v>32</v>
      </c>
      <c r="J185" s="11"/>
      <c r="K185" s="11"/>
      <c r="L185" s="9"/>
      <c r="M185" s="11" t="str">
        <f t="shared" si="8"/>
        <v/>
      </c>
      <c r="N185" s="11"/>
      <c r="O185" s="11"/>
      <c r="P185" s="11"/>
      <c r="Q185" s="11"/>
      <c r="R185" s="9"/>
      <c r="S185" s="9"/>
      <c r="T185" s="9"/>
      <c r="U185" s="11" t="s">
        <v>619</v>
      </c>
    </row>
    <row r="186" spans="1:21" ht="18.75" customHeight="1">
      <c r="A186" s="9" t="s">
        <v>46</v>
      </c>
      <c r="B186" s="9" t="str">
        <f t="shared" ca="1" si="9"/>
        <v>images_contents.height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72</v>
      </c>
      <c r="G186" s="11" t="s">
        <v>249</v>
      </c>
      <c r="H186" s="11" t="s">
        <v>99</v>
      </c>
      <c r="I186" s="11">
        <f>_xlfn.XLOOKUP(
    $H186,
    型とバイト数!$B$3:$B$54,
    型とバイト数!$E$3:$E$54,
    IF(LEFT($H186,7)="varchar",MID(H186,FIND("(",H186)+1,FIND(")",H186)-FIND("(",H186)-1)*8,
        IF(LEFT($H186,4)="char",MID(H186,FIND("(",H186)+1,FIND(")",H186)-FIND("(",H186)-1)*8,
            IF(LEFT($H186,3)="bit",MID(H186,FIND("(",H186)+1,FIND(")",H186)-FIND("(",H186)-1),"???")
        )
    )
)</f>
        <v>32</v>
      </c>
      <c r="J186" s="11"/>
      <c r="K186" s="11"/>
      <c r="L186" s="9"/>
      <c r="M186" s="11" t="str">
        <f t="shared" si="8"/>
        <v/>
      </c>
      <c r="N186" s="11"/>
      <c r="O186" s="11"/>
      <c r="P186" s="11"/>
      <c r="Q186" s="11"/>
      <c r="R186" s="9"/>
      <c r="S186" s="9"/>
      <c r="T186" s="9"/>
      <c r="U186" s="11" t="s">
        <v>619</v>
      </c>
    </row>
    <row r="187" spans="1:21" ht="18.75" customHeight="1">
      <c r="A187" s="9" t="s">
        <v>46</v>
      </c>
      <c r="B187" s="9" t="str">
        <f t="shared" ca="1" si="9"/>
        <v>images_contents.file_size</v>
      </c>
      <c r="C187" s="10">
        <f t="shared" si="0"/>
        <v>186</v>
      </c>
      <c r="D187" s="11" t="str" cm="1">
        <f t="array" aca="1" ref="D187" ca="1">INDIRECT(ADDRESS(ROW()-1,COLUMN()))</f>
        <v>images_contents</v>
      </c>
      <c r="E187" s="11" t="str" cm="1">
        <f t="array" aca="1" ref="E187" ca="1">INDIRECT(ADDRESS(ROW()-1,COLUMN()))</f>
        <v>画像(ユーザー投稿)</v>
      </c>
      <c r="F187" s="11" t="s">
        <v>250</v>
      </c>
      <c r="G187" s="11" t="s">
        <v>251</v>
      </c>
      <c r="H187" s="11" t="s">
        <v>99</v>
      </c>
      <c r="I187" s="11">
        <f>_xlfn.XLOOKUP(
    $H187,
    型とバイト数!$B$3:$B$54,
    型とバイト数!$E$3:$E$54,
    IF(LEFT($H187,7)="varchar",MID(H187,FIND("(",H187)+1,FIND(")",H187)-FIND("(",H187)-1)*8,
        IF(LEFT($H187,4)="char",MID(H187,FIND("(",H187)+1,FIND(")",H187)-FIND("(",H187)-1)*8,
            IF(LEFT($H187,3)="bit",MID(H187,FIND("(",H187)+1,FIND(")",H187)-FIND("(",H187)-1),"???")
        )
    )
)</f>
        <v>32</v>
      </c>
      <c r="J187" s="11"/>
      <c r="K187" s="11"/>
      <c r="L187" s="9"/>
      <c r="M187" s="11" t="str">
        <f t="shared" si="8"/>
        <v/>
      </c>
      <c r="N187" s="11"/>
      <c r="O187" s="11"/>
      <c r="P187" s="11"/>
      <c r="Q187" s="11"/>
      <c r="R187" s="9"/>
      <c r="S187" s="9"/>
      <c r="T187" s="9"/>
      <c r="U187" s="11" t="s">
        <v>619</v>
      </c>
    </row>
    <row r="188" spans="1:21" ht="18.75" customHeight="1">
      <c r="A188" s="9" t="s">
        <v>46</v>
      </c>
      <c r="B188" s="9" t="str">
        <f t="shared" ca="1" si="9"/>
        <v>images_contents.alt_text</v>
      </c>
      <c r="C188" s="10">
        <f t="shared" si="0"/>
        <v>187</v>
      </c>
      <c r="D188" s="26" t="str" cm="1">
        <f t="array" aca="1" ref="D188" ca="1">INDIRECT(ADDRESS(ROW()-1,COLUMN()))</f>
        <v>images_contents</v>
      </c>
      <c r="E188" s="26" t="str" cm="1">
        <f t="array" aca="1" ref="E188" ca="1">INDIRECT(ADDRESS(ROW()-1,COLUMN()))</f>
        <v>画像(ユーザー投稿)</v>
      </c>
      <c r="F188" s="26" t="s">
        <v>252</v>
      </c>
      <c r="G188" s="26" t="s">
        <v>253</v>
      </c>
      <c r="H188" s="26" t="s">
        <v>162</v>
      </c>
      <c r="I188" s="26">
        <f>_xlfn.XLOOKUP(
    $H188,
    型とバイト数!$B$3:$B$54,
    型とバイト数!$E$3:$E$54,
    IF(LEFT($H188,7)="varchar",MID(H188,FIND("(",H188)+1,FIND(")",H188)-FIND("(",H188)-1)*8,
        IF(LEFT($H188,4)="char",MID(H188,FIND("(",H188)+1,FIND(")",H188)-FIND("(",H188)-1)*8,
            IF(LEFT($H188,3)="bit",MID(H188,FIND("(",H188)+1,FIND(")",H188)-FIND("(",H188)-1),"???")
        )
    )
)</f>
        <v>2040</v>
      </c>
      <c r="J188" s="26"/>
      <c r="K188" s="26"/>
      <c r="L188" s="27"/>
      <c r="M188" s="26" t="str">
        <f t="shared" si="8"/>
        <v/>
      </c>
      <c r="N188" s="26"/>
      <c r="O188" s="26"/>
      <c r="P188" s="26"/>
      <c r="Q188" s="26"/>
      <c r="R188" s="27"/>
      <c r="S188" s="27"/>
      <c r="T188" s="27"/>
      <c r="U188" s="26" t="s">
        <v>618</v>
      </c>
    </row>
    <row r="189" spans="1:21" ht="18.75" customHeight="1">
      <c r="A189" s="9" t="s">
        <v>46</v>
      </c>
      <c r="B189" s="9" t="str">
        <f t="shared" ca="1" si="9"/>
        <v>images_contents.create_datetime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104</v>
      </c>
      <c r="G189" s="11" t="s">
        <v>105</v>
      </c>
      <c r="H189" s="11" t="s">
        <v>487</v>
      </c>
      <c r="I189" s="11">
        <f>_xlfn.XLOOKUP(
    $H189,
    型とバイト数!$B$3:$B$54,
    型とバイト数!$E$3:$E$54,
    IF(LEFT($H189,7)="varchar",MID(H189,FIND("(",H189)+1,FIND(")",H189)-FIND("(",H189)-1)*8,
        IF(LEFT($H189,4)="char",MID(H189,FIND("(",H189)+1,FIND(")",H189)-FIND("(",H189)-1)*8,
            IF(LEFT($H189,3)="bit",MID(H189,FIND("(",H189)+1,FIND(")",H189)-FIND("(",H189)-1),"???")
        )
    )
)</f>
        <v>64</v>
      </c>
      <c r="J189" s="11"/>
      <c r="K189" s="11"/>
      <c r="L189" s="9"/>
      <c r="M189" s="11" t="str">
        <f t="shared" si="8"/>
        <v/>
      </c>
      <c r="N189" s="11" t="s">
        <v>48</v>
      </c>
      <c r="O189" s="11"/>
      <c r="P189" s="11" t="s">
        <v>106</v>
      </c>
      <c r="Q189" s="11"/>
      <c r="R189" s="9"/>
      <c r="S189" s="9"/>
      <c r="T189" s="9"/>
      <c r="U189" s="11"/>
    </row>
    <row r="190" spans="1:21" ht="18.75" customHeight="1">
      <c r="A190" s="9" t="s">
        <v>46</v>
      </c>
      <c r="B190" s="9" t="str">
        <f t="shared" ca="1" si="9"/>
        <v>images_contents.create_user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107</v>
      </c>
      <c r="G190" s="11" t="s">
        <v>108</v>
      </c>
      <c r="H190" s="11" t="s">
        <v>65</v>
      </c>
      <c r="I190" s="11">
        <f>_xlfn.XLOOKUP(
    $H190,
    型とバイト数!$B$3:$B$54,
    型とバイト数!$E$3:$E$54,
    IF(LEFT($H190,7)="varchar",MID(H190,FIND("(",H190)+1,FIND(")",H190)-FIND("(",H190)-1)*8,
        IF(LEFT($H190,4)="char",MID(H190,FIND("(",H190)+1,FIND(")",H190)-FIND("(",H190)-1)*8,
            IF(LEFT($H190,3)="bit",MID(H190,FIND("(",H190)+1,FIND(")",H190)-FIND("(",H190)-1),"???")
        )
    )
)</f>
        <v>256</v>
      </c>
      <c r="J190" s="11"/>
      <c r="K190" s="11"/>
      <c r="L190" s="9"/>
      <c r="M190" s="11" t="str">
        <f t="shared" si="8"/>
        <v/>
      </c>
      <c r="N190" s="11" t="s">
        <v>48</v>
      </c>
      <c r="O190" s="11"/>
      <c r="P190" s="11" t="s">
        <v>109</v>
      </c>
      <c r="Q190" s="11"/>
      <c r="R190" s="9"/>
      <c r="S190" s="9"/>
      <c r="T190" s="9"/>
      <c r="U190" s="11" t="s">
        <v>110</v>
      </c>
    </row>
    <row r="191" spans="1:21" ht="18.75" customHeight="1">
      <c r="A191" s="9" t="s">
        <v>46</v>
      </c>
      <c r="B191" s="9" t="str">
        <f t="shared" ca="1" si="9"/>
        <v>images_contents.update_datetime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111</v>
      </c>
      <c r="G191" s="11" t="s">
        <v>112</v>
      </c>
      <c r="H191" s="11" t="s">
        <v>487</v>
      </c>
      <c r="I191" s="11">
        <f>_xlfn.XLOOKUP(
    $H191,
    型とバイト数!$B$3:$B$54,
    型とバイト数!$E$3:$E$54,
    IF(LEFT($H191,7)="varchar",MID(H191,FIND("(",H191)+1,FIND(")",H191)-FIND("(",H191)-1)*8,
        IF(LEFT($H191,4)="char",MID(H191,FIND("(",H191)+1,FIND(")",H191)-FIND("(",H191)-1)*8,
            IF(LEFT($H191,3)="bit",MID(H191,FIND("(",H191)+1,FIND(")",H191)-FIND("(",H191)-1),"???")
        )
    )
)</f>
        <v>64</v>
      </c>
      <c r="J191" s="11"/>
      <c r="K191" s="11"/>
      <c r="L191" s="9"/>
      <c r="M191" s="11" t="str">
        <f t="shared" si="8"/>
        <v/>
      </c>
      <c r="N191" s="11" t="s">
        <v>48</v>
      </c>
      <c r="O191" s="11"/>
      <c r="P191" s="11" t="s">
        <v>106</v>
      </c>
      <c r="Q191" s="11"/>
      <c r="R191" s="9"/>
      <c r="S191" s="9"/>
      <c r="T191" s="9"/>
      <c r="U191" s="11"/>
    </row>
    <row r="192" spans="1:21" ht="18.75" customHeight="1">
      <c r="A192" s="9" t="s">
        <v>46</v>
      </c>
      <c r="B192" s="9" t="str">
        <f t="shared" ca="1" si="9"/>
        <v>images_contents.update_user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113</v>
      </c>
      <c r="G192" s="11" t="s">
        <v>114</v>
      </c>
      <c r="H192" s="11" t="s">
        <v>65</v>
      </c>
      <c r="I192" s="11">
        <f>_xlfn.XLOOKUP(
    $H192,
    型とバイト数!$B$3:$B$54,
    型とバイト数!$E$3:$E$54,
    IF(LEFT($H192,7)="varchar",MID(H192,FIND("(",H192)+1,FIND(")",H192)-FIND("(",H192)-1)*8,
        IF(LEFT($H192,4)="char",MID(H192,FIND("(",H192)+1,FIND(")",H192)-FIND("(",H192)-1)*8,
            IF(LEFT($H192,3)="bit",MID(H192,FIND("(",H192)+1,FIND(")",H192)-FIND("(",H192)-1),"???")
        )
    )
)</f>
        <v>256</v>
      </c>
      <c r="J192" s="11"/>
      <c r="K192" s="11"/>
      <c r="L192" s="9"/>
      <c r="M192" s="11" t="str">
        <f t="shared" si="8"/>
        <v/>
      </c>
      <c r="N192" s="11" t="s">
        <v>48</v>
      </c>
      <c r="O192" s="11"/>
      <c r="P192" s="11" t="s">
        <v>109</v>
      </c>
      <c r="Q192" s="11"/>
      <c r="R192" s="9"/>
      <c r="S192" s="9"/>
      <c r="T192" s="9"/>
      <c r="U192" s="11" t="s">
        <v>110</v>
      </c>
    </row>
    <row r="193" spans="1:21" ht="18.75" customHeight="1">
      <c r="A193" s="9" t="s">
        <v>46</v>
      </c>
      <c r="B193" s="9" t="str">
        <f t="shared" ca="1" si="9"/>
        <v>images_contents.soft_delete_flag</v>
      </c>
      <c r="C193" s="10">
        <f t="shared" si="0"/>
        <v>192</v>
      </c>
      <c r="D193" s="11" t="str" cm="1">
        <f t="array" aca="1" ref="D193" ca="1">INDIRECT(ADDRESS(ROW()-1,COLUMN()))</f>
        <v>images_contents</v>
      </c>
      <c r="E193" s="11" t="str" cm="1">
        <f t="array" aca="1" ref="E193" ca="1">INDIRECT(ADDRESS(ROW()-1,COLUMN()))</f>
        <v>画像(ユーザー投稿)</v>
      </c>
      <c r="F193" s="11" t="s">
        <v>115</v>
      </c>
      <c r="G193" s="11" t="s">
        <v>116</v>
      </c>
      <c r="H193" s="11" t="s">
        <v>489</v>
      </c>
      <c r="I193" s="11">
        <f>_xlfn.XLOOKUP(
    $H193,
    型とバイト数!$B$3:$B$54,
    型とバイト数!$E$3:$E$54,
    IF(LEFT($H193,7)="varchar",MID(H193,FIND("(",H193)+1,FIND(")",H193)-FIND("(",H193)-1)*8,
        IF(LEFT($H193,4)="char",MID(H193,FIND("(",H193)+1,FIND(")",H193)-FIND("(",H193)-1)*8,
            IF(LEFT($H193,3)="bit",MID(H193,FIND("(",H193)+1,FIND(")",H193)-FIND("(",H193)-1),"???")
        )
    )
)</f>
        <v>8</v>
      </c>
      <c r="J193" s="11"/>
      <c r="K193" s="11"/>
      <c r="L193" s="9"/>
      <c r="M193" s="11" t="str">
        <f t="shared" si="8"/>
        <v/>
      </c>
      <c r="N193" s="11" t="s">
        <v>48</v>
      </c>
      <c r="O193" s="11"/>
      <c r="P193" s="11" t="b">
        <v>0</v>
      </c>
      <c r="Q193" s="11"/>
      <c r="R193" s="9"/>
      <c r="S193" s="9"/>
      <c r="T193" s="9"/>
      <c r="U193" s="11"/>
    </row>
    <row r="194" spans="1:21" ht="18.75" customHeight="1">
      <c r="A194" s="9" t="s">
        <v>46</v>
      </c>
      <c r="B194" s="9" t="str">
        <f t="shared" si="9"/>
        <v>images_system.images_system_sequence_id</v>
      </c>
      <c r="C194" s="10">
        <f t="shared" si="0"/>
        <v>193</v>
      </c>
      <c r="D194" s="11" t="s">
        <v>461</v>
      </c>
      <c r="E194" s="11" t="s">
        <v>254</v>
      </c>
      <c r="F194" s="11" t="str">
        <f>D194&amp;"_sequence_id"</f>
        <v>images_system_sequence_id</v>
      </c>
      <c r="G194" s="11" t="str">
        <f>E194&amp;"ID"</f>
        <v>画像(システム管理)ID</v>
      </c>
      <c r="H194" s="11" t="s">
        <v>527</v>
      </c>
      <c r="I194" s="11">
        <f>_xlfn.XLOOKUP(
    $H194,
    型とバイト数!$B$3:$B$54,
    型とバイト数!$E$3:$E$54,
    IF(LEFT($H194,7)="varchar",MID(H194,FIND("(",H194)+1,FIND(")",H194)-FIND("(",H194)-1)*8,
        IF(LEFT($H194,4)="char",MID(H194,FIND("(",H194)+1,FIND(")",H194)-FIND("(",H194)-1)*8,
            IF(LEFT($H194,3)="bit",MID(H194,FIND("(",H194)+1,FIND(")",H194)-FIND("(",H194)-1),"???")
        )
    )
)</f>
        <v>32</v>
      </c>
      <c r="J194" s="11" t="s">
        <v>452</v>
      </c>
      <c r="K194" s="11"/>
      <c r="L194" s="9"/>
      <c r="M194" s="11" t="str">
        <f t="shared" si="8"/>
        <v/>
      </c>
      <c r="N194" s="11" t="s">
        <v>473</v>
      </c>
      <c r="O194" s="11" t="s">
        <v>473</v>
      </c>
      <c r="P194" s="11" t="s">
        <v>526</v>
      </c>
      <c r="Q194" s="11"/>
      <c r="R194" s="9"/>
      <c r="S194" s="9"/>
      <c r="T194" s="9"/>
      <c r="U194" s="11"/>
    </row>
    <row r="195" spans="1:21" ht="18.75" customHeight="1">
      <c r="A195" s="9" t="s">
        <v>46</v>
      </c>
      <c r="B195" s="9" t="str">
        <f t="shared" ca="1" si="9"/>
        <v>images_system.gcs_bucket</v>
      </c>
      <c r="C195" s="10">
        <f t="shared" si="0"/>
        <v>194</v>
      </c>
      <c r="D195" s="26" t="str" cm="1">
        <f t="array" aca="1" ref="D195" ca="1">INDIRECT(ADDRESS(ROW()-1,COLUMN()))</f>
        <v>images_system</v>
      </c>
      <c r="E195" s="26" t="str" cm="1">
        <f t="array" aca="1" ref="E195" ca="1">INDIRECT(ADDRESS(ROW()-1,COLUMN()))</f>
        <v>画像(システム管理)</v>
      </c>
      <c r="F195" s="26" t="s">
        <v>233</v>
      </c>
      <c r="G195" s="26" t="s">
        <v>234</v>
      </c>
      <c r="H195" s="26" t="s">
        <v>235</v>
      </c>
      <c r="I195" s="26">
        <f>_xlfn.XLOOKUP(
    $H195,
    型とバイト数!$B$3:$B$54,
    型とバイト数!$E$3:$E$54,
    IF(LEFT($H195,7)="varchar",MID(H195,FIND("(",H195)+1,FIND(")",H195)-FIND("(",H195)-1)*8,
        IF(LEFT($H195,4)="char",MID(H195,FIND("(",H195)+1,FIND(")",H195)-FIND("(",H195)-1)*8,
            IF(LEFT($H195,3)="bit",MID(H195,FIND("(",H195)+1,FIND(")",H195)-FIND("(",H195)-1),"???")
        )
    )
)</f>
        <v>800</v>
      </c>
      <c r="J195" s="26"/>
      <c r="K195" s="26"/>
      <c r="L195" s="27"/>
      <c r="M195" s="26" t="str">
        <f t="shared" si="8"/>
        <v/>
      </c>
      <c r="N195" s="26" t="s">
        <v>48</v>
      </c>
      <c r="O195" s="26"/>
      <c r="P195" s="26"/>
      <c r="Q195" s="26"/>
      <c r="R195" s="27"/>
      <c r="S195" s="27"/>
      <c r="T195" s="27"/>
      <c r="U195" s="26" t="s">
        <v>617</v>
      </c>
    </row>
    <row r="196" spans="1:21" ht="18.75" customHeight="1">
      <c r="A196" s="9" t="s">
        <v>46</v>
      </c>
      <c r="B196" s="9" t="str">
        <f t="shared" ca="1" si="9"/>
        <v>images_system.gcs_object_name</v>
      </c>
      <c r="C196" s="10">
        <f t="shared" si="0"/>
        <v>195</v>
      </c>
      <c r="D196" s="11" t="str" cm="1">
        <f t="array" aca="1" ref="D196" ca="1">INDIRECT(ADDRESS(ROW()-1,COLUMN()))</f>
        <v>images_system</v>
      </c>
      <c r="E196" s="11" t="str" cm="1">
        <f t="array" aca="1" ref="E196" ca="1">INDIRECT(ADDRESS(ROW()-1,COLUMN()))</f>
        <v>画像(システム管理)</v>
      </c>
      <c r="F196" s="11" t="s">
        <v>236</v>
      </c>
      <c r="G196" s="11" t="s">
        <v>237</v>
      </c>
      <c r="H196" s="11" t="s">
        <v>238</v>
      </c>
      <c r="I196" s="11">
        <f>_xlfn.XLOOKUP(
    $H196,
    型とバイト数!$B$3:$B$54,
    型とバイト数!$E$3:$E$54,
    IF(LEFT($H196,7)="varchar",MID(H196,FIND("(",H196)+1,FIND(")",H196)-FIND("(",H196)-1)*8,
        IF(LEFT($H196,4)="char",MID(H196,FIND("(",H196)+1,FIND(")",H196)-FIND("(",H196)-1)*8,
            IF(LEFT($H196,3)="bit",MID(H196,FIND("(",H196)+1,FIND(")",H196)-FIND("(",H196)-1),"???")
        )
    )
)</f>
        <v>4096</v>
      </c>
      <c r="J196" s="11"/>
      <c r="K196" s="11"/>
      <c r="L196" s="9"/>
      <c r="M196" s="11" t="str">
        <f t="shared" ref="M196:M259" si="10">IF(K196="","",IF(L196="","参照先未定義",_xlfn.XLOOKUP(L196,$B$1:$B$501,$C$1:$C$501,"エラー")))</f>
        <v/>
      </c>
      <c r="N196" s="11" t="s">
        <v>48</v>
      </c>
      <c r="O196" s="11"/>
      <c r="P196" s="11"/>
      <c r="Q196" s="11" t="s">
        <v>239</v>
      </c>
      <c r="R196" s="9"/>
      <c r="S196" s="9"/>
      <c r="T196" s="9"/>
      <c r="U196" s="11"/>
    </row>
    <row r="197" spans="1:21" ht="18.75" customHeight="1">
      <c r="A197" s="9" t="s">
        <v>46</v>
      </c>
      <c r="B197" s="9" t="str">
        <f t="shared" ca="1" si="9"/>
        <v>images_system.cdn_url</v>
      </c>
      <c r="C197" s="10">
        <f t="shared" si="0"/>
        <v>196</v>
      </c>
      <c r="D197" s="26" t="str" cm="1">
        <f t="array" aca="1" ref="D197" ca="1">INDIRECT(ADDRESS(ROW()-1,COLUMN()))</f>
        <v>images_system</v>
      </c>
      <c r="E197" s="26" t="str" cm="1">
        <f t="array" aca="1" ref="E197" ca="1">INDIRECT(ADDRESS(ROW()-1,COLUMN()))</f>
        <v>画像(システム管理)</v>
      </c>
      <c r="F197" s="26" t="s">
        <v>240</v>
      </c>
      <c r="G197" s="26" t="s">
        <v>241</v>
      </c>
      <c r="H197" s="26" t="s">
        <v>238</v>
      </c>
      <c r="I197" s="26">
        <f>_xlfn.XLOOKUP(
    $H197,
    型とバイト数!$B$3:$B$54,
    型とバイト数!$E$3:$E$54,
    IF(LEFT($H197,7)="varchar",MID(H197,FIND("(",H197)+1,FIND(")",H197)-FIND("(",H197)-1)*8,
        IF(LEFT($H197,4)="char",MID(H197,FIND("(",H197)+1,FIND(")",H197)-FIND("(",H197)-1)*8,
            IF(LEFT($H197,3)="bit",MID(H197,FIND("(",H197)+1,FIND(")",H197)-FIND("(",H197)-1),"???")
        )
    )
)</f>
        <v>4096</v>
      </c>
      <c r="J197" s="26"/>
      <c r="K197" s="26"/>
      <c r="L197" s="27"/>
      <c r="M197" s="26" t="str">
        <f t="shared" si="10"/>
        <v/>
      </c>
      <c r="N197" s="26"/>
      <c r="O197" s="26"/>
      <c r="P197" s="26"/>
      <c r="Q197" s="26" t="s">
        <v>242</v>
      </c>
      <c r="R197" s="27"/>
      <c r="S197" s="27"/>
      <c r="T197" s="27"/>
      <c r="U197" s="26" t="s">
        <v>617</v>
      </c>
    </row>
    <row r="198" spans="1:21" ht="18.75" customHeight="1">
      <c r="A198" s="9" t="s">
        <v>46</v>
      </c>
      <c r="B198" s="9" t="str">
        <f t="shared" ca="1" si="9"/>
        <v>images_system.content_type</v>
      </c>
      <c r="C198" s="10">
        <f t="shared" ref="C198:C252" si="11">ROW()-1</f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243</v>
      </c>
      <c r="G198" s="11" t="s">
        <v>244</v>
      </c>
      <c r="H198" s="11" t="s">
        <v>245</v>
      </c>
      <c r="I198" s="11">
        <f>_xlfn.XLOOKUP(
    $H198,
    型とバイト数!$B$3:$B$54,
    型とバイト数!$E$3:$E$54,
    IF(LEFT($H198,7)="varchar",MID(H198,FIND("(",H198)+1,FIND(")",H198)-FIND("(",H198)-1)*8,
        IF(LEFT($H198,4)="char",MID(H198,FIND("(",H198)+1,FIND(")",H198)-FIND("(",H198)-1)*8,
            IF(LEFT($H198,3)="bit",MID(H198,FIND("(",H198)+1,FIND(")",H198)-FIND("(",H198)-1),"???")
        )
    )
)</f>
        <v>400</v>
      </c>
      <c r="J198" s="11"/>
      <c r="K198" s="11"/>
      <c r="L198" s="9"/>
      <c r="M198" s="11" t="str">
        <f t="shared" si="10"/>
        <v/>
      </c>
      <c r="N198" s="11"/>
      <c r="O198" s="11"/>
      <c r="P198" s="11"/>
      <c r="Q198" s="11" t="s">
        <v>246</v>
      </c>
      <c r="R198" s="9"/>
      <c r="S198" s="9"/>
      <c r="T198" s="9"/>
      <c r="U198" s="11" t="s">
        <v>619</v>
      </c>
    </row>
    <row r="199" spans="1:21" ht="18.75" customHeight="1">
      <c r="A199" s="9" t="s">
        <v>46</v>
      </c>
      <c r="B199" s="9" t="str">
        <f t="shared" ca="1" si="9"/>
        <v>images_system.width</v>
      </c>
      <c r="C199" s="10">
        <f t="shared" si="11"/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247</v>
      </c>
      <c r="G199" s="11" t="s">
        <v>248</v>
      </c>
      <c r="H199" s="11" t="s">
        <v>99</v>
      </c>
      <c r="I199" s="11">
        <f>_xlfn.XLOOKUP(
    $H199,
    型とバイト数!$B$3:$B$54,
    型とバイト数!$E$3:$E$54,
    IF(LEFT($H199,7)="varchar",MID(H199,FIND("(",H199)+1,FIND(")",H199)-FIND("(",H199)-1)*8,
        IF(LEFT($H199,4)="char",MID(H199,FIND("(",H199)+1,FIND(")",H199)-FIND("(",H199)-1)*8,
            IF(LEFT($H199,3)="bit",MID(H199,FIND("(",H199)+1,FIND(")",H199)-FIND("(",H199)-1),"???")
        )
    )
)</f>
        <v>32</v>
      </c>
      <c r="J199" s="11"/>
      <c r="K199" s="11"/>
      <c r="L199" s="9"/>
      <c r="M199" s="11" t="str">
        <f t="shared" si="10"/>
        <v/>
      </c>
      <c r="N199" s="11"/>
      <c r="O199" s="11"/>
      <c r="P199" s="11"/>
      <c r="Q199" s="11"/>
      <c r="R199" s="9"/>
      <c r="S199" s="9"/>
      <c r="T199" s="9"/>
      <c r="U199" s="11" t="s">
        <v>619</v>
      </c>
    </row>
    <row r="200" spans="1:21" ht="18.75" customHeight="1">
      <c r="A200" s="9" t="s">
        <v>46</v>
      </c>
      <c r="B200" s="9" t="str">
        <f t="shared" ca="1" si="9"/>
        <v>images_system.height</v>
      </c>
      <c r="C200" s="10">
        <f t="shared" si="11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72</v>
      </c>
      <c r="G200" s="11" t="s">
        <v>249</v>
      </c>
      <c r="H200" s="11" t="s">
        <v>99</v>
      </c>
      <c r="I200" s="11">
        <f>_xlfn.XLOOKUP(
    $H200,
    型とバイト数!$B$3:$B$54,
    型とバイト数!$E$3:$E$54,
    IF(LEFT($H200,7)="varchar",MID(H200,FIND("(",H200)+1,FIND(")",H200)-FIND("(",H200)-1)*8,
        IF(LEFT($H200,4)="char",MID(H200,FIND("(",H200)+1,FIND(")",H200)-FIND("(",H200)-1)*8,
            IF(LEFT($H200,3)="bit",MID(H200,FIND("(",H200)+1,FIND(")",H200)-FIND("(",H200)-1),"???")
        )
    )
)</f>
        <v>32</v>
      </c>
      <c r="J200" s="11"/>
      <c r="K200" s="11"/>
      <c r="L200" s="9"/>
      <c r="M200" s="11" t="str">
        <f t="shared" si="10"/>
        <v/>
      </c>
      <c r="N200" s="11"/>
      <c r="O200" s="11"/>
      <c r="P200" s="11"/>
      <c r="Q200" s="11"/>
      <c r="R200" s="9"/>
      <c r="S200" s="9"/>
      <c r="T200" s="9"/>
      <c r="U200" s="11" t="s">
        <v>619</v>
      </c>
    </row>
    <row r="201" spans="1:21" ht="18.75" customHeight="1">
      <c r="A201" s="9" t="s">
        <v>46</v>
      </c>
      <c r="B201" s="9" t="str">
        <f t="shared" ca="1" si="9"/>
        <v>images_system.file_size</v>
      </c>
      <c r="C201" s="10">
        <f t="shared" si="11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250</v>
      </c>
      <c r="G201" s="11" t="s">
        <v>251</v>
      </c>
      <c r="H201" s="11" t="s">
        <v>99</v>
      </c>
      <c r="I201" s="11">
        <f>_xlfn.XLOOKUP(
    $H201,
    型とバイト数!$B$3:$B$54,
    型とバイト数!$E$3:$E$54,
    IF(LEFT($H201,7)="varchar",MID(H201,FIND("(",H201)+1,FIND(")",H201)-FIND("(",H201)-1)*8,
        IF(LEFT($H201,4)="char",MID(H201,FIND("(",H201)+1,FIND(")",H201)-FIND("(",H201)-1)*8,
            IF(LEFT($H201,3)="bit",MID(H201,FIND("(",H201)+1,FIND(")",H201)-FIND("(",H201)-1),"???")
        )
    )
)</f>
        <v>32</v>
      </c>
      <c r="J201" s="11"/>
      <c r="K201" s="11"/>
      <c r="L201" s="9"/>
      <c r="M201" s="11" t="str">
        <f t="shared" si="10"/>
        <v/>
      </c>
      <c r="N201" s="11"/>
      <c r="O201" s="11"/>
      <c r="P201" s="11"/>
      <c r="Q201" s="11"/>
      <c r="R201" s="9"/>
      <c r="S201" s="9"/>
      <c r="T201" s="9"/>
      <c r="U201" s="11" t="s">
        <v>619</v>
      </c>
    </row>
    <row r="202" spans="1:21" ht="18.75" customHeight="1">
      <c r="A202" s="9" t="s">
        <v>46</v>
      </c>
      <c r="B202" s="9" t="str">
        <f t="shared" ca="1" si="9"/>
        <v>images_system.alt_text</v>
      </c>
      <c r="C202" s="10">
        <f t="shared" si="11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252</v>
      </c>
      <c r="G202" s="11" t="s">
        <v>253</v>
      </c>
      <c r="H202" s="11" t="s">
        <v>162</v>
      </c>
      <c r="I202" s="11">
        <f>_xlfn.XLOOKUP(
    $H202,
    型とバイト数!$B$3:$B$54,
    型とバイト数!$E$3:$E$54,
    IF(LEFT($H202,7)="varchar",MID(H202,FIND("(",H202)+1,FIND(")",H202)-FIND("(",H202)-1)*8,
        IF(LEFT($H202,4)="char",MID(H202,FIND("(",H202)+1,FIND(")",H202)-FIND("(",H202)-1)*8,
            IF(LEFT($H202,3)="bit",MID(H202,FIND("(",H202)+1,FIND(")",H202)-FIND("(",H202)-1),"???")
        )
    )
)</f>
        <v>2040</v>
      </c>
      <c r="J202" s="11"/>
      <c r="K202" s="11"/>
      <c r="L202" s="9"/>
      <c r="M202" s="11" t="str">
        <f t="shared" si="10"/>
        <v/>
      </c>
      <c r="N202" s="11"/>
      <c r="O202" s="11"/>
      <c r="P202" s="11"/>
      <c r="Q202" s="11"/>
      <c r="R202" s="9"/>
      <c r="S202" s="9"/>
      <c r="T202" s="9"/>
      <c r="U202" s="11"/>
    </row>
    <row r="203" spans="1:21" ht="18.75" customHeight="1">
      <c r="A203" s="9" t="s">
        <v>46</v>
      </c>
      <c r="B203" s="9" t="str">
        <f t="shared" ca="1" si="9"/>
        <v>images_system.create_datetime</v>
      </c>
      <c r="C203" s="10">
        <f t="shared" si="11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104</v>
      </c>
      <c r="G203" s="11" t="s">
        <v>105</v>
      </c>
      <c r="H203" s="11" t="s">
        <v>487</v>
      </c>
      <c r="I203" s="11">
        <f>_xlfn.XLOOKUP(
    $H203,
    型とバイト数!$B$3:$B$54,
    型とバイト数!$E$3:$E$54,
    IF(LEFT($H203,7)="varchar",MID(H203,FIND("(",H203)+1,FIND(")",H203)-FIND("(",H203)-1)*8,
        IF(LEFT($H203,4)="char",MID(H203,FIND("(",H203)+1,FIND(")",H203)-FIND("(",H203)-1)*8,
            IF(LEFT($H203,3)="bit",MID(H203,FIND("(",H203)+1,FIND(")",H203)-FIND("(",H203)-1),"???")
        )
    )
)</f>
        <v>64</v>
      </c>
      <c r="J203" s="11"/>
      <c r="K203" s="11"/>
      <c r="L203" s="9"/>
      <c r="M203" s="11" t="str">
        <f t="shared" si="10"/>
        <v/>
      </c>
      <c r="N203" s="11" t="s">
        <v>48</v>
      </c>
      <c r="O203" s="11"/>
      <c r="P203" s="11" t="s">
        <v>106</v>
      </c>
      <c r="Q203" s="11"/>
      <c r="R203" s="9"/>
      <c r="S203" s="9"/>
      <c r="T203" s="9"/>
      <c r="U203" s="11"/>
    </row>
    <row r="204" spans="1:21" ht="18.75" customHeight="1">
      <c r="A204" s="9" t="s">
        <v>46</v>
      </c>
      <c r="B204" s="9" t="str">
        <f t="shared" ca="1" si="9"/>
        <v>images_system.create_user</v>
      </c>
      <c r="C204" s="10">
        <f t="shared" si="11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107</v>
      </c>
      <c r="G204" s="11" t="s">
        <v>108</v>
      </c>
      <c r="H204" s="11" t="s">
        <v>65</v>
      </c>
      <c r="I204" s="11">
        <f>_xlfn.XLOOKUP(
    $H204,
    型とバイト数!$B$3:$B$54,
    型とバイト数!$E$3:$E$54,
    IF(LEFT($H204,7)="varchar",MID(H204,FIND("(",H204)+1,FIND(")",H204)-FIND("(",H204)-1)*8,
        IF(LEFT($H204,4)="char",MID(H204,FIND("(",H204)+1,FIND(")",H204)-FIND("(",H204)-1)*8,
            IF(LEFT($H204,3)="bit",MID(H204,FIND("(",H204)+1,FIND(")",H204)-FIND("(",H204)-1),"???")
        )
    )
)</f>
        <v>256</v>
      </c>
      <c r="J204" s="11"/>
      <c r="K204" s="11"/>
      <c r="L204" s="9"/>
      <c r="M204" s="11" t="str">
        <f t="shared" si="10"/>
        <v/>
      </c>
      <c r="N204" s="11" t="s">
        <v>48</v>
      </c>
      <c r="O204" s="11"/>
      <c r="P204" s="11" t="s">
        <v>109</v>
      </c>
      <c r="Q204" s="11"/>
      <c r="R204" s="9"/>
      <c r="S204" s="9"/>
      <c r="T204" s="9"/>
      <c r="U204" s="11" t="s">
        <v>110</v>
      </c>
    </row>
    <row r="205" spans="1:21" ht="18.75" customHeight="1">
      <c r="A205" s="9" t="s">
        <v>46</v>
      </c>
      <c r="B205" s="9" t="str">
        <f t="shared" ca="1" si="9"/>
        <v>images_system.update_datetime</v>
      </c>
      <c r="C205" s="10">
        <f t="shared" si="11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111</v>
      </c>
      <c r="G205" s="11" t="s">
        <v>112</v>
      </c>
      <c r="H205" s="11" t="s">
        <v>487</v>
      </c>
      <c r="I205" s="11">
        <f>_xlfn.XLOOKUP(
    $H205,
    型とバイト数!$B$3:$B$54,
    型とバイト数!$E$3:$E$54,
    IF(LEFT($H205,7)="varchar",MID(H205,FIND("(",H205)+1,FIND(")",H205)-FIND("(",H205)-1)*8,
        IF(LEFT($H205,4)="char",MID(H205,FIND("(",H205)+1,FIND(")",H205)-FIND("(",H205)-1)*8,
            IF(LEFT($H205,3)="bit",MID(H205,FIND("(",H205)+1,FIND(")",H205)-FIND("(",H205)-1),"???")
        )
    )
)</f>
        <v>64</v>
      </c>
      <c r="J205" s="11"/>
      <c r="K205" s="11"/>
      <c r="L205" s="9"/>
      <c r="M205" s="11" t="str">
        <f t="shared" si="10"/>
        <v/>
      </c>
      <c r="N205" s="11" t="s">
        <v>48</v>
      </c>
      <c r="O205" s="11"/>
      <c r="P205" s="11" t="s">
        <v>106</v>
      </c>
      <c r="Q205" s="11"/>
      <c r="R205" s="9"/>
      <c r="S205" s="9"/>
      <c r="T205" s="9"/>
      <c r="U205" s="11"/>
    </row>
    <row r="206" spans="1:21" ht="18.75" customHeight="1">
      <c r="A206" s="9" t="s">
        <v>46</v>
      </c>
      <c r="B206" s="9" t="str">
        <f t="shared" ca="1" si="9"/>
        <v>images_system.update_user</v>
      </c>
      <c r="C206" s="10">
        <f t="shared" si="11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113</v>
      </c>
      <c r="G206" s="11" t="s">
        <v>114</v>
      </c>
      <c r="H206" s="11" t="s">
        <v>65</v>
      </c>
      <c r="I206" s="11">
        <f>_xlfn.XLOOKUP(
    $H206,
    型とバイト数!$B$3:$B$54,
    型とバイト数!$E$3:$E$54,
    IF(LEFT($H206,7)="varchar",MID(H206,FIND("(",H206)+1,FIND(")",H206)-FIND("(",H206)-1)*8,
        IF(LEFT($H206,4)="char",MID(H206,FIND("(",H206)+1,FIND(")",H206)-FIND("(",H206)-1)*8,
            IF(LEFT($H206,3)="bit",MID(H206,FIND("(",H206)+1,FIND(")",H206)-FIND("(",H206)-1),"???")
        )
    )
)</f>
        <v>256</v>
      </c>
      <c r="J206" s="11"/>
      <c r="K206" s="11"/>
      <c r="L206" s="9"/>
      <c r="M206" s="11" t="str">
        <f t="shared" si="10"/>
        <v/>
      </c>
      <c r="N206" s="11" t="s">
        <v>48</v>
      </c>
      <c r="O206" s="11"/>
      <c r="P206" s="11" t="s">
        <v>109</v>
      </c>
      <c r="Q206" s="11"/>
      <c r="R206" s="9"/>
      <c r="S206" s="9"/>
      <c r="T206" s="9"/>
      <c r="U206" s="11" t="s">
        <v>110</v>
      </c>
    </row>
    <row r="207" spans="1:21" ht="18.75" customHeight="1">
      <c r="A207" s="9" t="s">
        <v>46</v>
      </c>
      <c r="B207" s="9" t="str">
        <f t="shared" ca="1" si="9"/>
        <v>images_system.soft_delete_flag</v>
      </c>
      <c r="C207" s="10">
        <f t="shared" si="11"/>
        <v>206</v>
      </c>
      <c r="D207" s="11" t="str" cm="1">
        <f t="array" aca="1" ref="D207" ca="1">INDIRECT(ADDRESS(ROW()-1,COLUMN()))</f>
        <v>images_system</v>
      </c>
      <c r="E207" s="11" t="str" cm="1">
        <f t="array" aca="1" ref="E207" ca="1">INDIRECT(ADDRESS(ROW()-1,COLUMN()))</f>
        <v>画像(システム管理)</v>
      </c>
      <c r="F207" s="11" t="s">
        <v>115</v>
      </c>
      <c r="G207" s="11" t="s">
        <v>116</v>
      </c>
      <c r="H207" s="11" t="s">
        <v>489</v>
      </c>
      <c r="I207" s="11">
        <f>_xlfn.XLOOKUP(
    $H207,
    型とバイト数!$B$3:$B$54,
    型とバイト数!$E$3:$E$54,
    IF(LEFT($H207,7)="varchar",MID(H207,FIND("(",H207)+1,FIND(")",H207)-FIND("(",H207)-1)*8,
        IF(LEFT($H207,4)="char",MID(H207,FIND("(",H207)+1,FIND(")",H207)-FIND("(",H207)-1)*8,
            IF(LEFT($H207,3)="bit",MID(H207,FIND("(",H207)+1,FIND(")",H207)-FIND("(",H207)-1),"???")
        )
    )
)</f>
        <v>8</v>
      </c>
      <c r="J207" s="11"/>
      <c r="K207" s="11"/>
      <c r="L207" s="9"/>
      <c r="M207" s="11" t="str">
        <f t="shared" si="10"/>
        <v/>
      </c>
      <c r="N207" s="11" t="s">
        <v>48</v>
      </c>
      <c r="O207" s="11"/>
      <c r="P207" s="11" t="b">
        <v>0</v>
      </c>
      <c r="Q207" s="11"/>
      <c r="R207" s="9"/>
      <c r="S207" s="9"/>
      <c r="T207" s="9"/>
      <c r="U207" s="11"/>
    </row>
    <row r="208" spans="1:21" ht="18.75" customHeight="1">
      <c r="A208" s="9" t="s">
        <v>46</v>
      </c>
      <c r="B208" s="9" t="str">
        <f t="shared" si="9"/>
        <v>screen_element.screen_element_sequence_id</v>
      </c>
      <c r="C208" s="10">
        <f t="shared" si="11"/>
        <v>207</v>
      </c>
      <c r="D208" s="11" t="s">
        <v>255</v>
      </c>
      <c r="E208" s="11" t="s">
        <v>256</v>
      </c>
      <c r="F208" s="11" t="str">
        <f>D208&amp;"_sequence_id"</f>
        <v>screen_element_sequence_id</v>
      </c>
      <c r="G208" s="11" t="str">
        <f>E208&amp;"ID"</f>
        <v>画面要素ID</v>
      </c>
      <c r="H208" s="11" t="s">
        <v>527</v>
      </c>
      <c r="I208" s="11">
        <f>_xlfn.XLOOKUP(
    $H208,
    型とバイト数!$B$3:$B$54,
    型とバイト数!$E$3:$E$54,
    IF(LEFT($H208,7)="varchar",MID(H208,FIND("(",H208)+1,FIND(")",H208)-FIND("(",H208)-1)*8,
        IF(LEFT($H208,4)="char",MID(H208,FIND("(",H208)+1,FIND(")",H208)-FIND("(",H208)-1)*8,
            IF(LEFT($H208,3)="bit",MID(H208,FIND("(",H208)+1,FIND(")",H208)-FIND("(",H208)-1),"???")
        )
    )
)</f>
        <v>32</v>
      </c>
      <c r="J208" s="11" t="s">
        <v>452</v>
      </c>
      <c r="K208" s="11"/>
      <c r="L208" s="9"/>
      <c r="M208" s="11" t="str">
        <f t="shared" si="10"/>
        <v/>
      </c>
      <c r="N208" s="11" t="s">
        <v>473</v>
      </c>
      <c r="O208" s="11" t="s">
        <v>473</v>
      </c>
      <c r="P208" s="11" t="s">
        <v>526</v>
      </c>
      <c r="Q208" s="11"/>
      <c r="R208" s="9"/>
      <c r="S208" s="9"/>
      <c r="T208" s="9"/>
      <c r="U208" s="11"/>
    </row>
    <row r="209" spans="1:21" ht="18.75" customHeight="1">
      <c r="A209" s="9" t="s">
        <v>46</v>
      </c>
      <c r="B209" s="9" t="str">
        <f t="shared" ca="1" si="9"/>
        <v>screen_element.message_id</v>
      </c>
      <c r="C209" s="10">
        <f t="shared" si="11"/>
        <v>208</v>
      </c>
      <c r="D209" s="11" t="str" cm="1">
        <f t="array" aca="1" ref="D209" ca="1">INDIRECT(ADDRESS(ROW()-1,COLUMN()))</f>
        <v>screen_element</v>
      </c>
      <c r="E209" s="11" t="str" cm="1">
        <f t="array" aca="1" ref="E209" ca="1">INDIRECT(ADDRESS(ROW()-1,COLUMN()))</f>
        <v>画面要素</v>
      </c>
      <c r="F209" s="11" t="s">
        <v>189</v>
      </c>
      <c r="G209" s="11" t="s">
        <v>190</v>
      </c>
      <c r="H209" s="11" t="s">
        <v>71</v>
      </c>
      <c r="I209" s="11">
        <f>_xlfn.XLOOKUP(
    $H209,
    型とバイト数!$B$3:$B$54,
    型とバイト数!$E$3:$E$54,
    IF(LEFT($H209,7)="varchar",MID(H209,FIND("(",H209)+1,FIND(")",H209)-FIND("(",H209)-1)*8,
        IF(LEFT($H209,4)="char",MID(H209,FIND("(",H209)+1,FIND(")",H209)-FIND("(",H209)-1)*8,
            IF(LEFT($H209,3)="bit",MID(H209,FIND("(",H209)+1,FIND(")",H209)-FIND("(",H209)-1),"???")
        )
    )
)</f>
        <v>128</v>
      </c>
      <c r="J209" s="11"/>
      <c r="K209" s="11"/>
      <c r="L209" s="9"/>
      <c r="M209" s="11" t="str">
        <f t="shared" si="10"/>
        <v/>
      </c>
      <c r="N209" s="11" t="s">
        <v>465</v>
      </c>
      <c r="O209" s="11" t="s">
        <v>465</v>
      </c>
      <c r="P209" s="11"/>
      <c r="Q209" s="11" t="s">
        <v>191</v>
      </c>
      <c r="R209" s="9"/>
      <c r="S209" s="9"/>
      <c r="T209" s="9"/>
      <c r="U209" s="11"/>
    </row>
    <row r="210" spans="1:21" ht="18.75" customHeight="1">
      <c r="A210" s="9" t="s">
        <v>46</v>
      </c>
      <c r="B210" s="9" t="str">
        <f t="shared" ca="1" si="9"/>
        <v>screen_element.create_datetime</v>
      </c>
      <c r="C210" s="10">
        <f t="shared" si="11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104</v>
      </c>
      <c r="G210" s="11" t="s">
        <v>105</v>
      </c>
      <c r="H210" s="11" t="s">
        <v>487</v>
      </c>
      <c r="I210" s="11">
        <f>_xlfn.XLOOKUP(
    $H210,
    型とバイト数!$B$3:$B$54,
    型とバイト数!$E$3:$E$54,
    IF(LEFT($H210,7)="varchar",MID(H210,FIND("(",H210)+1,FIND(")",H210)-FIND("(",H210)-1)*8,
        IF(LEFT($H210,4)="char",MID(H210,FIND("(",H210)+1,FIND(")",H210)-FIND("(",H210)-1)*8,
            IF(LEFT($H210,3)="bit",MID(H210,FIND("(",H210)+1,FIND(")",H210)-FIND("(",H210)-1),"???")
        )
    )
)</f>
        <v>64</v>
      </c>
      <c r="J210" s="11"/>
      <c r="K210" s="11"/>
      <c r="L210" s="9"/>
      <c r="M210" s="11" t="str">
        <f t="shared" si="10"/>
        <v/>
      </c>
      <c r="N210" s="11" t="s">
        <v>48</v>
      </c>
      <c r="O210" s="11"/>
      <c r="P210" s="11" t="s">
        <v>106</v>
      </c>
      <c r="Q210" s="11"/>
      <c r="R210" s="9"/>
      <c r="S210" s="9"/>
      <c r="T210" s="9"/>
      <c r="U210" s="11"/>
    </row>
    <row r="211" spans="1:21" ht="18.75" customHeight="1">
      <c r="A211" s="9" t="s">
        <v>46</v>
      </c>
      <c r="B211" s="9" t="str">
        <f t="shared" ca="1" si="9"/>
        <v>screen_element.create_user</v>
      </c>
      <c r="C211" s="10">
        <f t="shared" si="11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107</v>
      </c>
      <c r="G211" s="11" t="s">
        <v>108</v>
      </c>
      <c r="H211" s="11" t="s">
        <v>65</v>
      </c>
      <c r="I211" s="11">
        <f>_xlfn.XLOOKUP(
    $H211,
    型とバイト数!$B$3:$B$54,
    型とバイト数!$E$3:$E$54,
    IF(LEFT($H211,7)="varchar",MID(H211,FIND("(",H211)+1,FIND(")",H211)-FIND("(",H211)-1)*8,
        IF(LEFT($H211,4)="char",MID(H211,FIND("(",H211)+1,FIND(")",H211)-FIND("(",H211)-1)*8,
            IF(LEFT($H211,3)="bit",MID(H211,FIND("(",H211)+1,FIND(")",H211)-FIND("(",H211)-1),"???")
        )
    )
)</f>
        <v>256</v>
      </c>
      <c r="J211" s="11"/>
      <c r="K211" s="11"/>
      <c r="L211" s="9"/>
      <c r="M211" s="11" t="str">
        <f t="shared" si="10"/>
        <v/>
      </c>
      <c r="N211" s="11" t="s">
        <v>48</v>
      </c>
      <c r="O211" s="11"/>
      <c r="P211" s="11" t="s">
        <v>109</v>
      </c>
      <c r="Q211" s="11"/>
      <c r="R211" s="9"/>
      <c r="S211" s="9"/>
      <c r="T211" s="9"/>
      <c r="U211" s="11" t="s">
        <v>110</v>
      </c>
    </row>
    <row r="212" spans="1:21" ht="18.75" customHeight="1">
      <c r="A212" s="9" t="s">
        <v>46</v>
      </c>
      <c r="B212" s="9" t="str">
        <f t="shared" ref="B212:B243" ca="1" si="12">D212&amp;"."&amp;F212</f>
        <v>screen_element.update_datetime</v>
      </c>
      <c r="C212" s="10">
        <f t="shared" si="11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111</v>
      </c>
      <c r="G212" s="11" t="s">
        <v>112</v>
      </c>
      <c r="H212" s="11" t="s">
        <v>487</v>
      </c>
      <c r="I212" s="11">
        <f>_xlfn.XLOOKUP(
    $H212,
    型とバイト数!$B$3:$B$54,
    型とバイト数!$E$3:$E$54,
    IF(LEFT($H212,7)="varchar",MID(H212,FIND("(",H212)+1,FIND(")",H212)-FIND("(",H212)-1)*8,
        IF(LEFT($H212,4)="char",MID(H212,FIND("(",H212)+1,FIND(")",H212)-FIND("(",H212)-1)*8,
            IF(LEFT($H212,3)="bit",MID(H212,FIND("(",H212)+1,FIND(")",H212)-FIND("(",H212)-1),"???")
        )
    )
)</f>
        <v>64</v>
      </c>
      <c r="J212" s="11"/>
      <c r="K212" s="11"/>
      <c r="L212" s="9"/>
      <c r="M212" s="11" t="str">
        <f t="shared" si="10"/>
        <v/>
      </c>
      <c r="N212" s="11" t="s">
        <v>48</v>
      </c>
      <c r="O212" s="11"/>
      <c r="P212" s="11" t="s">
        <v>106</v>
      </c>
      <c r="Q212" s="11"/>
      <c r="R212" s="9"/>
      <c r="S212" s="9"/>
      <c r="T212" s="9"/>
      <c r="U212" s="11"/>
    </row>
    <row r="213" spans="1:21" ht="18.75" customHeight="1">
      <c r="A213" s="9" t="s">
        <v>46</v>
      </c>
      <c r="B213" s="9" t="str">
        <f t="shared" ca="1" si="12"/>
        <v>screen_element.update_user</v>
      </c>
      <c r="C213" s="10">
        <f t="shared" si="11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113</v>
      </c>
      <c r="G213" s="11" t="s">
        <v>114</v>
      </c>
      <c r="H213" s="11" t="s">
        <v>65</v>
      </c>
      <c r="I213" s="11">
        <f>_xlfn.XLOOKUP(
    $H213,
    型とバイト数!$B$3:$B$54,
    型とバイト数!$E$3:$E$54,
    IF(LEFT($H213,7)="varchar",MID(H213,FIND("(",H213)+1,FIND(")",H213)-FIND("(",H213)-1)*8,
        IF(LEFT($H213,4)="char",MID(H213,FIND("(",H213)+1,FIND(")",H213)-FIND("(",H213)-1)*8,
            IF(LEFT($H213,3)="bit",MID(H213,FIND("(",H213)+1,FIND(")",H213)-FIND("(",H213)-1),"???")
        )
    )
)</f>
        <v>256</v>
      </c>
      <c r="J213" s="11"/>
      <c r="K213" s="11"/>
      <c r="L213" s="9"/>
      <c r="M213" s="11" t="str">
        <f t="shared" si="10"/>
        <v/>
      </c>
      <c r="N213" s="11" t="s">
        <v>48</v>
      </c>
      <c r="O213" s="11"/>
      <c r="P213" s="11" t="s">
        <v>109</v>
      </c>
      <c r="Q213" s="11"/>
      <c r="R213" s="9"/>
      <c r="S213" s="9"/>
      <c r="T213" s="9"/>
      <c r="U213" s="11" t="s">
        <v>110</v>
      </c>
    </row>
    <row r="214" spans="1:21" ht="18.75" customHeight="1">
      <c r="A214" s="9" t="s">
        <v>46</v>
      </c>
      <c r="B214" s="9" t="str">
        <f t="shared" ca="1" si="12"/>
        <v>screen_element.soft_delete_flag</v>
      </c>
      <c r="C214" s="10">
        <f t="shared" si="11"/>
        <v>213</v>
      </c>
      <c r="D214" s="11" t="str" cm="1">
        <f t="array" aca="1" ref="D214" ca="1">INDIRECT(ADDRESS(ROW()-1,COLUMN()))</f>
        <v>screen_element</v>
      </c>
      <c r="E214" s="11" t="str" cm="1">
        <f t="array" aca="1" ref="E214" ca="1">INDIRECT(ADDRESS(ROW()-1,COLUMN()))</f>
        <v>画面要素</v>
      </c>
      <c r="F214" s="11" t="s">
        <v>115</v>
      </c>
      <c r="G214" s="11" t="s">
        <v>116</v>
      </c>
      <c r="H214" s="11" t="s">
        <v>489</v>
      </c>
      <c r="I214" s="11">
        <f>_xlfn.XLOOKUP(
    $H214,
    型とバイト数!$B$3:$B$54,
    型とバイト数!$E$3:$E$54,
    IF(LEFT($H214,7)="varchar",MID(H214,FIND("(",H214)+1,FIND(")",H214)-FIND("(",H214)-1)*8,
        IF(LEFT($H214,4)="char",MID(H214,FIND("(",H214)+1,FIND(")",H214)-FIND("(",H214)-1)*8,
            IF(LEFT($H214,3)="bit",MID(H214,FIND("(",H214)+1,FIND(")",H214)-FIND("(",H214)-1),"???")
        )
    )
)</f>
        <v>8</v>
      </c>
      <c r="J214" s="11"/>
      <c r="K214" s="11"/>
      <c r="L214" s="9"/>
      <c r="M214" s="11" t="str">
        <f t="shared" si="10"/>
        <v/>
      </c>
      <c r="N214" s="11" t="s">
        <v>48</v>
      </c>
      <c r="O214" s="11"/>
      <c r="P214" s="11" t="b">
        <v>0</v>
      </c>
      <c r="Q214" s="11"/>
      <c r="R214" s="9"/>
      <c r="S214" s="9"/>
      <c r="T214" s="9"/>
      <c r="U214" s="11"/>
    </row>
    <row r="215" spans="1:21" ht="18.75" customHeight="1">
      <c r="A215" s="9" t="s">
        <v>46</v>
      </c>
      <c r="B215" s="9" t="str">
        <f t="shared" si="12"/>
        <v>likes.likes_sequence_id</v>
      </c>
      <c r="C215" s="10">
        <f t="shared" si="11"/>
        <v>214</v>
      </c>
      <c r="D215" s="11" t="s">
        <v>474</v>
      </c>
      <c r="E215" s="11" t="s">
        <v>98</v>
      </c>
      <c r="F215" s="11" t="str">
        <f>D215&amp;"_sequence_id"</f>
        <v>likes_sequence_id</v>
      </c>
      <c r="G215" s="11" t="str">
        <f>E215&amp;"ID"</f>
        <v>いいねID</v>
      </c>
      <c r="H215" s="11" t="s">
        <v>527</v>
      </c>
      <c r="I215" s="11">
        <f>_xlfn.XLOOKUP(
    $H215,
    型とバイト数!$B$3:$B$54,
    型とバイト数!$E$3:$E$54,
    IF(LEFT($H215,7)="varchar",MID(H215,FIND("(",H215)+1,FIND(")",H215)-FIND("(",H215)-1)*8,
        IF(LEFT($H215,4)="char",MID(H215,FIND("(",H215)+1,FIND(")",H215)-FIND("(",H215)-1)*8,
            IF(LEFT($H215,3)="bit",MID(H215,FIND("(",H215)+1,FIND(")",H215)-FIND("(",H215)-1),"???")
        )
    )
)</f>
        <v>32</v>
      </c>
      <c r="J215" s="11" t="s">
        <v>452</v>
      </c>
      <c r="K215" s="11"/>
      <c r="L215" s="9"/>
      <c r="M215" s="11" t="str">
        <f t="shared" si="10"/>
        <v/>
      </c>
      <c r="N215" s="11" t="s">
        <v>473</v>
      </c>
      <c r="O215" s="11" t="s">
        <v>473</v>
      </c>
      <c r="P215" s="11" t="s">
        <v>526</v>
      </c>
      <c r="Q215" s="11"/>
      <c r="R215" s="9"/>
      <c r="S215" s="9"/>
      <c r="T215" s="9"/>
      <c r="U215" s="11"/>
    </row>
    <row r="216" spans="1:21" ht="18.75" customHeight="1">
      <c r="A216" s="9" t="s">
        <v>46</v>
      </c>
      <c r="B216" s="9" t="str">
        <f t="shared" si="12"/>
        <v>likes.likes_do_user</v>
      </c>
      <c r="C216" s="10">
        <f t="shared" si="11"/>
        <v>215</v>
      </c>
      <c r="D216" s="11" t="s">
        <v>474</v>
      </c>
      <c r="E216" s="11" t="str" cm="1">
        <f t="array" aca="1" ref="E216" ca="1">INDIRECT(ADDRESS(ROW()-1,COLUMN()))</f>
        <v>いいね</v>
      </c>
      <c r="F216" s="11" t="s">
        <v>475</v>
      </c>
      <c r="G216" s="11" t="s">
        <v>257</v>
      </c>
      <c r="H216" s="11" t="s">
        <v>99</v>
      </c>
      <c r="I216" s="11">
        <f>_xlfn.XLOOKUP(
    $H216,
    型とバイト数!$B$3:$B$54,
    型とバイト数!$E$3:$E$54,
    IF(LEFT($H216,7)="varchar",MID(H216,FIND("(",H216)+1,FIND(")",H216)-FIND("(",H216)-1)*8,
        IF(LEFT($H216,4)="char",MID(H216,FIND("(",H216)+1,FIND(")",H216)-FIND("(",H216)-1)*8,
            IF(LEFT($H216,3)="bit",MID(H216,FIND("(",H216)+1,FIND(")",H216)-FIND("(",H216)-1),"???")
        )
    )
)</f>
        <v>32</v>
      </c>
      <c r="J216" s="11"/>
      <c r="K216" s="11" t="s">
        <v>455</v>
      </c>
      <c r="L216" s="9" t="s">
        <v>530</v>
      </c>
      <c r="M216" s="11">
        <f t="shared" ca="1" si="10"/>
        <v>150</v>
      </c>
      <c r="N216" s="11" t="s">
        <v>48</v>
      </c>
      <c r="O216" s="11" t="s">
        <v>472</v>
      </c>
      <c r="P216" s="11"/>
      <c r="Q216" s="11" t="s">
        <v>552</v>
      </c>
      <c r="R216" s="9"/>
      <c r="S216" s="9"/>
      <c r="T216" s="9"/>
      <c r="U216" s="11"/>
    </row>
    <row r="217" spans="1:21" ht="18.75" customHeight="1">
      <c r="A217" s="9" t="s">
        <v>46</v>
      </c>
      <c r="B217" s="9" t="str">
        <f t="shared" ca="1" si="12"/>
        <v>likes.likes_target_user</v>
      </c>
      <c r="C217" s="10">
        <f t="shared" si="11"/>
        <v>216</v>
      </c>
      <c r="D217" s="11" t="str" cm="1">
        <f t="array" aca="1" ref="D217" ca="1">INDIRECT(ADDRESS(ROW()-1,COLUMN()))</f>
        <v>likes</v>
      </c>
      <c r="E217" s="11" t="str" cm="1">
        <f t="array" aca="1" ref="E217" ca="1">INDIRECT(ADDRESS(ROW()-1,COLUMN()))</f>
        <v>いいね</v>
      </c>
      <c r="F217" s="11" t="s">
        <v>476</v>
      </c>
      <c r="G217" s="11" t="s">
        <v>258</v>
      </c>
      <c r="H217" s="11" t="s">
        <v>99</v>
      </c>
      <c r="I217" s="11">
        <f>_xlfn.XLOOKUP(
    $H217,
    型とバイト数!$B$3:$B$54,
    型とバイト数!$E$3:$E$54,
    IF(LEFT($H217,7)="varchar",MID(H217,FIND("(",H217)+1,FIND(")",H217)-FIND("(",H217)-1)*8,
        IF(LEFT($H217,4)="char",MID(H217,FIND("(",H217)+1,FIND(")",H217)-FIND("(",H217)-1)*8,
            IF(LEFT($H217,3)="bit",MID(H217,FIND("(",H217)+1,FIND(")",H217)-FIND("(",H217)-1),"???")
        )
    )
)</f>
        <v>32</v>
      </c>
      <c r="J217" s="11"/>
      <c r="K217" s="11" t="s">
        <v>455</v>
      </c>
      <c r="L217" s="9" t="s">
        <v>530</v>
      </c>
      <c r="M217" s="11">
        <f t="shared" ca="1" si="10"/>
        <v>150</v>
      </c>
      <c r="N217" s="11" t="s">
        <v>48</v>
      </c>
      <c r="O217" s="11" t="s">
        <v>472</v>
      </c>
      <c r="P217" s="11"/>
      <c r="Q217" s="11" t="s">
        <v>553</v>
      </c>
      <c r="R217" s="9"/>
      <c r="S217" s="9"/>
      <c r="T217" s="9"/>
      <c r="U217" s="11"/>
    </row>
    <row r="218" spans="1:21" ht="18.75" customHeight="1">
      <c r="A218" s="9" t="s">
        <v>46</v>
      </c>
      <c r="B218" s="9" t="str">
        <f t="shared" ca="1" si="12"/>
        <v>likes.likes_type</v>
      </c>
      <c r="C218" s="10">
        <f t="shared" si="11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477</v>
      </c>
      <c r="G218" s="11" t="s">
        <v>259</v>
      </c>
      <c r="H218" s="11" t="s">
        <v>488</v>
      </c>
      <c r="I218" s="11" t="str">
        <f>_xlfn.XLOOKUP(
    $H218,
    型とバイト数!$B$3:$B$54,
    型とバイト数!$E$3:$E$54,
    IF(LEFT($H218,7)="varchar",MID(H218,FIND("(",H218)+1,FIND(")",H218)-FIND("(",H218)-1)*8,
        IF(LEFT($H218,4)="char",MID(H218,FIND("(",H218)+1,FIND(")",H218)-FIND("(",H218)-1)*8,
            IF(LEFT($H218,3)="bit",MID(H218,FIND("(",H218)+1,FIND(")",H218)-FIND("(",H218)-1),"???")
        )
    )
)</f>
        <v>-</v>
      </c>
      <c r="J218" s="11"/>
      <c r="K218" s="11"/>
      <c r="L218" s="9"/>
      <c r="M218" s="11" t="str">
        <f t="shared" si="10"/>
        <v/>
      </c>
      <c r="N218" s="11" t="s">
        <v>48</v>
      </c>
      <c r="O218" s="11" t="s">
        <v>472</v>
      </c>
      <c r="P218" s="11"/>
      <c r="Q218" s="11" t="s">
        <v>478</v>
      </c>
      <c r="R218" s="9"/>
      <c r="S218" s="9"/>
      <c r="T218" s="9"/>
      <c r="U218" s="11"/>
    </row>
    <row r="219" spans="1:21" ht="18.75" customHeight="1">
      <c r="A219" s="9" t="s">
        <v>46</v>
      </c>
      <c r="B219" s="9" t="str">
        <f t="shared" ca="1" si="12"/>
        <v>likes.likes_datetime</v>
      </c>
      <c r="C219" s="10">
        <f t="shared" si="11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479</v>
      </c>
      <c r="G219" s="11" t="s">
        <v>260</v>
      </c>
      <c r="H219" s="11" t="s">
        <v>487</v>
      </c>
      <c r="I219" s="11">
        <f>_xlfn.XLOOKUP(
    $H219,
    型とバイト数!$B$3:$B$54,
    型とバイト数!$E$3:$E$54,
    IF(LEFT($H219,7)="varchar",MID(H219,FIND("(",H219)+1,FIND(")",H219)-FIND("(",H219)-1)*8,
        IF(LEFT($H219,4)="char",MID(H219,FIND("(",H219)+1,FIND(")",H219)-FIND("(",H219)-1)*8,
            IF(LEFT($H219,3)="bit",MID(H219,FIND("(",H219)+1,FIND(")",H219)-FIND("(",H219)-1),"???")
        )
    )
)</f>
        <v>64</v>
      </c>
      <c r="J219" s="11"/>
      <c r="K219" s="11"/>
      <c r="L219" s="9"/>
      <c r="M219" s="11" t="str">
        <f t="shared" si="10"/>
        <v/>
      </c>
      <c r="N219" s="11" t="s">
        <v>48</v>
      </c>
      <c r="O219" s="11"/>
      <c r="P219" s="11"/>
      <c r="Q219" s="11"/>
      <c r="R219" s="9"/>
      <c r="S219" s="9"/>
      <c r="T219" s="9"/>
      <c r="U219" s="11"/>
    </row>
    <row r="220" spans="1:21" ht="18.75" customHeight="1">
      <c r="A220" s="9" t="s">
        <v>46</v>
      </c>
      <c r="B220" s="9" t="str">
        <f t="shared" ca="1" si="12"/>
        <v>likes.create_datetime</v>
      </c>
      <c r="C220" s="10">
        <f t="shared" si="11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104</v>
      </c>
      <c r="G220" s="11" t="s">
        <v>105</v>
      </c>
      <c r="H220" s="11" t="s">
        <v>487</v>
      </c>
      <c r="I220" s="11">
        <f>_xlfn.XLOOKUP(
    $H220,
    型とバイト数!$B$3:$B$54,
    型とバイト数!$E$3:$E$54,
    IF(LEFT($H220,7)="varchar",MID(H220,FIND("(",H220)+1,FIND(")",H220)-FIND("(",H220)-1)*8,
        IF(LEFT($H220,4)="char",MID(H220,FIND("(",H220)+1,FIND(")",H220)-FIND("(",H220)-1)*8,
            IF(LEFT($H220,3)="bit",MID(H220,FIND("(",H220)+1,FIND(")",H220)-FIND("(",H220)-1),"???")
        )
    )
)</f>
        <v>64</v>
      </c>
      <c r="J220" s="11"/>
      <c r="K220" s="11"/>
      <c r="L220" s="9"/>
      <c r="M220" s="11" t="str">
        <f t="shared" si="10"/>
        <v/>
      </c>
      <c r="N220" s="11" t="s">
        <v>48</v>
      </c>
      <c r="O220" s="11"/>
      <c r="P220" s="11" t="s">
        <v>106</v>
      </c>
      <c r="Q220" s="11"/>
      <c r="R220" s="9"/>
      <c r="S220" s="9"/>
      <c r="T220" s="9"/>
      <c r="U220" s="11"/>
    </row>
    <row r="221" spans="1:21" ht="18.75" customHeight="1">
      <c r="A221" s="9" t="s">
        <v>46</v>
      </c>
      <c r="B221" s="9" t="str">
        <f t="shared" ca="1" si="12"/>
        <v>likes.create_user</v>
      </c>
      <c r="C221" s="10">
        <f t="shared" si="11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107</v>
      </c>
      <c r="G221" s="11" t="s">
        <v>108</v>
      </c>
      <c r="H221" s="11" t="s">
        <v>65</v>
      </c>
      <c r="I221" s="11">
        <f>_xlfn.XLOOKUP(
    $H221,
    型とバイト数!$B$3:$B$54,
    型とバイト数!$E$3:$E$54,
    IF(LEFT($H221,7)="varchar",MID(H221,FIND("(",H221)+1,FIND(")",H221)-FIND("(",H221)-1)*8,
        IF(LEFT($H221,4)="char",MID(H221,FIND("(",H221)+1,FIND(")",H221)-FIND("(",H221)-1)*8,
            IF(LEFT($H221,3)="bit",MID(H221,FIND("(",H221)+1,FIND(")",H221)-FIND("(",H221)-1),"???")
        )
    )
)</f>
        <v>256</v>
      </c>
      <c r="J221" s="11"/>
      <c r="K221" s="11"/>
      <c r="L221" s="9"/>
      <c r="M221" s="11" t="str">
        <f t="shared" si="10"/>
        <v/>
      </c>
      <c r="N221" s="11" t="s">
        <v>48</v>
      </c>
      <c r="O221" s="11"/>
      <c r="P221" s="11" t="s">
        <v>109</v>
      </c>
      <c r="Q221" s="11"/>
      <c r="R221" s="9"/>
      <c r="S221" s="9"/>
      <c r="T221" s="9"/>
      <c r="U221" s="11" t="s">
        <v>110</v>
      </c>
    </row>
    <row r="222" spans="1:21" ht="18.75" customHeight="1">
      <c r="A222" s="9" t="s">
        <v>46</v>
      </c>
      <c r="B222" s="9" t="str">
        <f t="shared" ca="1" si="12"/>
        <v>likes.update_datetime</v>
      </c>
      <c r="C222" s="10">
        <f t="shared" si="11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111</v>
      </c>
      <c r="G222" s="11" t="s">
        <v>112</v>
      </c>
      <c r="H222" s="11" t="s">
        <v>487</v>
      </c>
      <c r="I222" s="11">
        <f>_xlfn.XLOOKUP(
    $H222,
    型とバイト数!$B$3:$B$54,
    型とバイト数!$E$3:$E$54,
    IF(LEFT($H222,7)="varchar",MID(H222,FIND("(",H222)+1,FIND(")",H222)-FIND("(",H222)-1)*8,
        IF(LEFT($H222,4)="char",MID(H222,FIND("(",H222)+1,FIND(")",H222)-FIND("(",H222)-1)*8,
            IF(LEFT($H222,3)="bit",MID(H222,FIND("(",H222)+1,FIND(")",H222)-FIND("(",H222)-1),"???")
        )
    )
)</f>
        <v>64</v>
      </c>
      <c r="J222" s="11"/>
      <c r="K222" s="11"/>
      <c r="L222" s="9"/>
      <c r="M222" s="11" t="str">
        <f t="shared" si="10"/>
        <v/>
      </c>
      <c r="N222" s="11" t="s">
        <v>48</v>
      </c>
      <c r="O222" s="11"/>
      <c r="P222" s="11" t="s">
        <v>106</v>
      </c>
      <c r="Q222" s="11"/>
      <c r="R222" s="9"/>
      <c r="S222" s="9"/>
      <c r="T222" s="9"/>
      <c r="U222" s="11"/>
    </row>
    <row r="223" spans="1:21" ht="18.75" customHeight="1">
      <c r="A223" s="9" t="s">
        <v>46</v>
      </c>
      <c r="B223" s="9" t="str">
        <f t="shared" ca="1" si="12"/>
        <v>likes.update_user</v>
      </c>
      <c r="C223" s="10">
        <f t="shared" si="11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113</v>
      </c>
      <c r="G223" s="11" t="s">
        <v>114</v>
      </c>
      <c r="H223" s="11" t="s">
        <v>65</v>
      </c>
      <c r="I223" s="11">
        <f>_xlfn.XLOOKUP(
    $H223,
    型とバイト数!$B$3:$B$54,
    型とバイト数!$E$3:$E$54,
    IF(LEFT($H223,7)="varchar",MID(H223,FIND("(",H223)+1,FIND(")",H223)-FIND("(",H223)-1)*8,
        IF(LEFT($H223,4)="char",MID(H223,FIND("(",H223)+1,FIND(")",H223)-FIND("(",H223)-1)*8,
            IF(LEFT($H223,3)="bit",MID(H223,FIND("(",H223)+1,FIND(")",H223)-FIND("(",H223)-1),"???")
        )
    )
)</f>
        <v>256</v>
      </c>
      <c r="J223" s="11"/>
      <c r="K223" s="11"/>
      <c r="L223" s="9"/>
      <c r="M223" s="11" t="str">
        <f t="shared" si="10"/>
        <v/>
      </c>
      <c r="N223" s="11" t="s">
        <v>48</v>
      </c>
      <c r="O223" s="11"/>
      <c r="P223" s="11" t="s">
        <v>109</v>
      </c>
      <c r="Q223" s="11"/>
      <c r="R223" s="9"/>
      <c r="S223" s="9"/>
      <c r="T223" s="9"/>
      <c r="U223" s="11" t="s">
        <v>110</v>
      </c>
    </row>
    <row r="224" spans="1:21" ht="18.75" customHeight="1">
      <c r="A224" s="9" t="s">
        <v>46</v>
      </c>
      <c r="B224" s="9" t="str">
        <f t="shared" ca="1" si="12"/>
        <v>likes.soft_delete_flag</v>
      </c>
      <c r="C224" s="10">
        <f t="shared" si="11"/>
        <v>223</v>
      </c>
      <c r="D224" s="11" t="str" cm="1">
        <f t="array" aca="1" ref="D224" ca="1">INDIRECT(ADDRESS(ROW()-1,COLUMN()))</f>
        <v>likes</v>
      </c>
      <c r="E224" s="11" t="str" cm="1">
        <f t="array" aca="1" ref="E224" ca="1">INDIRECT(ADDRESS(ROW()-1,COLUMN()))</f>
        <v>いいね</v>
      </c>
      <c r="F224" s="11" t="s">
        <v>115</v>
      </c>
      <c r="G224" s="11" t="s">
        <v>116</v>
      </c>
      <c r="H224" s="11" t="s">
        <v>489</v>
      </c>
      <c r="I224" s="11">
        <f>_xlfn.XLOOKUP(
    $H224,
    型とバイト数!$B$3:$B$54,
    型とバイト数!$E$3:$E$54,
    IF(LEFT($H224,7)="varchar",MID(H224,FIND("(",H224)+1,FIND(")",H224)-FIND("(",H224)-1)*8,
        IF(LEFT($H224,4)="char",MID(H224,FIND("(",H224)+1,FIND(")",H224)-FIND("(",H224)-1)*8,
            IF(LEFT($H224,3)="bit",MID(H224,FIND("(",H224)+1,FIND(")",H224)-FIND("(",H224)-1),"???")
        )
    )
)</f>
        <v>8</v>
      </c>
      <c r="J224" s="11"/>
      <c r="K224" s="11"/>
      <c r="L224" s="9"/>
      <c r="M224" s="11" t="str">
        <f t="shared" si="10"/>
        <v/>
      </c>
      <c r="N224" s="11" t="s">
        <v>48</v>
      </c>
      <c r="O224" s="11"/>
      <c r="P224" s="11" t="b">
        <v>0</v>
      </c>
      <c r="Q224" s="11"/>
      <c r="R224" s="9"/>
      <c r="S224" s="9"/>
      <c r="T224" s="9"/>
      <c r="U224" s="11"/>
    </row>
    <row r="225" spans="1:21" ht="18.75" customHeight="1">
      <c r="A225" s="9" t="s">
        <v>46</v>
      </c>
      <c r="B225" s="9" t="str">
        <f t="shared" si="12"/>
        <v>movie_link.movie_link_sequence_id</v>
      </c>
      <c r="C225" s="10">
        <f t="shared" si="11"/>
        <v>224</v>
      </c>
      <c r="D225" s="11" t="s">
        <v>261</v>
      </c>
      <c r="E225" s="11" t="s">
        <v>77</v>
      </c>
      <c r="F225" s="11" t="str">
        <f>D225&amp;"_sequence_id"</f>
        <v>movie_link_sequence_id</v>
      </c>
      <c r="G225" s="11" t="str">
        <f>E225&amp;"ID"</f>
        <v>動画リンクID</v>
      </c>
      <c r="H225" s="11" t="s">
        <v>527</v>
      </c>
      <c r="I225" s="11">
        <f>_xlfn.XLOOKUP(
    $H225,
    型とバイト数!$B$3:$B$54,
    型とバイト数!$E$3:$E$54,
    IF(LEFT($H225,7)="varchar",MID(H225,FIND("(",H225)+1,FIND(")",H225)-FIND("(",H225)-1)*8,
        IF(LEFT($H225,4)="char",MID(H225,FIND("(",H225)+1,FIND(")",H225)-FIND("(",H225)-1)*8,
            IF(LEFT($H225,3)="bit",MID(H225,FIND("(",H225)+1,FIND(")",H225)-FIND("(",H225)-1),"???")
        )
    )
)</f>
        <v>32</v>
      </c>
      <c r="J225" s="11" t="s">
        <v>452</v>
      </c>
      <c r="K225" s="11"/>
      <c r="L225" s="9"/>
      <c r="M225" s="11" t="str">
        <f t="shared" si="10"/>
        <v/>
      </c>
      <c r="N225" s="11" t="s">
        <v>473</v>
      </c>
      <c r="O225" s="11" t="s">
        <v>473</v>
      </c>
      <c r="P225" s="11" t="s">
        <v>526</v>
      </c>
      <c r="Q225" s="11"/>
      <c r="R225" s="9"/>
      <c r="S225" s="9"/>
      <c r="T225" s="9"/>
      <c r="U225" s="11"/>
    </row>
    <row r="226" spans="1:21" ht="18.75" customHeight="1">
      <c r="A226" s="9" t="s">
        <v>46</v>
      </c>
      <c r="B226" s="9" t="str">
        <f t="shared" ca="1" si="12"/>
        <v>movie_link.vtuber_profiles_id</v>
      </c>
      <c r="C226" s="10">
        <f t="shared" si="11"/>
        <v>225</v>
      </c>
      <c r="D226" s="11" t="str" cm="1">
        <f t="array" aca="1" ref="D226" ca="1">INDIRECT(ADDRESS(ROW()-1,COLUMN()))</f>
        <v>movie_link</v>
      </c>
      <c r="E226" s="11" t="str" cm="1">
        <f t="array" aca="1" ref="E226" ca="1">INDIRECT(ADDRESS(ROW()-1,COLUMN()))</f>
        <v>動画リンク</v>
      </c>
      <c r="F226" s="11" t="s">
        <v>49</v>
      </c>
      <c r="G226" s="11" t="s">
        <v>50</v>
      </c>
      <c r="H226" s="11" t="s">
        <v>99</v>
      </c>
      <c r="I226" s="11">
        <f>_xlfn.XLOOKUP(
    $H226,
    型とバイト数!$B$3:$B$54,
    型とバイト数!$E$3:$E$54,
    IF(LEFT($H226,7)="varchar",MID(H226,FIND("(",H226)+1,FIND(")",H226)-FIND("(",H226)-1)*8,
        IF(LEFT($H226,4)="char",MID(H226,FIND("(",H226)+1,FIND(")",H226)-FIND("(",H226)-1)*8,
            IF(LEFT($H226,3)="bit",MID(H226,FIND("(",H226)+1,FIND(")",H226)-FIND("(",H226)-1),"???")
        )
    )
)</f>
        <v>32</v>
      </c>
      <c r="J226" s="11"/>
      <c r="K226" s="11" t="s">
        <v>48</v>
      </c>
      <c r="L226" s="9" t="s">
        <v>533</v>
      </c>
      <c r="M226" s="11">
        <f t="shared" si="10"/>
        <v>1</v>
      </c>
      <c r="N226" s="11" t="s">
        <v>48</v>
      </c>
      <c r="O226" s="11"/>
      <c r="P226" s="11"/>
      <c r="Q226" s="11" t="s">
        <v>551</v>
      </c>
      <c r="R226" s="9"/>
      <c r="S226" s="9"/>
      <c r="T226" s="9"/>
      <c r="U226" s="11"/>
    </row>
    <row r="227" spans="1:21" ht="18.75" customHeight="1">
      <c r="A227" s="9" t="s">
        <v>46</v>
      </c>
      <c r="B227" s="9" t="str">
        <f t="shared" ca="1" si="12"/>
        <v>movie_link.url</v>
      </c>
      <c r="C227" s="10">
        <f t="shared" si="11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262</v>
      </c>
      <c r="G227" s="11" t="s">
        <v>263</v>
      </c>
      <c r="H227" s="11" t="s">
        <v>81</v>
      </c>
      <c r="I227" s="11" t="str">
        <f>_xlfn.XLOOKUP(
    $H227,
    型とバイト数!$B$3:$B$54,
    型とバイト数!$E$3:$E$54,
    IF(LEFT($H227,7)="varchar",MID(H227,FIND("(",H227)+1,FIND(")",H227)-FIND("(",H227)-1)*8,
        IF(LEFT($H227,4)="char",MID(H227,FIND("(",H227)+1,FIND(")",H227)-FIND("(",H227)-1)*8,
            IF(LEFT($H227,3)="bit",MID(H227,FIND("(",H227)+1,FIND(")",H227)-FIND("(",H227)-1),"???")
        )
    )
)</f>
        <v>-</v>
      </c>
      <c r="J227" s="11"/>
      <c r="K227" s="11"/>
      <c r="L227" s="9"/>
      <c r="M227" s="11" t="str">
        <f t="shared" si="10"/>
        <v/>
      </c>
      <c r="N227" s="11" t="s">
        <v>48</v>
      </c>
      <c r="O227" s="11"/>
      <c r="P227" s="11"/>
      <c r="Q227" s="11"/>
      <c r="R227" s="9"/>
      <c r="S227" s="9"/>
      <c r="T227" s="9"/>
      <c r="U227" s="11"/>
    </row>
    <row r="228" spans="1:21" ht="18.75" customHeight="1">
      <c r="A228" s="9" t="s">
        <v>46</v>
      </c>
      <c r="B228" s="9" t="str">
        <f t="shared" ca="1" si="12"/>
        <v>movie_link.create_datetime</v>
      </c>
      <c r="C228" s="10">
        <f t="shared" si="11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104</v>
      </c>
      <c r="G228" s="11" t="s">
        <v>105</v>
      </c>
      <c r="H228" s="11" t="s">
        <v>487</v>
      </c>
      <c r="I228" s="11">
        <f>_xlfn.XLOOKUP(
    $H228,
    型とバイト数!$B$3:$B$54,
    型とバイト数!$E$3:$E$54,
    IF(LEFT($H228,7)="varchar",MID(H228,FIND("(",H228)+1,FIND(")",H228)-FIND("(",H228)-1)*8,
        IF(LEFT($H228,4)="char",MID(H228,FIND("(",H228)+1,FIND(")",H228)-FIND("(",H228)-1)*8,
            IF(LEFT($H228,3)="bit",MID(H228,FIND("(",H228)+1,FIND(")",H228)-FIND("(",H228)-1),"???")
        )
    )
)</f>
        <v>64</v>
      </c>
      <c r="J228" s="11"/>
      <c r="K228" s="11"/>
      <c r="L228" s="9"/>
      <c r="M228" s="11" t="str">
        <f t="shared" si="10"/>
        <v/>
      </c>
      <c r="N228" s="11" t="s">
        <v>48</v>
      </c>
      <c r="O228" s="11"/>
      <c r="P228" s="11" t="s">
        <v>106</v>
      </c>
      <c r="Q228" s="11"/>
      <c r="R228" s="9"/>
      <c r="S228" s="9"/>
      <c r="T228" s="9"/>
      <c r="U228" s="11"/>
    </row>
    <row r="229" spans="1:21" ht="18.75" customHeight="1">
      <c r="A229" s="9" t="s">
        <v>46</v>
      </c>
      <c r="B229" s="9" t="str">
        <f t="shared" ca="1" si="12"/>
        <v>movie_link.create_user</v>
      </c>
      <c r="C229" s="10">
        <f t="shared" si="11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107</v>
      </c>
      <c r="G229" s="11" t="s">
        <v>108</v>
      </c>
      <c r="H229" s="11" t="s">
        <v>65</v>
      </c>
      <c r="I229" s="11">
        <f>_xlfn.XLOOKUP(
    $H229,
    型とバイト数!$B$3:$B$54,
    型とバイト数!$E$3:$E$54,
    IF(LEFT($H229,7)="varchar",MID(H229,FIND("(",H229)+1,FIND(")",H229)-FIND("(",H229)-1)*8,
        IF(LEFT($H229,4)="char",MID(H229,FIND("(",H229)+1,FIND(")",H229)-FIND("(",H229)-1)*8,
            IF(LEFT($H229,3)="bit",MID(H229,FIND("(",H229)+1,FIND(")",H229)-FIND("(",H229)-1),"???")
        )
    )
)</f>
        <v>256</v>
      </c>
      <c r="J229" s="11"/>
      <c r="K229" s="11"/>
      <c r="L229" s="9"/>
      <c r="M229" s="11" t="str">
        <f t="shared" si="10"/>
        <v/>
      </c>
      <c r="N229" s="11" t="s">
        <v>48</v>
      </c>
      <c r="O229" s="11"/>
      <c r="P229" s="11" t="s">
        <v>109</v>
      </c>
      <c r="Q229" s="11"/>
      <c r="R229" s="9"/>
      <c r="S229" s="9"/>
      <c r="T229" s="9"/>
      <c r="U229" s="11" t="s">
        <v>110</v>
      </c>
    </row>
    <row r="230" spans="1:21" ht="18.75" customHeight="1">
      <c r="A230" s="9" t="s">
        <v>46</v>
      </c>
      <c r="B230" s="9" t="str">
        <f t="shared" ca="1" si="12"/>
        <v>movie_link.update_datetime</v>
      </c>
      <c r="C230" s="10">
        <f t="shared" si="11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111</v>
      </c>
      <c r="G230" s="11" t="s">
        <v>112</v>
      </c>
      <c r="H230" s="11" t="s">
        <v>487</v>
      </c>
      <c r="I230" s="11">
        <f>_xlfn.XLOOKUP(
    $H230,
    型とバイト数!$B$3:$B$54,
    型とバイト数!$E$3:$E$54,
    IF(LEFT($H230,7)="varchar",MID(H230,FIND("(",H230)+1,FIND(")",H230)-FIND("(",H230)-1)*8,
        IF(LEFT($H230,4)="char",MID(H230,FIND("(",H230)+1,FIND(")",H230)-FIND("(",H230)-1)*8,
            IF(LEFT($H230,3)="bit",MID(H230,FIND("(",H230)+1,FIND(")",H230)-FIND("(",H230)-1),"???")
        )
    )
)</f>
        <v>64</v>
      </c>
      <c r="J230" s="11"/>
      <c r="K230" s="11"/>
      <c r="L230" s="9"/>
      <c r="M230" s="11" t="str">
        <f t="shared" si="10"/>
        <v/>
      </c>
      <c r="N230" s="11" t="s">
        <v>48</v>
      </c>
      <c r="O230" s="11"/>
      <c r="P230" s="11" t="s">
        <v>106</v>
      </c>
      <c r="Q230" s="11"/>
      <c r="R230" s="9"/>
      <c r="S230" s="9"/>
      <c r="T230" s="9"/>
      <c r="U230" s="11"/>
    </row>
    <row r="231" spans="1:21" ht="18.75" customHeight="1">
      <c r="A231" s="9" t="s">
        <v>46</v>
      </c>
      <c r="B231" s="9" t="str">
        <f t="shared" ca="1" si="12"/>
        <v>movie_link.update_user</v>
      </c>
      <c r="C231" s="10">
        <f t="shared" si="11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113</v>
      </c>
      <c r="G231" s="11" t="s">
        <v>114</v>
      </c>
      <c r="H231" s="11" t="s">
        <v>65</v>
      </c>
      <c r="I231" s="11">
        <f>_xlfn.XLOOKUP(
    $H231,
    型とバイト数!$B$3:$B$54,
    型とバイト数!$E$3:$E$54,
    IF(LEFT($H231,7)="varchar",MID(H231,FIND("(",H231)+1,FIND(")",H231)-FIND("(",H231)-1)*8,
        IF(LEFT($H231,4)="char",MID(H231,FIND("(",H231)+1,FIND(")",H231)-FIND("(",H231)-1)*8,
            IF(LEFT($H231,3)="bit",MID(H231,FIND("(",H231)+1,FIND(")",H231)-FIND("(",H231)-1),"???")
        )
    )
)</f>
        <v>256</v>
      </c>
      <c r="J231" s="11"/>
      <c r="K231" s="11"/>
      <c r="L231" s="9"/>
      <c r="M231" s="11" t="str">
        <f t="shared" si="10"/>
        <v/>
      </c>
      <c r="N231" s="11" t="s">
        <v>48</v>
      </c>
      <c r="O231" s="11"/>
      <c r="P231" s="11" t="s">
        <v>109</v>
      </c>
      <c r="Q231" s="11"/>
      <c r="R231" s="9"/>
      <c r="S231" s="9"/>
      <c r="T231" s="9"/>
      <c r="U231" s="11" t="s">
        <v>110</v>
      </c>
    </row>
    <row r="232" spans="1:21" ht="18.75" customHeight="1">
      <c r="A232" s="9" t="s">
        <v>46</v>
      </c>
      <c r="B232" s="9" t="str">
        <f t="shared" ca="1" si="12"/>
        <v>movie_link.soft_delete_flag</v>
      </c>
      <c r="C232" s="10">
        <f t="shared" si="11"/>
        <v>231</v>
      </c>
      <c r="D232" s="11" t="str" cm="1">
        <f t="array" aca="1" ref="D232" ca="1">INDIRECT(ADDRESS(ROW()-1,COLUMN()))</f>
        <v>movie_link</v>
      </c>
      <c r="E232" s="11" t="str" cm="1">
        <f t="array" aca="1" ref="E232" ca="1">INDIRECT(ADDRESS(ROW()-1,COLUMN()))</f>
        <v>動画リンク</v>
      </c>
      <c r="F232" s="11" t="s">
        <v>115</v>
      </c>
      <c r="G232" s="11" t="s">
        <v>116</v>
      </c>
      <c r="H232" s="11" t="s">
        <v>489</v>
      </c>
      <c r="I232" s="11">
        <f>_xlfn.XLOOKUP(
    $H232,
    型とバイト数!$B$3:$B$54,
    型とバイト数!$E$3:$E$54,
    IF(LEFT($H232,7)="varchar",MID(H232,FIND("(",H232)+1,FIND(")",H232)-FIND("(",H232)-1)*8,
        IF(LEFT($H232,4)="char",MID(H232,FIND("(",H232)+1,FIND(")",H232)-FIND("(",H232)-1)*8,
            IF(LEFT($H232,3)="bit",MID(H232,FIND("(",H232)+1,FIND(")",H232)-FIND("(",H232)-1),"???")
        )
    )
)</f>
        <v>8</v>
      </c>
      <c r="J232" s="11"/>
      <c r="K232" s="11"/>
      <c r="L232" s="9"/>
      <c r="M232" s="11" t="str">
        <f t="shared" si="10"/>
        <v/>
      </c>
      <c r="N232" s="11" t="s">
        <v>48</v>
      </c>
      <c r="O232" s="11"/>
      <c r="P232" s="11" t="b">
        <v>0</v>
      </c>
      <c r="Q232" s="11"/>
      <c r="R232" s="9"/>
      <c r="S232" s="9"/>
      <c r="T232" s="9"/>
      <c r="U232" s="11"/>
    </row>
    <row r="233" spans="1:21" ht="18.75" customHeight="1">
      <c r="A233" s="9" t="s">
        <v>46</v>
      </c>
      <c r="B233" s="9" t="str">
        <f t="shared" si="12"/>
        <v>relation.relation_sequence_id</v>
      </c>
      <c r="C233" s="10">
        <f t="shared" si="11"/>
        <v>232</v>
      </c>
      <c r="D233" s="11" t="s">
        <v>264</v>
      </c>
      <c r="E233" s="11" t="s">
        <v>265</v>
      </c>
      <c r="F233" s="11" t="str">
        <f>D233&amp;"_sequence_id"</f>
        <v>relation_sequence_id</v>
      </c>
      <c r="G233" s="11" t="str">
        <f>E233&amp;"ID"</f>
        <v>関係値ID</v>
      </c>
      <c r="H233" s="11" t="s">
        <v>527</v>
      </c>
      <c r="I233" s="11">
        <f>_xlfn.XLOOKUP(
    $H233,
    型とバイト数!$B$3:$B$54,
    型とバイト数!$E$3:$E$54,
    IF(LEFT($H233,7)="varchar",MID(H233,FIND("(",H233)+1,FIND(")",H233)-FIND("(",H233)-1)*8,
        IF(LEFT($H233,4)="char",MID(H233,FIND("(",H233)+1,FIND(")",H233)-FIND("(",H233)-1)*8,
            IF(LEFT($H233,3)="bit",MID(H233,FIND("(",H233)+1,FIND(")",H233)-FIND("(",H233)-1),"???")
        )
    )
)</f>
        <v>32</v>
      </c>
      <c r="J233" s="11" t="s">
        <v>452</v>
      </c>
      <c r="K233" s="11"/>
      <c r="L233" s="9"/>
      <c r="M233" s="11" t="str">
        <f t="shared" si="10"/>
        <v/>
      </c>
      <c r="N233" s="11" t="s">
        <v>473</v>
      </c>
      <c r="O233" s="11" t="s">
        <v>473</v>
      </c>
      <c r="P233" s="11" t="s">
        <v>526</v>
      </c>
      <c r="Q233" s="11"/>
      <c r="R233" s="9"/>
      <c r="S233" s="9"/>
      <c r="T233" s="9"/>
      <c r="U233" s="11"/>
    </row>
    <row r="234" spans="1:21" ht="18.75" customHeight="1">
      <c r="A234" s="9" t="s">
        <v>46</v>
      </c>
      <c r="B234" s="9" t="str">
        <f t="shared" ca="1" si="12"/>
        <v>relation.node_from</v>
      </c>
      <c r="C234" s="10">
        <f t="shared" si="11"/>
        <v>233</v>
      </c>
      <c r="D234" s="11" t="str" cm="1">
        <f t="array" aca="1" ref="D234" ca="1">INDIRECT(ADDRESS(ROW()-1,COLUMN()))</f>
        <v>relation</v>
      </c>
      <c r="E234" s="11" t="str" cm="1">
        <f t="array" aca="1" ref="E234" ca="1">INDIRECT(ADDRESS(ROW()-1,COLUMN()))</f>
        <v>関係値</v>
      </c>
      <c r="F234" s="11" t="s">
        <v>462</v>
      </c>
      <c r="G234" s="11" t="s">
        <v>266</v>
      </c>
      <c r="H234" s="11" t="s">
        <v>99</v>
      </c>
      <c r="I234" s="11">
        <f>_xlfn.XLOOKUP(
    $H234,
    型とバイト数!$B$3:$B$54,
    型とバイト数!$E$3:$E$54,
    IF(LEFT($H234,7)="varchar",MID(H234,FIND("(",H234)+1,FIND(")",H234)-FIND("(",H234)-1)*8,
        IF(LEFT($H234,4)="char",MID(H234,FIND("(",H234)+1,FIND(")",H234)-FIND("(",H234)-1)*8,
            IF(LEFT($H234,3)="bit",MID(H234,FIND("(",H234)+1,FIND(")",H234)-FIND("(",H234)-1),"???")
        )
    )
)</f>
        <v>32</v>
      </c>
      <c r="J234" s="11"/>
      <c r="K234" s="11" t="s">
        <v>48</v>
      </c>
      <c r="L234" s="9" t="s">
        <v>533</v>
      </c>
      <c r="M234" s="11">
        <f t="shared" si="10"/>
        <v>1</v>
      </c>
      <c r="N234" s="11" t="s">
        <v>48</v>
      </c>
      <c r="O234" s="11" t="s">
        <v>472</v>
      </c>
      <c r="P234" s="11"/>
      <c r="Q234" s="11" t="s">
        <v>554</v>
      </c>
      <c r="R234" s="9"/>
      <c r="S234" s="9"/>
      <c r="T234" s="9"/>
      <c r="U234" s="11"/>
    </row>
    <row r="235" spans="1:21" ht="18.75" customHeight="1">
      <c r="A235" s="9" t="s">
        <v>46</v>
      </c>
      <c r="B235" s="9" t="str">
        <f t="shared" ca="1" si="12"/>
        <v>relation.node_to</v>
      </c>
      <c r="C235" s="10">
        <f t="shared" si="11"/>
        <v>234</v>
      </c>
      <c r="D235" s="11" t="str" cm="1">
        <f t="array" aca="1" ref="D235" ca="1">INDIRECT(ADDRESS(ROW()-1,COLUMN()))</f>
        <v>relation</v>
      </c>
      <c r="E235" s="11" t="str" cm="1">
        <f t="array" aca="1" ref="E235" ca="1">INDIRECT(ADDRESS(ROW()-1,COLUMN()))</f>
        <v>関係値</v>
      </c>
      <c r="F235" s="11" t="s">
        <v>267</v>
      </c>
      <c r="G235" s="11" t="s">
        <v>268</v>
      </c>
      <c r="H235" s="11" t="s">
        <v>99</v>
      </c>
      <c r="I235" s="11">
        <f>_xlfn.XLOOKUP(
    $H235,
    型とバイト数!$B$3:$B$54,
    型とバイト数!$E$3:$E$54,
    IF(LEFT($H235,7)="varchar",MID(H235,FIND("(",H235)+1,FIND(")",H235)-FIND("(",H235)-1)*8,
        IF(LEFT($H235,4)="char",MID(H235,FIND("(",H235)+1,FIND(")",H235)-FIND("(",H235)-1)*8,
            IF(LEFT($H235,3)="bit",MID(H235,FIND("(",H235)+1,FIND(")",H235)-FIND("(",H235)-1),"???")
        )
    )
)</f>
        <v>32</v>
      </c>
      <c r="J235" s="11"/>
      <c r="K235" s="11" t="s">
        <v>48</v>
      </c>
      <c r="L235" s="9" t="s">
        <v>533</v>
      </c>
      <c r="M235" s="11">
        <f t="shared" si="10"/>
        <v>1</v>
      </c>
      <c r="N235" s="11" t="s">
        <v>48</v>
      </c>
      <c r="O235" s="11" t="s">
        <v>472</v>
      </c>
      <c r="P235" s="11"/>
      <c r="Q235" s="11" t="s">
        <v>555</v>
      </c>
      <c r="R235" s="9"/>
      <c r="S235" s="9"/>
      <c r="T235" s="9"/>
      <c r="U235" s="11"/>
    </row>
    <row r="236" spans="1:21" ht="18.75" customHeight="1">
      <c r="A236" s="9" t="s">
        <v>46</v>
      </c>
      <c r="B236" s="9" t="str">
        <f t="shared" ca="1" si="12"/>
        <v>relation.node_name</v>
      </c>
      <c r="C236" s="10">
        <f t="shared" si="11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269</v>
      </c>
      <c r="G236" s="11" t="s">
        <v>270</v>
      </c>
      <c r="H236" s="11" t="s">
        <v>65</v>
      </c>
      <c r="I236" s="11">
        <f>_xlfn.XLOOKUP(
    $H236,
    型とバイト数!$B$3:$B$54,
    型とバイト数!$E$3:$E$54,
    IF(LEFT($H236,7)="varchar",MID(H236,FIND("(",H236)+1,FIND(")",H236)-FIND("(",H236)-1)*8,
        IF(LEFT($H236,4)="char",MID(H236,FIND("(",H236)+1,FIND(")",H236)-FIND("(",H236)-1)*8,
            IF(LEFT($H236,3)="bit",MID(H236,FIND("(",H236)+1,FIND(")",H236)-FIND("(",H236)-1),"???")
        )
    )
)</f>
        <v>256</v>
      </c>
      <c r="J236" s="11"/>
      <c r="K236" s="11"/>
      <c r="L236" s="9"/>
      <c r="M236" s="11" t="str">
        <f t="shared" si="10"/>
        <v/>
      </c>
      <c r="N236" s="11" t="s">
        <v>48</v>
      </c>
      <c r="O236" s="11"/>
      <c r="P236" s="11"/>
      <c r="Q236" s="11"/>
      <c r="R236" s="9"/>
      <c r="S236" s="9"/>
      <c r="T236" s="9"/>
      <c r="U236" s="11"/>
    </row>
    <row r="237" spans="1:21" ht="18.75" customHeight="1">
      <c r="A237" s="9" t="s">
        <v>46</v>
      </c>
      <c r="B237" s="9" t="str">
        <f t="shared" ca="1" si="12"/>
        <v>relation.create_datetime</v>
      </c>
      <c r="C237" s="10">
        <f t="shared" si="11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104</v>
      </c>
      <c r="G237" s="11" t="s">
        <v>105</v>
      </c>
      <c r="H237" s="11" t="s">
        <v>487</v>
      </c>
      <c r="I237" s="11">
        <f>_xlfn.XLOOKUP(
    $H237,
    型とバイト数!$B$3:$B$54,
    型とバイト数!$E$3:$E$54,
    IF(LEFT($H237,7)="varchar",MID(H237,FIND("(",H237)+1,FIND(")",H237)-FIND("(",H237)-1)*8,
        IF(LEFT($H237,4)="char",MID(H237,FIND("(",H237)+1,FIND(")",H237)-FIND("(",H237)-1)*8,
            IF(LEFT($H237,3)="bit",MID(H237,FIND("(",H237)+1,FIND(")",H237)-FIND("(",H237)-1),"???")
        )
    )
)</f>
        <v>64</v>
      </c>
      <c r="J237" s="11"/>
      <c r="K237" s="11"/>
      <c r="L237" s="9"/>
      <c r="M237" s="11" t="str">
        <f t="shared" si="10"/>
        <v/>
      </c>
      <c r="N237" s="11" t="s">
        <v>48</v>
      </c>
      <c r="O237" s="11"/>
      <c r="P237" s="11" t="s">
        <v>106</v>
      </c>
      <c r="Q237" s="11"/>
      <c r="R237" s="9"/>
      <c r="S237" s="9"/>
      <c r="T237" s="9"/>
      <c r="U237" s="11"/>
    </row>
    <row r="238" spans="1:21" ht="18.75" customHeight="1">
      <c r="A238" s="9" t="s">
        <v>46</v>
      </c>
      <c r="B238" s="9" t="str">
        <f t="shared" ca="1" si="12"/>
        <v>relation.create_user</v>
      </c>
      <c r="C238" s="10">
        <f t="shared" si="11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107</v>
      </c>
      <c r="G238" s="11" t="s">
        <v>108</v>
      </c>
      <c r="H238" s="11" t="s">
        <v>65</v>
      </c>
      <c r="I238" s="11">
        <f>_xlfn.XLOOKUP(
    $H238,
    型とバイト数!$B$3:$B$54,
    型とバイト数!$E$3:$E$54,
    IF(LEFT($H238,7)="varchar",MID(H238,FIND("(",H238)+1,FIND(")",H238)-FIND("(",H238)-1)*8,
        IF(LEFT($H238,4)="char",MID(H238,FIND("(",H238)+1,FIND(")",H238)-FIND("(",H238)-1)*8,
            IF(LEFT($H238,3)="bit",MID(H238,FIND("(",H238)+1,FIND(")",H238)-FIND("(",H238)-1),"???")
        )
    )
)</f>
        <v>256</v>
      </c>
      <c r="J238" s="11"/>
      <c r="K238" s="11"/>
      <c r="L238" s="9"/>
      <c r="M238" s="11" t="str">
        <f t="shared" si="10"/>
        <v/>
      </c>
      <c r="N238" s="11" t="s">
        <v>48</v>
      </c>
      <c r="O238" s="11"/>
      <c r="P238" s="11" t="s">
        <v>109</v>
      </c>
      <c r="Q238" s="11"/>
      <c r="R238" s="9"/>
      <c r="S238" s="9"/>
      <c r="T238" s="9"/>
      <c r="U238" s="11" t="s">
        <v>110</v>
      </c>
    </row>
    <row r="239" spans="1:21" ht="18.75" customHeight="1">
      <c r="A239" s="9" t="s">
        <v>46</v>
      </c>
      <c r="B239" s="9" t="str">
        <f t="shared" ca="1" si="12"/>
        <v>relation.update_datetime</v>
      </c>
      <c r="C239" s="10">
        <f t="shared" si="11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111</v>
      </c>
      <c r="G239" s="11" t="s">
        <v>112</v>
      </c>
      <c r="H239" s="11" t="s">
        <v>487</v>
      </c>
      <c r="I239" s="11">
        <f>_xlfn.XLOOKUP(
    $H239,
    型とバイト数!$B$3:$B$54,
    型とバイト数!$E$3:$E$54,
    IF(LEFT($H239,7)="varchar",MID(H239,FIND("(",H239)+1,FIND(")",H239)-FIND("(",H239)-1)*8,
        IF(LEFT($H239,4)="char",MID(H239,FIND("(",H239)+1,FIND(")",H239)-FIND("(",H239)-1)*8,
            IF(LEFT($H239,3)="bit",MID(H239,FIND("(",H239)+1,FIND(")",H239)-FIND("(",H239)-1),"???")
        )
    )
)</f>
        <v>64</v>
      </c>
      <c r="J239" s="11"/>
      <c r="K239" s="11"/>
      <c r="L239" s="9"/>
      <c r="M239" s="11" t="str">
        <f t="shared" si="10"/>
        <v/>
      </c>
      <c r="N239" s="11" t="s">
        <v>48</v>
      </c>
      <c r="O239" s="11"/>
      <c r="P239" s="11" t="s">
        <v>106</v>
      </c>
      <c r="Q239" s="11"/>
      <c r="R239" s="9"/>
      <c r="S239" s="9"/>
      <c r="T239" s="9"/>
      <c r="U239" s="11"/>
    </row>
    <row r="240" spans="1:21" ht="18.75" customHeight="1">
      <c r="A240" s="9" t="s">
        <v>46</v>
      </c>
      <c r="B240" s="9" t="str">
        <f t="shared" ca="1" si="12"/>
        <v>relation.update_user</v>
      </c>
      <c r="C240" s="10">
        <f t="shared" si="11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113</v>
      </c>
      <c r="G240" s="11" t="s">
        <v>114</v>
      </c>
      <c r="H240" s="11" t="s">
        <v>65</v>
      </c>
      <c r="I240" s="11">
        <f>_xlfn.XLOOKUP(
    $H240,
    型とバイト数!$B$3:$B$54,
    型とバイト数!$E$3:$E$54,
    IF(LEFT($H240,7)="varchar",MID(H240,FIND("(",H240)+1,FIND(")",H240)-FIND("(",H240)-1)*8,
        IF(LEFT($H240,4)="char",MID(H240,FIND("(",H240)+1,FIND(")",H240)-FIND("(",H240)-1)*8,
            IF(LEFT($H240,3)="bit",MID(H240,FIND("(",H240)+1,FIND(")",H240)-FIND("(",H240)-1),"???")
        )
    )
)</f>
        <v>256</v>
      </c>
      <c r="J240" s="11"/>
      <c r="K240" s="11"/>
      <c r="L240" s="9"/>
      <c r="M240" s="11" t="str">
        <f t="shared" si="10"/>
        <v/>
      </c>
      <c r="N240" s="11" t="s">
        <v>48</v>
      </c>
      <c r="O240" s="11"/>
      <c r="P240" s="11" t="s">
        <v>109</v>
      </c>
      <c r="Q240" s="11"/>
      <c r="R240" s="9"/>
      <c r="S240" s="9"/>
      <c r="T240" s="9"/>
      <c r="U240" s="11" t="s">
        <v>110</v>
      </c>
    </row>
    <row r="241" spans="1:21" ht="18.75" customHeight="1">
      <c r="A241" s="9" t="s">
        <v>46</v>
      </c>
      <c r="B241" s="9" t="str">
        <f t="shared" ca="1" si="12"/>
        <v>relation.soft_delete_flag</v>
      </c>
      <c r="C241" s="10">
        <f t="shared" si="11"/>
        <v>240</v>
      </c>
      <c r="D241" s="11" t="str" cm="1">
        <f t="array" aca="1" ref="D241" ca="1">INDIRECT(ADDRESS(ROW()-1,COLUMN()))</f>
        <v>relation</v>
      </c>
      <c r="E241" s="11" t="str" cm="1">
        <f t="array" aca="1" ref="E241" ca="1">INDIRECT(ADDRESS(ROW()-1,COLUMN()))</f>
        <v>関係値</v>
      </c>
      <c r="F241" s="11" t="s">
        <v>115</v>
      </c>
      <c r="G241" s="11" t="s">
        <v>116</v>
      </c>
      <c r="H241" s="11" t="s">
        <v>489</v>
      </c>
      <c r="I241" s="11">
        <f>_xlfn.XLOOKUP(
    $H241,
    型とバイト数!$B$3:$B$54,
    型とバイト数!$E$3:$E$54,
    IF(LEFT($H241,7)="varchar",MID(H241,FIND("(",H241)+1,FIND(")",H241)-FIND("(",H241)-1)*8,
        IF(LEFT($H241,4)="char",MID(H241,FIND("(",H241)+1,FIND(")",H241)-FIND("(",H241)-1)*8,
            IF(LEFT($H241,3)="bit",MID(H241,FIND("(",H241)+1,FIND(")",H241)-FIND("(",H241)-1),"???")
        )
    )
)</f>
        <v>8</v>
      </c>
      <c r="J241" s="11"/>
      <c r="K241" s="11"/>
      <c r="L241" s="9"/>
      <c r="M241" s="11" t="str">
        <f t="shared" si="10"/>
        <v/>
      </c>
      <c r="N241" s="11" t="s">
        <v>48</v>
      </c>
      <c r="O241" s="11"/>
      <c r="P241" s="11" t="b">
        <v>0</v>
      </c>
      <c r="Q241" s="11"/>
      <c r="R241" s="9"/>
      <c r="S241" s="9"/>
      <c r="T241" s="9"/>
      <c r="U241" s="11"/>
    </row>
    <row r="242" spans="1:21" ht="18.75" customHeight="1">
      <c r="A242" s="9" t="s">
        <v>46</v>
      </c>
      <c r="B242" s="9" t="str">
        <f t="shared" si="12"/>
        <v>vtuber_profiles_lang.vtuber_profiles_lang_sequence_id</v>
      </c>
      <c r="C242" s="10">
        <f t="shared" si="11"/>
        <v>241</v>
      </c>
      <c r="D242" s="11" t="s">
        <v>451</v>
      </c>
      <c r="E242" s="11" t="s">
        <v>450</v>
      </c>
      <c r="F242" s="11" t="str">
        <f>D242&amp;"_sequence_id"</f>
        <v>vtuber_profiles_lang_sequence_id</v>
      </c>
      <c r="G242" s="11" t="str">
        <f>E242&amp;"ID"</f>
        <v>Vtuberプロフィール(各言語)ID</v>
      </c>
      <c r="H242" s="11" t="s">
        <v>527</v>
      </c>
      <c r="I242" s="11">
        <f>_xlfn.XLOOKUP(
    $H242,
    型とバイト数!$B$3:$B$54,
    型とバイト数!$E$3:$E$54,
    IF(LEFT($H242,7)="varchar",MID(H242,FIND("(",H242)+1,FIND(")",H242)-FIND("(",H242)-1)*8,
        IF(LEFT($H242,4)="char",MID(H242,FIND("(",H242)+1,FIND(")",H242)-FIND("(",H242)-1)*8,
            IF(LEFT($H242,3)="bit",MID(H242,FIND("(",H242)+1,FIND(")",H242)-FIND("(",H242)-1),"???")
        )
    )
)</f>
        <v>32</v>
      </c>
      <c r="J242" s="11" t="s">
        <v>452</v>
      </c>
      <c r="K242" s="11"/>
      <c r="L242" s="9"/>
      <c r="M242" s="11" t="str">
        <f t="shared" si="10"/>
        <v/>
      </c>
      <c r="N242" s="11" t="s">
        <v>473</v>
      </c>
      <c r="O242" s="11" t="s">
        <v>473</v>
      </c>
      <c r="P242" s="11" t="s">
        <v>526</v>
      </c>
      <c r="Q242" s="11"/>
      <c r="R242" s="9"/>
      <c r="S242" s="9"/>
      <c r="T242" s="9"/>
      <c r="U242" s="11"/>
    </row>
    <row r="243" spans="1:21" ht="18.75" customHeight="1">
      <c r="A243" s="9" t="s">
        <v>46</v>
      </c>
      <c r="B243" s="9" t="str">
        <f t="shared" ca="1" si="12"/>
        <v>vtuber_profiles_lang.vtuber_profiles_id</v>
      </c>
      <c r="C243" s="10">
        <f t="shared" si="11"/>
        <v>242</v>
      </c>
      <c r="D243" s="11" t="str" cm="1">
        <f t="array" aca="1" ref="D243" ca="1">INDIRECT(ADDRESS(ROW()-1,COLUMN()))</f>
        <v>vtuber_profiles_lang</v>
      </c>
      <c r="E243" s="11" t="str" cm="1">
        <f t="array" aca="1" ref="E243" ca="1">INDIRECT(ADDRESS(ROW()-1,COLUMN()))</f>
        <v>Vtuberプロフィール(各言語)</v>
      </c>
      <c r="F243" s="11" t="s">
        <v>468</v>
      </c>
      <c r="G243" s="11" t="s">
        <v>50</v>
      </c>
      <c r="H243" s="11" t="s">
        <v>99</v>
      </c>
      <c r="I243" s="11">
        <f>_xlfn.XLOOKUP(
    $H243,
    型とバイト数!$B$3:$B$54,
    型とバイト数!$E$3:$E$54,
    IF(LEFT($H243,7)="varchar",MID(H243,FIND("(",H243)+1,FIND(")",H243)-FIND("(",H243)-1)*8,
        IF(LEFT($H243,4)="char",MID(H243,FIND("(",H243)+1,FIND(")",H243)-FIND("(",H243)-1)*8,
            IF(LEFT($H243,3)="bit",MID(H243,FIND("(",H243)+1,FIND(")",H243)-FIND("(",H243)-1),"???")
        )
    )
)</f>
        <v>32</v>
      </c>
      <c r="J243" s="11"/>
      <c r="K243" s="11" t="s">
        <v>452</v>
      </c>
      <c r="L243" s="9" t="s">
        <v>533</v>
      </c>
      <c r="M243" s="11">
        <f t="shared" si="10"/>
        <v>1</v>
      </c>
      <c r="N243" s="11" t="s">
        <v>48</v>
      </c>
      <c r="O243" s="11" t="s">
        <v>471</v>
      </c>
      <c r="P243" s="11"/>
      <c r="Q243" s="11" t="s">
        <v>556</v>
      </c>
      <c r="R243" s="9"/>
      <c r="S243" s="9"/>
      <c r="T243" s="9"/>
      <c r="U243" s="11"/>
    </row>
    <row r="244" spans="1:21" ht="18.75" customHeight="1">
      <c r="A244" s="9" t="s">
        <v>46</v>
      </c>
      <c r="B244" s="9" t="str">
        <f t="shared" ref="B244:B278" ca="1" si="13">D244&amp;"."&amp;F244</f>
        <v>vtuber_profiles_lang.lang</v>
      </c>
      <c r="C244" s="10">
        <f t="shared" si="11"/>
        <v>243</v>
      </c>
      <c r="D244" s="11" t="str" cm="1">
        <f t="array" aca="1" ref="D244" ca="1">INDIRECT(ADDRESS(ROW()-1,COLUMN()))</f>
        <v>vtuber_profiles_lang</v>
      </c>
      <c r="E244" s="11" t="str" cm="1">
        <f t="array" aca="1" ref="E244" ca="1">INDIRECT(ADDRESS(ROW()-1,COLUMN()))</f>
        <v>Vtuberプロフィール(各言語)</v>
      </c>
      <c r="F244" s="11" t="s">
        <v>457</v>
      </c>
      <c r="G244" s="11" t="s">
        <v>456</v>
      </c>
      <c r="H244" s="11" t="s">
        <v>99</v>
      </c>
      <c r="I244" s="11">
        <f>_xlfn.XLOOKUP(
    $H244,
    型とバイト数!$B$3:$B$54,
    型とバイト数!$E$3:$E$54,
    IF(LEFT($H244,7)="varchar",MID(H244,FIND("(",H244)+1,FIND(")",H244)-FIND("(",H244)-1)*8,
        IF(LEFT($H244,4)="char",MID(H244,FIND("(",H244)+1,FIND(")",H244)-FIND("(",H244)-1)*8,
            IF(LEFT($H244,3)="bit",MID(H244,FIND("(",H244)+1,FIND(")",H244)-FIND("(",H244)-1),"???")
        )
    )
)</f>
        <v>32</v>
      </c>
      <c r="J244" s="11"/>
      <c r="K244" s="11" t="s">
        <v>455</v>
      </c>
      <c r="L244" s="9" t="s">
        <v>538</v>
      </c>
      <c r="M244" s="11">
        <f t="shared" ca="1" si="10"/>
        <v>103</v>
      </c>
      <c r="N244" s="11" t="s">
        <v>48</v>
      </c>
      <c r="O244" s="11" t="s">
        <v>471</v>
      </c>
      <c r="P244" s="11"/>
      <c r="Q244" s="11" t="s">
        <v>557</v>
      </c>
      <c r="R244" s="9"/>
      <c r="S244" s="9"/>
      <c r="T244" s="9"/>
      <c r="U244" s="11"/>
    </row>
    <row r="245" spans="1:21" ht="18.75" customHeight="1">
      <c r="A245" s="9" t="s">
        <v>46</v>
      </c>
      <c r="B245" s="9" t="str">
        <f t="shared" ca="1" si="13"/>
        <v>vtuber_profiles_lang.name</v>
      </c>
      <c r="C245" s="10">
        <f t="shared" si="11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56</v>
      </c>
      <c r="G245" s="11" t="s">
        <v>57</v>
      </c>
      <c r="H245" s="11" t="s">
        <v>58</v>
      </c>
      <c r="I245" s="11">
        <f>_xlfn.XLOOKUP(
    $H245,
    型とバイト数!$B$3:$B$54,
    型とバイト数!$E$3:$E$54,
    IF(LEFT($H245,7)="varchar",MID(H245,FIND("(",H245)+1,FIND(")",H245)-FIND("(",H245)-1)*8,
        IF(LEFT($H245,4)="char",MID(H245,FIND("(",H245)+1,FIND(")",H245)-FIND("(",H245)-1)*8,
            IF(LEFT($H245,3)="bit",MID(H245,FIND("(",H245)+1,FIND(")",H245)-FIND("(",H245)-1),"???")
        )
    )
)</f>
        <v>1024</v>
      </c>
      <c r="J245" s="11"/>
      <c r="K245" s="11"/>
      <c r="L245" s="9"/>
      <c r="M245" s="11" t="str">
        <f t="shared" si="10"/>
        <v/>
      </c>
      <c r="N245" s="11" t="s">
        <v>48</v>
      </c>
      <c r="O245" s="11"/>
      <c r="P245" s="11"/>
      <c r="Q245" s="11"/>
      <c r="R245" s="9" t="s">
        <v>48</v>
      </c>
      <c r="S245" s="9"/>
      <c r="T245" s="9" t="s">
        <v>48</v>
      </c>
      <c r="U245" s="11"/>
    </row>
    <row r="246" spans="1:21" ht="18.75" customHeight="1">
      <c r="A246" s="9" t="s">
        <v>46</v>
      </c>
      <c r="B246" s="9" t="str">
        <f t="shared" ca="1" si="13"/>
        <v>vtuber_profiles_lang.nickname</v>
      </c>
      <c r="C246" s="10">
        <f t="shared" si="11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59</v>
      </c>
      <c r="G246" s="11" t="s">
        <v>60</v>
      </c>
      <c r="H246" s="11" t="s">
        <v>58</v>
      </c>
      <c r="I246" s="11">
        <f>_xlfn.XLOOKUP(
    $H246,
    型とバイト数!$B$3:$B$54,
    型とバイト数!$E$3:$E$54,
    IF(LEFT($H246,7)="varchar",MID(H246,FIND("(",H246)+1,FIND(")",H246)-FIND("(",H246)-1)*8,
        IF(LEFT($H246,4)="char",MID(H246,FIND("(",H246)+1,FIND(")",H246)-FIND("(",H246)-1)*8,
            IF(LEFT($H246,3)="bit",MID(H246,FIND("(",H246)+1,FIND(")",H246)-FIND("(",H246)-1),"???")
        )
    )
)</f>
        <v>1024</v>
      </c>
      <c r="J246" s="11"/>
      <c r="K246" s="11"/>
      <c r="L246" s="9"/>
      <c r="M246" s="11" t="str">
        <f t="shared" si="10"/>
        <v/>
      </c>
      <c r="N246" s="11"/>
      <c r="O246" s="11"/>
      <c r="P246" s="11"/>
      <c r="Q246" s="11"/>
      <c r="R246" s="9"/>
      <c r="S246" s="9"/>
      <c r="T246" s="9" t="s">
        <v>48</v>
      </c>
      <c r="U246" s="11"/>
    </row>
    <row r="247" spans="1:21" ht="18.75" customHeight="1">
      <c r="A247" s="9" t="s">
        <v>46</v>
      </c>
      <c r="B247" s="9" t="str">
        <f t="shared" ca="1" si="13"/>
        <v>vtuber_profiles_lang.birthday</v>
      </c>
      <c r="C247" s="10">
        <f t="shared" si="11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63</v>
      </c>
      <c r="G247" s="11" t="s">
        <v>64</v>
      </c>
      <c r="H247" s="11" t="s">
        <v>65</v>
      </c>
      <c r="I247" s="11">
        <f>_xlfn.XLOOKUP(
    $H247,
    型とバイト数!$B$3:$B$54,
    型とバイト数!$E$3:$E$54,
    IF(LEFT($H247,7)="varchar",MID(H247,FIND("(",H247)+1,FIND(")",H247)-FIND("(",H247)-1)*8,
        IF(LEFT($H247,4)="char",MID(H247,FIND("(",H247)+1,FIND(")",H247)-FIND("(",H247)-1)*8,
            IF(LEFT($H247,3)="bit",MID(H247,FIND("(",H247)+1,FIND(")",H247)-FIND("(",H247)-1),"???")
        )
    )
)</f>
        <v>256</v>
      </c>
      <c r="J247" s="11"/>
      <c r="K247" s="11"/>
      <c r="L247" s="9"/>
      <c r="M247" s="11" t="str">
        <f t="shared" si="10"/>
        <v/>
      </c>
      <c r="N247" s="11"/>
      <c r="O247" s="11"/>
      <c r="P247" s="11"/>
      <c r="Q247" s="11"/>
      <c r="R247" s="9"/>
      <c r="S247" s="9"/>
      <c r="T247" s="9" t="s">
        <v>48</v>
      </c>
      <c r="U247" s="11"/>
    </row>
    <row r="248" spans="1:21" ht="18.75" customHeight="1">
      <c r="A248" s="9" t="s">
        <v>46</v>
      </c>
      <c r="B248" s="9" t="str">
        <f t="shared" ca="1" si="13"/>
        <v>vtuber_profiles_lang.blood_type</v>
      </c>
      <c r="C248" s="10">
        <f t="shared" si="11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69</v>
      </c>
      <c r="G248" s="11" t="s">
        <v>70</v>
      </c>
      <c r="H248" s="11" t="s">
        <v>71</v>
      </c>
      <c r="I248" s="11">
        <f>_xlfn.XLOOKUP(
    $H248,
    型とバイト数!$B$3:$B$54,
    型とバイト数!$E$3:$E$54,
    IF(LEFT($H248,7)="varchar",MID(H248,FIND("(",H248)+1,FIND(")",H248)-FIND("(",H248)-1)*8,
        IF(LEFT($H248,4)="char",MID(H248,FIND("(",H248)+1,FIND(")",H248)-FIND("(",H248)-1)*8,
            IF(LEFT($H248,3)="bit",MID(H248,FIND("(",H248)+1,FIND(")",H248)-FIND("(",H248)-1),"???")
        )
    )
)</f>
        <v>128</v>
      </c>
      <c r="J248" s="11"/>
      <c r="K248" s="11"/>
      <c r="L248" s="9"/>
      <c r="M248" s="11" t="str">
        <f t="shared" si="10"/>
        <v/>
      </c>
      <c r="N248" s="11"/>
      <c r="O248" s="11"/>
      <c r="P248" s="11"/>
      <c r="Q248" s="11"/>
      <c r="R248" s="9"/>
      <c r="S248" s="9"/>
      <c r="T248" s="9" t="s">
        <v>48</v>
      </c>
      <c r="U248" s="11"/>
    </row>
    <row r="249" spans="1:21" ht="18.75" customHeight="1">
      <c r="A249" s="9" t="s">
        <v>46</v>
      </c>
      <c r="B249" s="9" t="str">
        <f t="shared" ca="1" si="13"/>
        <v>vtuber_profiles_lang.height</v>
      </c>
      <c r="C249" s="10">
        <f t="shared" si="11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72</v>
      </c>
      <c r="G249" s="11" t="s">
        <v>73</v>
      </c>
      <c r="H249" s="11" t="s">
        <v>71</v>
      </c>
      <c r="I249" s="11">
        <f>_xlfn.XLOOKUP(
    $H249,
    型とバイト数!$B$3:$B$54,
    型とバイト数!$E$3:$E$54,
    IF(LEFT($H249,7)="varchar",MID(H249,FIND("(",H249)+1,FIND(")",H249)-FIND("(",H249)-1)*8,
        IF(LEFT($H249,4)="char",MID(H249,FIND("(",H249)+1,FIND(")",H249)-FIND("(",H249)-1)*8,
            IF(LEFT($H249,3)="bit",MID(H249,FIND("(",H249)+1,FIND(")",H249)-FIND("(",H249)-1),"???")
        )
    )
)</f>
        <v>128</v>
      </c>
      <c r="J249" s="11"/>
      <c r="K249" s="11"/>
      <c r="L249" s="9"/>
      <c r="M249" s="11" t="str">
        <f t="shared" si="10"/>
        <v/>
      </c>
      <c r="N249" s="11"/>
      <c r="O249" s="11"/>
      <c r="P249" s="11"/>
      <c r="Q249" s="11"/>
      <c r="R249" s="9"/>
      <c r="S249" s="9"/>
      <c r="T249" s="9" t="s">
        <v>48</v>
      </c>
      <c r="U249" s="11"/>
    </row>
    <row r="250" spans="1:21" ht="18.75" customHeight="1">
      <c r="A250" s="9" t="s">
        <v>46</v>
      </c>
      <c r="B250" s="9" t="str">
        <f t="shared" ca="1" si="13"/>
        <v>vtuber_profiles_lang.mutter</v>
      </c>
      <c r="C250" s="10">
        <f t="shared" si="11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79</v>
      </c>
      <c r="G250" s="11" t="s">
        <v>80</v>
      </c>
      <c r="H250" s="11" t="s">
        <v>81</v>
      </c>
      <c r="I250" s="11" t="str">
        <f>_xlfn.XLOOKUP(
    $H250,
    型とバイト数!$B$3:$B$54,
    型とバイト数!$E$3:$E$54,
    IF(LEFT($H250,7)="varchar",MID(H250,FIND("(",H250)+1,FIND(")",H250)-FIND("(",H250)-1)*8,
        IF(LEFT($H250,4)="char",MID(H250,FIND("(",H250)+1,FIND(")",H250)-FIND("(",H250)-1)*8,
            IF(LEFT($H250,3)="bit",MID(H250,FIND("(",H250)+1,FIND(")",H250)-FIND("(",H250)-1),"???")
        )
    )
)</f>
        <v>-</v>
      </c>
      <c r="J250" s="11"/>
      <c r="K250" s="11"/>
      <c r="L250" s="9"/>
      <c r="M250" s="11" t="str">
        <f t="shared" si="10"/>
        <v/>
      </c>
      <c r="N250" s="11"/>
      <c r="O250" s="11"/>
      <c r="P250" s="11"/>
      <c r="Q250" s="11"/>
      <c r="R250" s="9"/>
      <c r="S250" s="9"/>
      <c r="T250" s="9" t="s">
        <v>48</v>
      </c>
      <c r="U250" s="11"/>
    </row>
    <row r="251" spans="1:21" ht="18.75" customHeight="1">
      <c r="A251" s="9" t="s">
        <v>46</v>
      </c>
      <c r="B251" s="9" t="str">
        <f t="shared" ca="1" si="13"/>
        <v>vtuber_profiles_lang.catchphrase</v>
      </c>
      <c r="C251" s="10">
        <f t="shared" si="11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82</v>
      </c>
      <c r="G251" s="11" t="s">
        <v>83</v>
      </c>
      <c r="H251" s="11" t="s">
        <v>62</v>
      </c>
      <c r="I251" s="11">
        <f>_xlfn.XLOOKUP(
    $H251,
    型とバイト数!$B$3:$B$54,
    型とバイト数!$E$3:$E$54,
    IF(LEFT($H251,7)="varchar",MID(H251,FIND("(",H251)+1,FIND(")",H251)-FIND("(",H251)-1)*8,
        IF(LEFT($H251,4)="char",MID(H251,FIND("(",H251)+1,FIND(")",H251)-FIND("(",H251)-1)*8,
            IF(LEFT($H251,3)="bit",MID(H251,FIND("(",H251)+1,FIND(")",H251)-FIND("(",H251)-1),"???")
        )
    )
)</f>
        <v>512</v>
      </c>
      <c r="J251" s="11"/>
      <c r="K251" s="11"/>
      <c r="L251" s="9"/>
      <c r="M251" s="11" t="str">
        <f t="shared" si="10"/>
        <v/>
      </c>
      <c r="N251" s="11"/>
      <c r="O251" s="11"/>
      <c r="P251" s="11"/>
      <c r="Q251" s="11"/>
      <c r="R251" s="9"/>
      <c r="S251" s="9"/>
      <c r="T251" s="9" t="s">
        <v>48</v>
      </c>
      <c r="U251" s="11"/>
    </row>
    <row r="252" spans="1:21" ht="18.75" customHeight="1">
      <c r="A252" s="9" t="s">
        <v>46</v>
      </c>
      <c r="B252" s="9" t="str">
        <f t="shared" ca="1" si="13"/>
        <v>vtuber_profiles_lang.favorite</v>
      </c>
      <c r="C252" s="10">
        <f t="shared" si="11"/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84</v>
      </c>
      <c r="G252" s="11" t="s">
        <v>85</v>
      </c>
      <c r="H252" s="11" t="s">
        <v>62</v>
      </c>
      <c r="I252" s="11">
        <f>_xlfn.XLOOKUP(
    $H252,
    型とバイト数!$B$3:$B$54,
    型とバイト数!$E$3:$E$54,
    IF(LEFT($H252,7)="varchar",MID(H252,FIND("(",H252)+1,FIND(")",H252)-FIND("(",H252)-1)*8,
        IF(LEFT($H252,4)="char",MID(H252,FIND("(",H252)+1,FIND(")",H252)-FIND("(",H252)-1)*8,
            IF(LEFT($H252,3)="bit",MID(H252,FIND("(",H252)+1,FIND(")",H252)-FIND("(",H252)-1),"???")
        )
    )
)</f>
        <v>512</v>
      </c>
      <c r="J252" s="11"/>
      <c r="K252" s="11"/>
      <c r="L252" s="9"/>
      <c r="M252" s="11" t="str">
        <f t="shared" si="10"/>
        <v/>
      </c>
      <c r="N252" s="11"/>
      <c r="O252" s="11"/>
      <c r="P252" s="11"/>
      <c r="Q252" s="11"/>
      <c r="R252" s="9"/>
      <c r="S252" s="9"/>
      <c r="T252" s="9" t="s">
        <v>48</v>
      </c>
      <c r="U252" s="11"/>
    </row>
    <row r="253" spans="1:21" ht="18.75" customHeight="1">
      <c r="A253" s="9" t="s">
        <v>46</v>
      </c>
      <c r="B253" s="9" t="str">
        <f t="shared" ca="1" si="13"/>
        <v>vtuber_profiles_lang.dis_favorite</v>
      </c>
      <c r="C253" s="10">
        <f t="shared" ref="C253:C273" si="14">ROW()-1</f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86</v>
      </c>
      <c r="G253" s="11" t="s">
        <v>87</v>
      </c>
      <c r="H253" s="11" t="s">
        <v>62</v>
      </c>
      <c r="I253" s="11">
        <f>_xlfn.XLOOKUP(
    $H253,
    型とバイト数!$B$3:$B$54,
    型とバイト数!$E$3:$E$54,
    IF(LEFT($H253,7)="varchar",MID(H253,FIND("(",H253)+1,FIND(")",H253)-FIND("(",H253)-1)*8,
        IF(LEFT($H253,4)="char",MID(H253,FIND("(",H253)+1,FIND(")",H253)-FIND("(",H253)-1)*8,
            IF(LEFT($H253,3)="bit",MID(H253,FIND("(",H253)+1,FIND(")",H253)-FIND("(",H253)-1),"???")
        )
    )
)</f>
        <v>512</v>
      </c>
      <c r="J253" s="11"/>
      <c r="K253" s="11"/>
      <c r="L253" s="9"/>
      <c r="M253" s="11" t="str">
        <f t="shared" si="10"/>
        <v/>
      </c>
      <c r="N253" s="11"/>
      <c r="O253" s="11"/>
      <c r="P253" s="11"/>
      <c r="Q253" s="11"/>
      <c r="R253" s="9"/>
      <c r="S253" s="9"/>
      <c r="T253" s="9" t="s">
        <v>48</v>
      </c>
      <c r="U253" s="11"/>
    </row>
    <row r="254" spans="1:21" ht="18.75" customHeight="1">
      <c r="A254" s="9" t="s">
        <v>46</v>
      </c>
      <c r="B254" s="9" t="str">
        <f t="shared" ca="1" si="13"/>
        <v>vtuber_profiles_lang.hobby</v>
      </c>
      <c r="C254" s="10">
        <f t="shared" si="14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88</v>
      </c>
      <c r="G254" s="11" t="s">
        <v>89</v>
      </c>
      <c r="H254" s="11" t="s">
        <v>62</v>
      </c>
      <c r="I254" s="11">
        <f>_xlfn.XLOOKUP(
    $H254,
    型とバイト数!$B$3:$B$54,
    型とバイト数!$E$3:$E$54,
    IF(LEFT($H254,7)="varchar",MID(H254,FIND("(",H254)+1,FIND(")",H254)-FIND("(",H254)-1)*8,
        IF(LEFT($H254,4)="char",MID(H254,FIND("(",H254)+1,FIND(")",H254)-FIND("(",H254)-1)*8,
            IF(LEFT($H254,3)="bit",MID(H254,FIND("(",H254)+1,FIND(")",H254)-FIND("(",H254)-1),"???")
        )
    )
)</f>
        <v>512</v>
      </c>
      <c r="J254" s="11"/>
      <c r="K254" s="11"/>
      <c r="L254" s="9"/>
      <c r="M254" s="11" t="str">
        <f t="shared" si="10"/>
        <v/>
      </c>
      <c r="N254" s="11"/>
      <c r="O254" s="11"/>
      <c r="P254" s="11"/>
      <c r="Q254" s="11"/>
      <c r="R254" s="9"/>
      <c r="S254" s="9"/>
      <c r="T254" s="9" t="s">
        <v>48</v>
      </c>
      <c r="U254" s="11"/>
    </row>
    <row r="255" spans="1:21" ht="18.75" customHeight="1">
      <c r="A255" s="9" t="s">
        <v>46</v>
      </c>
      <c r="B255" s="9" t="str">
        <f t="shared" ca="1" si="13"/>
        <v>vtuber_profiles_lang.dream</v>
      </c>
      <c r="C255" s="10">
        <f t="shared" si="14"/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90</v>
      </c>
      <c r="G255" s="11" t="s">
        <v>91</v>
      </c>
      <c r="H255" s="11" t="s">
        <v>62</v>
      </c>
      <c r="I255" s="11">
        <f>_xlfn.XLOOKUP(
    $H255,
    型とバイト数!$B$3:$B$54,
    型とバイト数!$E$3:$E$54,
    IF(LEFT($H255,7)="varchar",MID(H255,FIND("(",H255)+1,FIND(")",H255)-FIND("(",H255)-1)*8,
        IF(LEFT($H255,4)="char",MID(H255,FIND("(",H255)+1,FIND(")",H255)-FIND("(",H255)-1)*8,
            IF(LEFT($H255,3)="bit",MID(H255,FIND("(",H255)+1,FIND(")",H255)-FIND("(",H255)-1),"???")
        )
    )
)</f>
        <v>512</v>
      </c>
      <c r="J255" s="11"/>
      <c r="K255" s="11"/>
      <c r="L255" s="9"/>
      <c r="M255" s="11" t="str">
        <f t="shared" si="10"/>
        <v/>
      </c>
      <c r="N255" s="11"/>
      <c r="O255" s="11"/>
      <c r="P255" s="11"/>
      <c r="Q255" s="11"/>
      <c r="R255" s="9"/>
      <c r="S255" s="9"/>
      <c r="T255" s="9" t="s">
        <v>48</v>
      </c>
      <c r="U255" s="11"/>
    </row>
    <row r="256" spans="1:21" ht="18.75" customHeight="1">
      <c r="A256" s="9" t="s">
        <v>46</v>
      </c>
      <c r="B256" s="9" t="str">
        <f t="shared" ca="1" si="13"/>
        <v>vtuber_profiles_lang.messages</v>
      </c>
      <c r="C256" s="10">
        <f t="shared" si="14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92</v>
      </c>
      <c r="G256" s="11" t="s">
        <v>93</v>
      </c>
      <c r="H256" s="11" t="s">
        <v>81</v>
      </c>
      <c r="I256" s="11" t="str">
        <f>_xlfn.XLOOKUP(
    $H256,
    型とバイト数!$B$3:$B$54,
    型とバイト数!$E$3:$E$54,
    IF(LEFT($H256,7)="varchar",MID(H256,FIND("(",H256)+1,FIND(")",H256)-FIND("(",H256)-1)*8,
        IF(LEFT($H256,4)="char",MID(H256,FIND("(",H256)+1,FIND(")",H256)-FIND("(",H256)-1)*8,
            IF(LEFT($H256,3)="bit",MID(H256,FIND("(",H256)+1,FIND(")",H256)-FIND("(",H256)-1),"???")
        )
    )
)</f>
        <v>-</v>
      </c>
      <c r="J256" s="11"/>
      <c r="K256" s="11"/>
      <c r="L256" s="9"/>
      <c r="M256" s="11" t="str">
        <f t="shared" si="10"/>
        <v/>
      </c>
      <c r="N256" s="11"/>
      <c r="O256" s="11"/>
      <c r="P256" s="11"/>
      <c r="Q256" s="11"/>
      <c r="R256" s="9"/>
      <c r="S256" s="9"/>
      <c r="T256" s="9" t="s">
        <v>48</v>
      </c>
      <c r="U256" s="11"/>
    </row>
    <row r="257" spans="1:21" ht="18.75" customHeight="1">
      <c r="A257" s="9" t="s">
        <v>46</v>
      </c>
      <c r="B257" s="9" t="str">
        <f t="shared" ca="1" si="13"/>
        <v>vtuber_profiles_lang.profile_detail</v>
      </c>
      <c r="C257" s="10">
        <f t="shared" si="14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94</v>
      </c>
      <c r="G257" s="11" t="s">
        <v>95</v>
      </c>
      <c r="H257" s="11" t="s">
        <v>81</v>
      </c>
      <c r="I257" s="11" t="str">
        <f>_xlfn.XLOOKUP(
    $H257,
    型とバイト数!$B$3:$B$54,
    型とバイト数!$E$3:$E$54,
    IF(LEFT($H257,7)="varchar",MID(H257,FIND("(",H257)+1,FIND(")",H257)-FIND("(",H257)-1)*8,
        IF(LEFT($H257,4)="char",MID(H257,FIND("(",H257)+1,FIND(")",H257)-FIND("(",H257)-1)*8,
            IF(LEFT($H257,3)="bit",MID(H257,FIND("(",H257)+1,FIND(")",H257)-FIND("(",H257)-1),"???")
        )
    )
)</f>
        <v>-</v>
      </c>
      <c r="J257" s="11"/>
      <c r="K257" s="11"/>
      <c r="L257" s="9"/>
      <c r="M257" s="11" t="str">
        <f t="shared" si="10"/>
        <v/>
      </c>
      <c r="N257" s="11"/>
      <c r="O257" s="11"/>
      <c r="P257" s="11"/>
      <c r="Q257" s="11"/>
      <c r="R257" s="9"/>
      <c r="S257" s="9"/>
      <c r="T257" s="9" t="s">
        <v>48</v>
      </c>
      <c r="U257" s="11" t="s">
        <v>96</v>
      </c>
    </row>
    <row r="258" spans="1:21" ht="18.75" customHeight="1">
      <c r="A258" s="9" t="s">
        <v>46</v>
      </c>
      <c r="B258" s="9" t="str">
        <f t="shared" ca="1" si="13"/>
        <v>vtuber_profiles_lang.create_datetime</v>
      </c>
      <c r="C258" s="10">
        <f t="shared" si="14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104</v>
      </c>
      <c r="G258" s="11" t="s">
        <v>105</v>
      </c>
      <c r="H258" s="11" t="s">
        <v>487</v>
      </c>
      <c r="I258" s="11">
        <f>_xlfn.XLOOKUP(
    $H258,
    型とバイト数!$B$3:$B$54,
    型とバイト数!$E$3:$E$54,
    IF(LEFT($H258,7)="varchar",MID(H258,FIND("(",H258)+1,FIND(")",H258)-FIND("(",H258)-1)*8,
        IF(LEFT($H258,4)="char",MID(H258,FIND("(",H258)+1,FIND(")",H258)-FIND("(",H258)-1)*8,
            IF(LEFT($H258,3)="bit",MID(H258,FIND("(",H258)+1,FIND(")",H258)-FIND("(",H258)-1),"???")
        )
    )
)</f>
        <v>64</v>
      </c>
      <c r="J258" s="11"/>
      <c r="K258" s="11"/>
      <c r="L258" s="9"/>
      <c r="M258" s="11" t="str">
        <f t="shared" si="10"/>
        <v/>
      </c>
      <c r="N258" s="11" t="s">
        <v>48</v>
      </c>
      <c r="O258" s="11"/>
      <c r="P258" s="11" t="s">
        <v>106</v>
      </c>
      <c r="Q258" s="11"/>
      <c r="R258" s="9"/>
      <c r="S258" s="9"/>
      <c r="T258" s="9"/>
      <c r="U258" s="11"/>
    </row>
    <row r="259" spans="1:21" ht="18.75" customHeight="1">
      <c r="A259" s="9" t="s">
        <v>46</v>
      </c>
      <c r="B259" s="9" t="str">
        <f t="shared" ca="1" si="13"/>
        <v>vtuber_profiles_lang.create_user</v>
      </c>
      <c r="C259" s="10">
        <f t="shared" si="14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107</v>
      </c>
      <c r="G259" s="11" t="s">
        <v>108</v>
      </c>
      <c r="H259" s="11" t="s">
        <v>65</v>
      </c>
      <c r="I259" s="11">
        <f>_xlfn.XLOOKUP(
    $H259,
    型とバイト数!$B$3:$B$54,
    型とバイト数!$E$3:$E$54,
    IF(LEFT($H259,7)="varchar",MID(H259,FIND("(",H259)+1,FIND(")",H259)-FIND("(",H259)-1)*8,
        IF(LEFT($H259,4)="char",MID(H259,FIND("(",H259)+1,FIND(")",H259)-FIND("(",H259)-1)*8,
            IF(LEFT($H259,3)="bit",MID(H259,FIND("(",H259)+1,FIND(")",H259)-FIND("(",H259)-1),"???")
        )
    )
)</f>
        <v>256</v>
      </c>
      <c r="J259" s="11"/>
      <c r="K259" s="11"/>
      <c r="L259" s="9"/>
      <c r="M259" s="11" t="str">
        <f t="shared" si="10"/>
        <v/>
      </c>
      <c r="N259" s="11" t="s">
        <v>48</v>
      </c>
      <c r="O259" s="11"/>
      <c r="P259" s="11" t="s">
        <v>109</v>
      </c>
      <c r="Q259" s="11"/>
      <c r="R259" s="9"/>
      <c r="S259" s="9"/>
      <c r="T259" s="9"/>
      <c r="U259" s="11" t="s">
        <v>110</v>
      </c>
    </row>
    <row r="260" spans="1:21" ht="18.75" customHeight="1">
      <c r="A260" s="9" t="s">
        <v>46</v>
      </c>
      <c r="B260" s="9" t="str">
        <f t="shared" ca="1" si="13"/>
        <v>vtuber_profiles_lang.update_datetime</v>
      </c>
      <c r="C260" s="10">
        <f t="shared" si="14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111</v>
      </c>
      <c r="G260" s="11" t="s">
        <v>112</v>
      </c>
      <c r="H260" s="11" t="s">
        <v>487</v>
      </c>
      <c r="I260" s="11">
        <f>_xlfn.XLOOKUP(
    $H260,
    型とバイト数!$B$3:$B$54,
    型とバイト数!$E$3:$E$54,
    IF(LEFT($H260,7)="varchar",MID(H260,FIND("(",H260)+1,FIND(")",H260)-FIND("(",H260)-1)*8,
        IF(LEFT($H260,4)="char",MID(H260,FIND("(",H260)+1,FIND(")",H260)-FIND("(",H260)-1)*8,
            IF(LEFT($H260,3)="bit",MID(H260,FIND("(",H260)+1,FIND(")",H260)-FIND("(",H260)-1),"???")
        )
    )
)</f>
        <v>64</v>
      </c>
      <c r="J260" s="11"/>
      <c r="K260" s="11"/>
      <c r="L260" s="9"/>
      <c r="M260" s="11" t="str">
        <f t="shared" ref="M260:M278" si="15">IF(K260="","",IF(L260="","参照先未定義",_xlfn.XLOOKUP(L260,$B$1:$B$501,$C$1:$C$501,"エラー")))</f>
        <v/>
      </c>
      <c r="N260" s="11" t="s">
        <v>48</v>
      </c>
      <c r="O260" s="11"/>
      <c r="P260" s="11" t="s">
        <v>106</v>
      </c>
      <c r="Q260" s="11"/>
      <c r="R260" s="9"/>
      <c r="S260" s="9"/>
      <c r="T260" s="9"/>
      <c r="U260" s="11"/>
    </row>
    <row r="261" spans="1:21" ht="18.75" customHeight="1">
      <c r="A261" s="9" t="s">
        <v>46</v>
      </c>
      <c r="B261" s="9" t="str">
        <f t="shared" ca="1" si="13"/>
        <v>vtuber_profiles_lang.update_user</v>
      </c>
      <c r="C261" s="10">
        <f t="shared" si="14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113</v>
      </c>
      <c r="G261" s="11" t="s">
        <v>114</v>
      </c>
      <c r="H261" s="11" t="s">
        <v>65</v>
      </c>
      <c r="I261" s="11">
        <f>_xlfn.XLOOKUP(
    $H261,
    型とバイト数!$B$3:$B$54,
    型とバイト数!$E$3:$E$54,
    IF(LEFT($H261,7)="varchar",MID(H261,FIND("(",H261)+1,FIND(")",H261)-FIND("(",H261)-1)*8,
        IF(LEFT($H261,4)="char",MID(H261,FIND("(",H261)+1,FIND(")",H261)-FIND("(",H261)-1)*8,
            IF(LEFT($H261,3)="bit",MID(H261,FIND("(",H261)+1,FIND(")",H261)-FIND("(",H261)-1),"???")
        )
    )
)</f>
        <v>256</v>
      </c>
      <c r="J261" s="11"/>
      <c r="K261" s="11"/>
      <c r="L261" s="9"/>
      <c r="M261" s="11" t="str">
        <f t="shared" si="15"/>
        <v/>
      </c>
      <c r="N261" s="11" t="s">
        <v>48</v>
      </c>
      <c r="O261" s="11"/>
      <c r="P261" s="11" t="s">
        <v>109</v>
      </c>
      <c r="Q261" s="11"/>
      <c r="R261" s="9"/>
      <c r="S261" s="9"/>
      <c r="T261" s="9"/>
      <c r="U261" s="11" t="s">
        <v>110</v>
      </c>
    </row>
    <row r="262" spans="1:21" ht="18.75">
      <c r="A262" s="9" t="s">
        <v>46</v>
      </c>
      <c r="B262" s="9" t="str">
        <f t="shared" ca="1" si="13"/>
        <v>vtuber_profiles_lang.soft_delete_flag</v>
      </c>
      <c r="C262" s="10">
        <f t="shared" si="14"/>
        <v>261</v>
      </c>
      <c r="D262" s="11" t="str" cm="1">
        <f t="array" aca="1" ref="D262" ca="1">INDIRECT(ADDRESS(ROW()-1,COLUMN()))</f>
        <v>vtuber_profiles_lang</v>
      </c>
      <c r="E262" s="11" t="str" cm="1">
        <f t="array" aca="1" ref="E262" ca="1">INDIRECT(ADDRESS(ROW()-1,COLUMN()))</f>
        <v>Vtuberプロフィール(各言語)</v>
      </c>
      <c r="F262" s="11" t="s">
        <v>115</v>
      </c>
      <c r="G262" s="11" t="s">
        <v>116</v>
      </c>
      <c r="H262" s="11" t="s">
        <v>489</v>
      </c>
      <c r="I262" s="11">
        <f>_xlfn.XLOOKUP(
    $H262,
    型とバイト数!$B$3:$B$54,
    型とバイト数!$E$3:$E$54,
    IF(LEFT($H262,7)="varchar",MID(H262,FIND("(",H262)+1,FIND(")",H262)-FIND("(",H262)-1)*8,
        IF(LEFT($H262,4)="char",MID(H262,FIND("(",H262)+1,FIND(")",H262)-FIND("(",H262)-1)*8,
            IF(LEFT($H262,3)="bit",MID(H262,FIND("(",H262)+1,FIND(")",H262)-FIND("(",H262)-1),"???")
        )
    )
)</f>
        <v>8</v>
      </c>
      <c r="J262" s="11"/>
      <c r="K262" s="11"/>
      <c r="L262" s="9"/>
      <c r="M262" s="11" t="str">
        <f t="shared" si="15"/>
        <v/>
      </c>
      <c r="N262" s="11" t="s">
        <v>48</v>
      </c>
      <c r="O262" s="11"/>
      <c r="P262" s="11" t="b">
        <v>0</v>
      </c>
      <c r="Q262" s="11"/>
      <c r="R262" s="9"/>
      <c r="S262" s="9"/>
      <c r="T262" s="9"/>
      <c r="U262" s="11"/>
    </row>
    <row r="263" spans="1:21" ht="18.75">
      <c r="A263" s="9" t="s">
        <v>46</v>
      </c>
      <c r="B263" s="9" t="str">
        <f t="shared" si="13"/>
        <v>profile_tag.profile_tag_sequence_id</v>
      </c>
      <c r="C263" s="10">
        <f t="shared" si="14"/>
        <v>262</v>
      </c>
      <c r="D263" s="11" t="s">
        <v>466</v>
      </c>
      <c r="E263" s="11" t="s">
        <v>459</v>
      </c>
      <c r="F263" s="11" t="str">
        <f>D263&amp;"_sequence_id"</f>
        <v>profile_tag_sequence_id</v>
      </c>
      <c r="G263" s="11" t="str">
        <f>E263&amp;"ID"</f>
        <v>プロフィールのタグID</v>
      </c>
      <c r="H263" s="11" t="s">
        <v>527</v>
      </c>
      <c r="I263" s="11">
        <f>_xlfn.XLOOKUP(
    $H263,
    型とバイト数!$B$3:$B$54,
    型とバイト数!$E$3:$E$54,
    IF(LEFT($H263,7)="varchar",MID(H263,FIND("(",H263)+1,FIND(")",H263)-FIND("(",H263)-1)*8,
        IF(LEFT($H263,4)="char",MID(H263,FIND("(",H263)+1,FIND(")",H263)-FIND("(",H263)-1)*8,
            IF(LEFT($H263,3)="bit",MID(H263,FIND("(",H263)+1,FIND(")",H263)-FIND("(",H263)-1),"???")
        )
    )
)</f>
        <v>32</v>
      </c>
      <c r="J263" s="11" t="s">
        <v>452</v>
      </c>
      <c r="K263" s="11"/>
      <c r="L263" s="9"/>
      <c r="M263" s="11" t="str">
        <f t="shared" si="15"/>
        <v/>
      </c>
      <c r="N263" s="11" t="s">
        <v>473</v>
      </c>
      <c r="O263" s="11" t="s">
        <v>473</v>
      </c>
      <c r="P263" s="11" t="s">
        <v>526</v>
      </c>
      <c r="Q263" s="11"/>
      <c r="R263" s="9"/>
      <c r="S263" s="9"/>
      <c r="T263" s="9"/>
      <c r="U263" s="11"/>
    </row>
    <row r="264" spans="1:21" ht="18.75">
      <c r="A264" s="9" t="s">
        <v>46</v>
      </c>
      <c r="B264" s="9" t="str">
        <f t="shared" ca="1" si="13"/>
        <v>profile_tag.vtuber_profiles_id</v>
      </c>
      <c r="C264" s="10">
        <f t="shared" si="14"/>
        <v>263</v>
      </c>
      <c r="D264" s="11" t="str" cm="1">
        <f t="array" aca="1" ref="D264" ca="1">INDIRECT(ADDRESS(ROW()-1,COLUMN()))</f>
        <v>profile_tag</v>
      </c>
      <c r="E264" s="11" t="str" cm="1">
        <f t="array" aca="1" ref="E264" ca="1">INDIRECT(ADDRESS(ROW()-1,COLUMN()))</f>
        <v>プロフィールのタグ</v>
      </c>
      <c r="F264" s="11" t="s">
        <v>468</v>
      </c>
      <c r="G264" s="11" t="s">
        <v>50</v>
      </c>
      <c r="H264" s="11" t="s">
        <v>99</v>
      </c>
      <c r="I264" s="11">
        <f>_xlfn.XLOOKUP(
    $H264,
    型とバイト数!$B$3:$B$54,
    型とバイト数!$E$3:$E$54,
    IF(LEFT($H264,7)="varchar",MID(H264,FIND("(",H264)+1,FIND(")",H264)-FIND("(",H264)-1)*8,
        IF(LEFT($H264,4)="char",MID(H264,FIND("(",H264)+1,FIND(")",H264)-FIND("(",H264)-1)*8,
            IF(LEFT($H264,3)="bit",MID(H264,FIND("(",H264)+1,FIND(")",H264)-FIND("(",H264)-1),"???")
        )
    )
)</f>
        <v>32</v>
      </c>
      <c r="J264" s="11"/>
      <c r="K264" s="11" t="s">
        <v>48</v>
      </c>
      <c r="L264" s="9" t="s">
        <v>533</v>
      </c>
      <c r="M264" s="11">
        <f t="shared" si="15"/>
        <v>1</v>
      </c>
      <c r="N264" s="11" t="s">
        <v>48</v>
      </c>
      <c r="O264" s="11" t="s">
        <v>472</v>
      </c>
      <c r="P264" s="11"/>
      <c r="Q264" s="11" t="s">
        <v>558</v>
      </c>
      <c r="R264" s="9"/>
      <c r="S264" s="9"/>
      <c r="T264" s="9"/>
      <c r="U264" s="11"/>
    </row>
    <row r="265" spans="1:21" ht="18.75">
      <c r="A265" s="9" t="s">
        <v>46</v>
      </c>
      <c r="B265" s="9" t="str">
        <f t="shared" ca="1" si="13"/>
        <v>profile_tag.tag</v>
      </c>
      <c r="C265" s="10">
        <f t="shared" si="14"/>
        <v>264</v>
      </c>
      <c r="D265" s="11" t="str" cm="1">
        <f t="array" aca="1" ref="D265" ca="1">INDIRECT(ADDRESS(ROW()-1,COLUMN()))</f>
        <v>profile_tag</v>
      </c>
      <c r="E265" s="11" t="str" cm="1">
        <f t="array" aca="1" ref="E265" ca="1">INDIRECT(ADDRESS(ROW()-1,COLUMN()))</f>
        <v>プロフィールのタグ</v>
      </c>
      <c r="F265" s="11" t="s">
        <v>469</v>
      </c>
      <c r="G265" s="11" t="s">
        <v>124</v>
      </c>
      <c r="H265" s="11" t="s">
        <v>99</v>
      </c>
      <c r="I265" s="11">
        <f>_xlfn.XLOOKUP(
    $H265,
    型とバイト数!$B$3:$B$54,
    型とバイト数!$E$3:$E$54,
    IF(LEFT($H265,7)="varchar",MID(H265,FIND("(",H265)+1,FIND(")",H265)-FIND("(",H265)-1)*8,
        IF(LEFT($H265,4)="char",MID(H265,FIND("(",H265)+1,FIND(")",H265)-FIND("(",H265)-1)*8,
            IF(LEFT($H265,3)="bit",MID(H265,FIND("(",H265)+1,FIND(")",H265)-FIND("(",H265)-1),"???")
        )
    )
)</f>
        <v>32</v>
      </c>
      <c r="J265" s="11"/>
      <c r="K265" s="11" t="s">
        <v>452</v>
      </c>
      <c r="L265" s="9" t="s">
        <v>543</v>
      </c>
      <c r="M265" s="11">
        <f t="shared" ca="1" si="15"/>
        <v>21</v>
      </c>
      <c r="N265" s="11" t="s">
        <v>48</v>
      </c>
      <c r="O265" s="11" t="s">
        <v>472</v>
      </c>
      <c r="P265" s="11"/>
      <c r="Q265" s="11" t="s">
        <v>559</v>
      </c>
      <c r="R265" s="9"/>
      <c r="S265" s="9"/>
      <c r="T265" s="9" t="s">
        <v>48</v>
      </c>
      <c r="U265" s="11"/>
    </row>
    <row r="266" spans="1:21" ht="18.75">
      <c r="A266" s="9" t="s">
        <v>46</v>
      </c>
      <c r="B266" s="9" t="str">
        <f t="shared" ca="1" si="13"/>
        <v>profile_tag.create_datetime</v>
      </c>
      <c r="C266" s="10">
        <f>ROW()-1</f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104</v>
      </c>
      <c r="G266" s="11" t="s">
        <v>105</v>
      </c>
      <c r="H266" s="11" t="s">
        <v>487</v>
      </c>
      <c r="I266" s="11">
        <f>_xlfn.XLOOKUP(
    $H266,
    型とバイト数!$B$3:$B$54,
    型とバイト数!$E$3:$E$54,
    IF(LEFT($H266,7)="varchar",MID(H266,FIND("(",H266)+1,FIND(")",H266)-FIND("(",H266)-1)*8,
        IF(LEFT($H266,4)="char",MID(H266,FIND("(",H266)+1,FIND(")",H266)-FIND("(",H266)-1)*8,
            IF(LEFT($H266,3)="bit",MID(H266,FIND("(",H266)+1,FIND(")",H266)-FIND("(",H266)-1),"???")
        )
    )
)</f>
        <v>64</v>
      </c>
      <c r="J266" s="11"/>
      <c r="K266" s="11"/>
      <c r="L266" s="9"/>
      <c r="M266" s="11" t="str">
        <f t="shared" si="15"/>
        <v/>
      </c>
      <c r="N266" s="11" t="s">
        <v>48</v>
      </c>
      <c r="O266" s="11"/>
      <c r="P266" s="11" t="s">
        <v>106</v>
      </c>
      <c r="Q266" s="11"/>
      <c r="R266" s="9"/>
      <c r="S266" s="9"/>
      <c r="T266" s="9"/>
      <c r="U266" s="11"/>
    </row>
    <row r="267" spans="1:21" ht="18.75" customHeight="1">
      <c r="A267" s="9" t="s">
        <v>46</v>
      </c>
      <c r="B267" s="9" t="str">
        <f t="shared" ca="1" si="13"/>
        <v>profile_tag.create_user</v>
      </c>
      <c r="C267" s="10">
        <f>ROW()-1</f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107</v>
      </c>
      <c r="G267" s="11" t="s">
        <v>108</v>
      </c>
      <c r="H267" s="11" t="s">
        <v>65</v>
      </c>
      <c r="I267" s="11">
        <f>_xlfn.XLOOKUP(
    $H267,
    型とバイト数!$B$3:$B$54,
    型とバイト数!$E$3:$E$54,
    IF(LEFT($H267,7)="varchar",MID(H267,FIND("(",H267)+1,FIND(")",H267)-FIND("(",H267)-1)*8,
        IF(LEFT($H267,4)="char",MID(H267,FIND("(",H267)+1,FIND(")",H267)-FIND("(",H267)-1)*8,
            IF(LEFT($H267,3)="bit",MID(H267,FIND("(",H267)+1,FIND(")",H267)-FIND("(",H267)-1),"???")
        )
    )
)</f>
        <v>256</v>
      </c>
      <c r="J267" s="11"/>
      <c r="K267" s="11"/>
      <c r="L267" s="9"/>
      <c r="M267" s="11" t="str">
        <f t="shared" si="15"/>
        <v/>
      </c>
      <c r="N267" s="11" t="s">
        <v>48</v>
      </c>
      <c r="O267" s="11"/>
      <c r="P267" s="11" t="s">
        <v>109</v>
      </c>
      <c r="Q267" s="11"/>
      <c r="R267" s="9"/>
      <c r="S267" s="9"/>
      <c r="T267" s="9"/>
      <c r="U267" s="11" t="s">
        <v>110</v>
      </c>
    </row>
    <row r="268" spans="1:21" ht="18.75" customHeight="1">
      <c r="A268" s="9" t="s">
        <v>46</v>
      </c>
      <c r="B268" s="9" t="str">
        <f t="shared" ca="1" si="13"/>
        <v>profile_tag.update_datetime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111</v>
      </c>
      <c r="G268" s="11" t="s">
        <v>112</v>
      </c>
      <c r="H268" s="11" t="s">
        <v>487</v>
      </c>
      <c r="I268" s="11">
        <f>_xlfn.XLOOKUP(
    $H268,
    型とバイト数!$B$3:$B$54,
    型とバイト数!$E$3:$E$54,
    IF(LEFT($H268,7)="varchar",MID(H268,FIND("(",H268)+1,FIND(")",H268)-FIND("(",H268)-1)*8,
        IF(LEFT($H268,4)="char",MID(H268,FIND("(",H268)+1,FIND(")",H268)-FIND("(",H268)-1)*8,
            IF(LEFT($H268,3)="bit",MID(H268,FIND("(",H268)+1,FIND(")",H268)-FIND("(",H268)-1),"???")
        )
    )
)</f>
        <v>64</v>
      </c>
      <c r="J268" s="11"/>
      <c r="K268" s="11"/>
      <c r="L268" s="9"/>
      <c r="M268" s="11" t="str">
        <f t="shared" si="15"/>
        <v/>
      </c>
      <c r="N268" s="11" t="s">
        <v>48</v>
      </c>
      <c r="O268" s="11"/>
      <c r="P268" s="11" t="s">
        <v>106</v>
      </c>
      <c r="Q268" s="11"/>
      <c r="R268" s="9"/>
      <c r="S268" s="9"/>
      <c r="T268" s="9"/>
      <c r="U268" s="11"/>
    </row>
    <row r="269" spans="1:21" ht="18.75" customHeight="1">
      <c r="A269" s="9" t="s">
        <v>46</v>
      </c>
      <c r="B269" s="9" t="str">
        <f t="shared" ca="1" si="13"/>
        <v>profile_tag.update_user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113</v>
      </c>
      <c r="G269" s="11" t="s">
        <v>114</v>
      </c>
      <c r="H269" s="11" t="s">
        <v>65</v>
      </c>
      <c r="I269" s="11">
        <f>_xlfn.XLOOKUP(
    $H269,
    型とバイト数!$B$3:$B$54,
    型とバイト数!$E$3:$E$54,
    IF(LEFT($H269,7)="varchar",MID(H269,FIND("(",H269)+1,FIND(")",H269)-FIND("(",H269)-1)*8,
        IF(LEFT($H269,4)="char",MID(H269,FIND("(",H269)+1,FIND(")",H269)-FIND("(",H269)-1)*8,
            IF(LEFT($H269,3)="bit",MID(H269,FIND("(",H269)+1,FIND(")",H269)-FIND("(",H269)-1),"???")
        )
    )
)</f>
        <v>256</v>
      </c>
      <c r="J269" s="11"/>
      <c r="K269" s="11"/>
      <c r="L269" s="9"/>
      <c r="M269" s="11" t="str">
        <f t="shared" si="15"/>
        <v/>
      </c>
      <c r="N269" s="11" t="s">
        <v>48</v>
      </c>
      <c r="O269" s="11"/>
      <c r="P269" s="11" t="s">
        <v>109</v>
      </c>
      <c r="Q269" s="11"/>
      <c r="R269" s="9"/>
      <c r="S269" s="9"/>
      <c r="T269" s="9"/>
      <c r="U269" s="11" t="s">
        <v>110</v>
      </c>
    </row>
    <row r="270" spans="1:21" ht="18.75" customHeight="1">
      <c r="A270" s="9" t="s">
        <v>46</v>
      </c>
      <c r="B270" s="9" t="str">
        <f t="shared" ca="1" si="13"/>
        <v>profile_tag.soft_delete_flag</v>
      </c>
      <c r="C270" s="10">
        <f>ROW()-1</f>
        <v>269</v>
      </c>
      <c r="D270" s="11" t="str" cm="1">
        <f t="array" aca="1" ref="D270" ca="1">INDIRECT(ADDRESS(ROW()-1,COLUMN()))</f>
        <v>profile_tag</v>
      </c>
      <c r="E270" s="11" t="str" cm="1">
        <f t="array" aca="1" ref="E270" ca="1">INDIRECT(ADDRESS(ROW()-1,COLUMN()))</f>
        <v>プロフィールのタグ</v>
      </c>
      <c r="F270" s="11" t="s">
        <v>115</v>
      </c>
      <c r="G270" s="11" t="s">
        <v>116</v>
      </c>
      <c r="H270" s="11" t="s">
        <v>489</v>
      </c>
      <c r="I270" s="11">
        <f>_xlfn.XLOOKUP(
    $H270,
    型とバイト数!$B$3:$B$54,
    型とバイト数!$E$3:$E$54,
    IF(LEFT($H270,7)="varchar",MID(H270,FIND("(",H270)+1,FIND(")",H270)-FIND("(",H270)-1)*8,
        IF(LEFT($H270,4)="char",MID(H270,FIND("(",H270)+1,FIND(")",H270)-FIND("(",H270)-1)*8,
            IF(LEFT($H270,3)="bit",MID(H270,FIND("(",H270)+1,FIND(")",H270)-FIND("(",H270)-1),"???")
        )
    )
)</f>
        <v>8</v>
      </c>
      <c r="J270" s="11"/>
      <c r="K270" s="11"/>
      <c r="L270" s="9"/>
      <c r="M270" s="11" t="str">
        <f t="shared" si="15"/>
        <v/>
      </c>
      <c r="N270" s="11" t="s">
        <v>48</v>
      </c>
      <c r="O270" s="11"/>
      <c r="P270" s="11" t="b">
        <v>0</v>
      </c>
      <c r="Q270" s="11"/>
      <c r="R270" s="9"/>
      <c r="S270" s="9"/>
      <c r="T270" s="9"/>
      <c r="U270" s="11"/>
    </row>
    <row r="271" spans="1:21" ht="18.75">
      <c r="A271" s="9" t="s">
        <v>46</v>
      </c>
      <c r="B271" s="9" t="str">
        <f t="shared" si="13"/>
        <v>profile_activity.profile_activity_sequence_id</v>
      </c>
      <c r="C271" s="10">
        <f t="shared" si="14"/>
        <v>270</v>
      </c>
      <c r="D271" s="11" t="s">
        <v>480</v>
      </c>
      <c r="E271" s="11" t="s">
        <v>481</v>
      </c>
      <c r="F271" s="11" t="str">
        <f>D271&amp;"_sequence_id"</f>
        <v>profile_activity_sequence_id</v>
      </c>
      <c r="G271" s="11" t="str">
        <f>E271&amp;"ID"</f>
        <v>プロフィールの活動ジャンルID</v>
      </c>
      <c r="H271" s="11" t="s">
        <v>527</v>
      </c>
      <c r="I271" s="11">
        <f>_xlfn.XLOOKUP(
    $H271,
    型とバイト数!$B$3:$B$54,
    型とバイト数!$E$3:$E$54,
    IF(LEFT($H271,7)="varchar",MID(H271,FIND("(",H271)+1,FIND(")",H271)-FIND("(",H271)-1)*8,
        IF(LEFT($H271,4)="char",MID(H271,FIND("(",H271)+1,FIND(")",H271)-FIND("(",H271)-1)*8,
            IF(LEFT($H271,3)="bit",MID(H271,FIND("(",H271)+1,FIND(")",H271)-FIND("(",H271)-1),"???")
        )
    )
)</f>
        <v>32</v>
      </c>
      <c r="J271" s="11" t="s">
        <v>452</v>
      </c>
      <c r="K271" s="11"/>
      <c r="L271" s="9"/>
      <c r="M271" s="11" t="str">
        <f t="shared" si="15"/>
        <v/>
      </c>
      <c r="N271" s="11" t="s">
        <v>473</v>
      </c>
      <c r="O271" s="11" t="s">
        <v>473</v>
      </c>
      <c r="P271" s="11" t="s">
        <v>526</v>
      </c>
      <c r="Q271" s="11"/>
      <c r="R271" s="9"/>
      <c r="S271" s="9"/>
      <c r="T271" s="9"/>
      <c r="U271" s="11"/>
    </row>
    <row r="272" spans="1:21" ht="18.75">
      <c r="A272" s="9" t="s">
        <v>46</v>
      </c>
      <c r="B272" s="9" t="str">
        <f t="shared" ca="1" si="13"/>
        <v>profile_activity.vtuber_profiles_id</v>
      </c>
      <c r="C272" s="10">
        <f t="shared" si="14"/>
        <v>271</v>
      </c>
      <c r="D272" s="11" t="str" cm="1">
        <f t="array" aca="1" ref="D272" ca="1">INDIRECT(ADDRESS(ROW()-1,COLUMN()))</f>
        <v>profile_activity</v>
      </c>
      <c r="E272" s="11" t="str" cm="1">
        <f t="array" aca="1" ref="E272" ca="1">INDIRECT(ADDRESS(ROW()-1,COLUMN()))</f>
        <v>プロフィールの活動ジャンル</v>
      </c>
      <c r="F272" s="11" t="s">
        <v>468</v>
      </c>
      <c r="G272" s="11" t="s">
        <v>50</v>
      </c>
      <c r="H272" s="11" t="s">
        <v>99</v>
      </c>
      <c r="I272" s="11">
        <f>_xlfn.XLOOKUP(
    $H272,
    型とバイト数!$B$3:$B$54,
    型とバイト数!$E$3:$E$54,
    IF(LEFT($H272,7)="varchar",MID(H272,FIND("(",H272)+1,FIND(")",H272)-FIND("(",H272)-1)*8,
        IF(LEFT($H272,4)="char",MID(H272,FIND("(",H272)+1,FIND(")",H272)-FIND("(",H272)-1)*8,
            IF(LEFT($H272,3)="bit",MID(H272,FIND("(",H272)+1,FIND(")",H272)-FIND("(",H272)-1),"???")
        )
    )
)</f>
        <v>32</v>
      </c>
      <c r="J272" s="11"/>
      <c r="K272" s="11" t="s">
        <v>48</v>
      </c>
      <c r="L272" s="9" t="s">
        <v>533</v>
      </c>
      <c r="M272" s="11">
        <f t="shared" si="15"/>
        <v>1</v>
      </c>
      <c r="N272" s="11" t="s">
        <v>48</v>
      </c>
      <c r="O272" s="11" t="s">
        <v>472</v>
      </c>
      <c r="P272" s="11"/>
      <c r="Q272" s="11" t="s">
        <v>560</v>
      </c>
      <c r="R272" s="9"/>
      <c r="S272" s="9"/>
      <c r="T272" s="9"/>
      <c r="U272" s="11"/>
    </row>
    <row r="273" spans="1:21" ht="18.75">
      <c r="A273" s="9" t="s">
        <v>46</v>
      </c>
      <c r="B273" s="9" t="str">
        <f t="shared" ca="1" si="13"/>
        <v>profile_activity.activity</v>
      </c>
      <c r="C273" s="10">
        <f t="shared" si="14"/>
        <v>272</v>
      </c>
      <c r="D273" s="11" t="str" cm="1">
        <f t="array" aca="1" ref="D273" ca="1">INDIRECT(ADDRESS(ROW()-1,COLUMN()))</f>
        <v>profile_activity</v>
      </c>
      <c r="E273" s="11" t="str" cm="1">
        <f t="array" aca="1" ref="E273" ca="1">INDIRECT(ADDRESS(ROW()-1,COLUMN()))</f>
        <v>プロフィールの活動ジャンル</v>
      </c>
      <c r="F273" s="11" t="s">
        <v>483</v>
      </c>
      <c r="G273" s="11" t="s">
        <v>68</v>
      </c>
      <c r="H273" s="11" t="s">
        <v>482</v>
      </c>
      <c r="I273" s="11">
        <f>_xlfn.XLOOKUP(
    $H273,
    型とバイト数!$B$3:$B$54,
    型とバイト数!$E$3:$E$54,
    IF(LEFT($H273,7)="varchar",MID(H273,FIND("(",H273)+1,FIND(")",H273)-FIND("(",H273)-1)*8,
        IF(LEFT($H273,4)="char",MID(H273,FIND("(",H273)+1,FIND(")",H273)-FIND("(",H273)-1)*8,
            IF(LEFT($H273,3)="bit",MID(H273,FIND("(",H273)+1,FIND(")",H273)-FIND("(",H273)-1),"???")
        )
    )
)</f>
        <v>128</v>
      </c>
      <c r="J273" s="11"/>
      <c r="K273" s="11"/>
      <c r="L273" s="9"/>
      <c r="M273" s="11" t="str">
        <f t="shared" si="15"/>
        <v/>
      </c>
      <c r="N273" s="11" t="s">
        <v>48</v>
      </c>
      <c r="O273" s="11" t="s">
        <v>472</v>
      </c>
      <c r="P273" s="11"/>
      <c r="Q273" s="11" t="s">
        <v>484</v>
      </c>
      <c r="R273" s="9"/>
      <c r="S273" s="9"/>
      <c r="T273" s="9" t="s">
        <v>48</v>
      </c>
      <c r="U273" s="11"/>
    </row>
    <row r="274" spans="1:21" ht="18.75">
      <c r="A274" s="9" t="s">
        <v>46</v>
      </c>
      <c r="B274" s="9" t="str">
        <f t="shared" ca="1" si="13"/>
        <v>profile_activity.create_datetime</v>
      </c>
      <c r="C274" s="10">
        <f>ROW()-1</f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104</v>
      </c>
      <c r="G274" s="11" t="s">
        <v>105</v>
      </c>
      <c r="H274" s="11" t="s">
        <v>487</v>
      </c>
      <c r="I274" s="11">
        <f>_xlfn.XLOOKUP(
    $H274,
    型とバイト数!$B$3:$B$54,
    型とバイト数!$E$3:$E$54,
    IF(LEFT($H274,7)="varchar",MID(H274,FIND("(",H274)+1,FIND(")",H274)-FIND("(",H274)-1)*8,
        IF(LEFT($H274,4)="char",MID(H274,FIND("(",H274)+1,FIND(")",H274)-FIND("(",H274)-1)*8,
            IF(LEFT($H274,3)="bit",MID(H274,FIND("(",H274)+1,FIND(")",H274)-FIND("(",H274)-1),"???")
        )
    )
)</f>
        <v>64</v>
      </c>
      <c r="J274" s="11"/>
      <c r="K274" s="11"/>
      <c r="L274" s="9"/>
      <c r="M274" s="11" t="str">
        <f t="shared" si="15"/>
        <v/>
      </c>
      <c r="N274" s="11" t="s">
        <v>48</v>
      </c>
      <c r="O274" s="11"/>
      <c r="P274" s="11" t="s">
        <v>106</v>
      </c>
      <c r="Q274" s="11"/>
      <c r="R274" s="9"/>
      <c r="S274" s="9"/>
      <c r="T274" s="9"/>
      <c r="U274" s="11"/>
    </row>
    <row r="275" spans="1:21" ht="18.75" customHeight="1">
      <c r="A275" s="9" t="s">
        <v>46</v>
      </c>
      <c r="B275" s="9" t="str">
        <f t="shared" ca="1" si="13"/>
        <v>profile_activity.create_user</v>
      </c>
      <c r="C275" s="10">
        <f>ROW()-1</f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107</v>
      </c>
      <c r="G275" s="11" t="s">
        <v>108</v>
      </c>
      <c r="H275" s="11" t="s">
        <v>65</v>
      </c>
      <c r="I275" s="11">
        <f>_xlfn.XLOOKUP(
    $H275,
    型とバイト数!$B$3:$B$54,
    型とバイト数!$E$3:$E$54,
    IF(LEFT($H275,7)="varchar",MID(H275,FIND("(",H275)+1,FIND(")",H275)-FIND("(",H275)-1)*8,
        IF(LEFT($H275,4)="char",MID(H275,FIND("(",H275)+1,FIND(")",H275)-FIND("(",H275)-1)*8,
            IF(LEFT($H275,3)="bit",MID(H275,FIND("(",H275)+1,FIND(")",H275)-FIND("(",H275)-1),"???")
        )
    )
)</f>
        <v>256</v>
      </c>
      <c r="J275" s="11"/>
      <c r="K275" s="11"/>
      <c r="L275" s="9"/>
      <c r="M275" s="11" t="str">
        <f t="shared" si="15"/>
        <v/>
      </c>
      <c r="N275" s="11" t="s">
        <v>48</v>
      </c>
      <c r="O275" s="11"/>
      <c r="P275" s="11" t="s">
        <v>109</v>
      </c>
      <c r="Q275" s="11"/>
      <c r="R275" s="9"/>
      <c r="S275" s="9"/>
      <c r="T275" s="9"/>
      <c r="U275" s="11" t="s">
        <v>110</v>
      </c>
    </row>
    <row r="276" spans="1:21" ht="18.75" customHeight="1">
      <c r="A276" s="9" t="s">
        <v>46</v>
      </c>
      <c r="B276" s="9" t="str">
        <f t="shared" ca="1" si="13"/>
        <v>profile_activity.update_datetime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111</v>
      </c>
      <c r="G276" s="11" t="s">
        <v>112</v>
      </c>
      <c r="H276" s="11" t="s">
        <v>487</v>
      </c>
      <c r="I276" s="11">
        <f>_xlfn.XLOOKUP(
    $H276,
    型とバイト数!$B$3:$B$54,
    型とバイト数!$E$3:$E$54,
    IF(LEFT($H276,7)="varchar",MID(H276,FIND("(",H276)+1,FIND(")",H276)-FIND("(",H276)-1)*8,
        IF(LEFT($H276,4)="char",MID(H276,FIND("(",H276)+1,FIND(")",H276)-FIND("(",H276)-1)*8,
            IF(LEFT($H276,3)="bit",MID(H276,FIND("(",H276)+1,FIND(")",H276)-FIND("(",H276)-1),"???")
        )
    )
)</f>
        <v>64</v>
      </c>
      <c r="J276" s="11"/>
      <c r="K276" s="11"/>
      <c r="L276" s="9"/>
      <c r="M276" s="11" t="str">
        <f t="shared" si="15"/>
        <v/>
      </c>
      <c r="N276" s="11" t="s">
        <v>48</v>
      </c>
      <c r="O276" s="11"/>
      <c r="P276" s="11" t="s">
        <v>106</v>
      </c>
      <c r="Q276" s="11"/>
      <c r="R276" s="9"/>
      <c r="S276" s="9"/>
      <c r="T276" s="9"/>
      <c r="U276" s="11"/>
    </row>
    <row r="277" spans="1:21" ht="18.75" customHeight="1">
      <c r="A277" s="9" t="s">
        <v>46</v>
      </c>
      <c r="B277" s="9" t="str">
        <f t="shared" ca="1" si="13"/>
        <v>profile_activity.update_user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113</v>
      </c>
      <c r="G277" s="11" t="s">
        <v>114</v>
      </c>
      <c r="H277" s="11" t="s">
        <v>65</v>
      </c>
      <c r="I277" s="11">
        <f>_xlfn.XLOOKUP(
    $H277,
    型とバイト数!$B$3:$B$54,
    型とバイト数!$E$3:$E$54,
    IF(LEFT($H277,7)="varchar",MID(H277,FIND("(",H277)+1,FIND(")",H277)-FIND("(",H277)-1)*8,
        IF(LEFT($H277,4)="char",MID(H277,FIND("(",H277)+1,FIND(")",H277)-FIND("(",H277)-1)*8,
            IF(LEFT($H277,3)="bit",MID(H277,FIND("(",H277)+1,FIND(")",H277)-FIND("(",H277)-1),"???")
        )
    )
)</f>
        <v>256</v>
      </c>
      <c r="J277" s="11"/>
      <c r="K277" s="11"/>
      <c r="L277" s="9"/>
      <c r="M277" s="11" t="str">
        <f t="shared" si="15"/>
        <v/>
      </c>
      <c r="N277" s="11" t="s">
        <v>48</v>
      </c>
      <c r="O277" s="11"/>
      <c r="P277" s="11" t="s">
        <v>109</v>
      </c>
      <c r="Q277" s="11"/>
      <c r="R277" s="9"/>
      <c r="S277" s="9"/>
      <c r="T277" s="9"/>
      <c r="U277" s="11" t="s">
        <v>110</v>
      </c>
    </row>
    <row r="278" spans="1:21" ht="18.75" customHeight="1">
      <c r="A278" s="9" t="s">
        <v>46</v>
      </c>
      <c r="B278" s="9" t="str">
        <f t="shared" ca="1" si="13"/>
        <v>profile_activity.soft_delete_flag</v>
      </c>
      <c r="C278" s="10">
        <f>ROW()-1</f>
        <v>277</v>
      </c>
      <c r="D278" s="11" t="str" cm="1">
        <f t="array" aca="1" ref="D278" ca="1">INDIRECT(ADDRESS(ROW()-1,COLUMN()))</f>
        <v>profile_activity</v>
      </c>
      <c r="E278" s="11" t="str" cm="1">
        <f t="array" aca="1" ref="E278" ca="1">INDIRECT(ADDRESS(ROW()-1,COLUMN()))</f>
        <v>プロフィールの活動ジャンル</v>
      </c>
      <c r="F278" s="11" t="s">
        <v>115</v>
      </c>
      <c r="G278" s="11" t="s">
        <v>116</v>
      </c>
      <c r="H278" s="11" t="s">
        <v>489</v>
      </c>
      <c r="I278" s="11">
        <f>_xlfn.XLOOKUP(
    $H278,
    型とバイト数!$B$3:$B$54,
    型とバイト数!$E$3:$E$54,
    IF(LEFT($H278,7)="varchar",MID(H278,FIND("(",H278)+1,FIND(")",H278)-FIND("(",H278)-1)*8,
        IF(LEFT($H278,4)="char",MID(H278,FIND("(",H278)+1,FIND(")",H278)-FIND("(",H278)-1)*8,
            IF(LEFT($H278,3)="bit",MID(H278,FIND("(",H278)+1,FIND(")",H278)-FIND("(",H278)-1),"???")
        )
    )
)</f>
        <v>8</v>
      </c>
      <c r="J278" s="11"/>
      <c r="K278" s="11"/>
      <c r="L278" s="9"/>
      <c r="M278" s="11" t="str">
        <f t="shared" si="15"/>
        <v/>
      </c>
      <c r="N278" s="11" t="s">
        <v>48</v>
      </c>
      <c r="O278" s="11"/>
      <c r="P278" s="11" t="b">
        <v>0</v>
      </c>
      <c r="Q278" s="11"/>
      <c r="R278" s="9"/>
      <c r="S278" s="9"/>
      <c r="T278" s="9"/>
      <c r="U278" s="11"/>
    </row>
  </sheetData>
  <autoFilter ref="A1:U278" xr:uid="{00000000-0009-0000-0000-000001000000}"/>
  <phoneticPr fontId="4"/>
  <conditionalFormatting sqref="D2:E278">
    <cfRule type="expression" dxfId="5" priority="2">
      <formula>D2=D1</formula>
    </cfRule>
  </conditionalFormatting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0B6F5-C3D8-4772-8031-5EC099377F5F}">
  <sheetPr>
    <tabColor theme="9" tint="0.59999389629810485"/>
  </sheetPr>
  <dimension ref="A1:G11"/>
  <sheetViews>
    <sheetView zoomScale="175" zoomScaleNormal="175" workbookViewId="0">
      <selection activeCell="E15" sqref="E15"/>
    </sheetView>
  </sheetViews>
  <sheetFormatPr defaultRowHeight="15"/>
  <cols>
    <col min="1" max="1" width="3.7109375" bestFit="1" customWidth="1"/>
    <col min="2" max="2" width="21.85546875" bestFit="1" customWidth="1"/>
    <col min="3" max="3" width="16.140625" bestFit="1" customWidth="1"/>
    <col min="4" max="4" width="32.140625" bestFit="1" customWidth="1"/>
    <col min="5" max="5" width="15" bestFit="1" customWidth="1"/>
    <col min="6" max="6" width="36" bestFit="1" customWidth="1"/>
    <col min="7" max="7" width="33.140625" customWidth="1"/>
  </cols>
  <sheetData>
    <row r="1" spans="1:7">
      <c r="A1" s="23" t="s">
        <v>500</v>
      </c>
      <c r="B1" s="23" t="s">
        <v>725</v>
      </c>
      <c r="C1" s="23" t="s">
        <v>726</v>
      </c>
      <c r="D1" s="23" t="s">
        <v>727</v>
      </c>
      <c r="E1" s="69" t="s">
        <v>733</v>
      </c>
      <c r="F1" s="23" t="s">
        <v>734</v>
      </c>
      <c r="G1" s="23" t="s">
        <v>732</v>
      </c>
    </row>
    <row r="2" spans="1:7">
      <c r="A2" s="23">
        <f>ROW()-1</f>
        <v>1</v>
      </c>
      <c r="B2" s="18" t="s">
        <v>728</v>
      </c>
      <c r="C2" s="18" t="s">
        <v>259</v>
      </c>
      <c r="D2" s="18" t="s">
        <v>729</v>
      </c>
      <c r="E2" s="70" t="s">
        <v>735</v>
      </c>
      <c r="F2" s="71" t="s">
        <v>738</v>
      </c>
      <c r="G2" s="18"/>
    </row>
    <row r="3" spans="1:7">
      <c r="A3" s="23">
        <f>ROW()-1</f>
        <v>2</v>
      </c>
      <c r="B3" s="18" t="s">
        <v>728</v>
      </c>
      <c r="C3" s="18" t="s">
        <v>259</v>
      </c>
      <c r="D3" s="18" t="s">
        <v>729</v>
      </c>
      <c r="E3" s="70" t="s">
        <v>736</v>
      </c>
      <c r="F3" s="71" t="s">
        <v>737</v>
      </c>
      <c r="G3" s="18"/>
    </row>
    <row r="4" spans="1:7">
      <c r="A4" s="23">
        <f t="shared" ref="A4:A11" si="0">ROW()-1</f>
        <v>3</v>
      </c>
      <c r="B4" s="18" t="s">
        <v>730</v>
      </c>
      <c r="C4" s="18" t="s">
        <v>731</v>
      </c>
      <c r="D4" s="70" t="s">
        <v>750</v>
      </c>
      <c r="E4" s="70" t="s">
        <v>497</v>
      </c>
      <c r="F4" s="70"/>
      <c r="G4" s="18"/>
    </row>
    <row r="5" spans="1:7">
      <c r="A5" s="23">
        <f t="shared" si="0"/>
        <v>4</v>
      </c>
      <c r="B5" s="18" t="s">
        <v>730</v>
      </c>
      <c r="C5" s="18" t="s">
        <v>731</v>
      </c>
      <c r="D5" s="70" t="s">
        <v>750</v>
      </c>
      <c r="E5" s="70" t="s">
        <v>563</v>
      </c>
      <c r="F5" s="18"/>
      <c r="G5" s="18"/>
    </row>
    <row r="6" spans="1:7">
      <c r="A6" s="23">
        <f t="shared" si="0"/>
        <v>5</v>
      </c>
      <c r="B6" s="18" t="s">
        <v>730</v>
      </c>
      <c r="C6" s="18" t="s">
        <v>731</v>
      </c>
      <c r="D6" s="70" t="s">
        <v>750</v>
      </c>
      <c r="E6" s="70" t="s">
        <v>595</v>
      </c>
      <c r="F6" s="18"/>
      <c r="G6" s="18"/>
    </row>
    <row r="7" spans="1:7">
      <c r="A7" s="23">
        <f t="shared" si="0"/>
        <v>6</v>
      </c>
      <c r="B7" s="18" t="s">
        <v>730</v>
      </c>
      <c r="C7" s="18" t="s">
        <v>731</v>
      </c>
      <c r="D7" s="70" t="s">
        <v>750</v>
      </c>
      <c r="E7" s="70" t="s">
        <v>620</v>
      </c>
      <c r="F7" s="18"/>
      <c r="G7" s="18"/>
    </row>
    <row r="8" spans="1:7">
      <c r="A8" s="23">
        <f t="shared" si="0"/>
        <v>7</v>
      </c>
      <c r="B8" s="18" t="s">
        <v>730</v>
      </c>
      <c r="C8" s="18" t="s">
        <v>731</v>
      </c>
      <c r="D8" s="70" t="s">
        <v>750</v>
      </c>
      <c r="E8" s="70" t="s">
        <v>636</v>
      </c>
      <c r="F8" s="18"/>
      <c r="G8" s="18"/>
    </row>
    <row r="9" spans="1:7">
      <c r="A9" s="23">
        <f t="shared" si="0"/>
        <v>8</v>
      </c>
      <c r="B9" s="18" t="s">
        <v>730</v>
      </c>
      <c r="C9" s="18" t="s">
        <v>731</v>
      </c>
      <c r="D9" s="70" t="s">
        <v>750</v>
      </c>
      <c r="E9" s="70" t="s">
        <v>645</v>
      </c>
      <c r="F9" s="18"/>
      <c r="G9" s="18"/>
    </row>
    <row r="10" spans="1:7">
      <c r="A10" s="23">
        <f t="shared" si="0"/>
        <v>9</v>
      </c>
      <c r="B10" s="70" t="s">
        <v>745</v>
      </c>
      <c r="C10" s="72" t="s">
        <v>744</v>
      </c>
      <c r="D10" s="70" t="s">
        <v>748</v>
      </c>
      <c r="E10" s="70" t="s">
        <v>655</v>
      </c>
      <c r="F10" s="70" t="s">
        <v>746</v>
      </c>
      <c r="G10" s="18"/>
    </row>
    <row r="11" spans="1:7">
      <c r="A11" s="23">
        <f t="shared" si="0"/>
        <v>10</v>
      </c>
      <c r="B11" s="70" t="s">
        <v>745</v>
      </c>
      <c r="C11" s="72" t="s">
        <v>744</v>
      </c>
      <c r="D11" s="70" t="s">
        <v>748</v>
      </c>
      <c r="E11" s="70" t="s">
        <v>458</v>
      </c>
      <c r="F11" s="71" t="s">
        <v>747</v>
      </c>
      <c r="G11" s="18"/>
    </row>
  </sheetData>
  <phoneticPr fontId="4"/>
  <conditionalFormatting sqref="B2:D11">
    <cfRule type="expression" dxfId="4" priority="9">
      <formula>B2=B1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sheetPr>
    <tabColor theme="8" tint="0.59999389629810485"/>
  </sheetPr>
  <dimension ref="A1"/>
  <sheetViews>
    <sheetView workbookViewId="0"/>
  </sheetViews>
  <sheetFormatPr defaultColWidth="8.85546875" defaultRowHeight="15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sheetPr>
    <tabColor theme="8" tint="0.59999389629810485"/>
  </sheetPr>
  <dimension ref="A1:AS95"/>
  <sheetViews>
    <sheetView zoomScale="160" zoomScaleNormal="160" workbookViewId="0">
      <pane xSplit="2" ySplit="11" topLeftCell="C23" activePane="bottomRight" state="frozen"/>
      <selection activeCell="H20" sqref="H20"/>
      <selection pane="topRight" activeCell="H20" sqref="H20"/>
      <selection pane="bottomLeft" activeCell="H20" sqref="H20"/>
      <selection pane="bottomRight" activeCell="N65" sqref="N65"/>
    </sheetView>
  </sheetViews>
  <sheetFormatPr defaultColWidth="8.85546875" defaultRowHeight="15" outlineLevelRow="2" outlineLevelCol="1"/>
  <cols>
    <col min="1" max="1" width="3.28515625" bestFit="1" customWidth="1"/>
    <col min="2" max="2" width="17.7109375" bestFit="1" customWidth="1"/>
    <col min="3" max="3" width="20.42578125" bestFit="1" customWidth="1"/>
    <col min="4" max="4" width="25.42578125" hidden="1" customWidth="1" outlineLevel="1"/>
    <col min="5" max="5" width="15.42578125" hidden="1" customWidth="1" outlineLevel="1"/>
    <col min="6" max="6" width="17.42578125" hidden="1" customWidth="1" outlineLevel="1"/>
    <col min="7" max="7" width="15" hidden="1" customWidth="1" outlineLevel="1"/>
    <col min="8" max="8" width="12.42578125" bestFit="1" customWidth="1" collapsed="1"/>
    <col min="9" max="9" width="22.7109375" hidden="1" customWidth="1" outlineLevel="1"/>
    <col min="10" max="10" width="22.7109375" bestFit="1" customWidth="1" collapsed="1"/>
    <col min="11" max="13" width="22.7109375" hidden="1" customWidth="1" outlineLevel="1"/>
    <col min="14" max="14" width="22.7109375" bestFit="1" customWidth="1" collapsed="1"/>
    <col min="15" max="16" width="22.7109375" hidden="1" customWidth="1" outlineLevel="1"/>
    <col min="17" max="17" width="22.7109375" bestFit="1" customWidth="1" collapsed="1"/>
    <col min="18" max="19" width="22.7109375" hidden="1" customWidth="1" outlineLevel="1"/>
    <col min="20" max="20" width="22.7109375" bestFit="1" customWidth="1" collapsed="1"/>
    <col min="21" max="22" width="22.7109375" hidden="1" customWidth="1" outlineLevel="1"/>
    <col min="23" max="23" width="22.7109375" bestFit="1" customWidth="1" collapsed="1"/>
    <col min="24" max="27" width="22.7109375" hidden="1" customWidth="1" outlineLevel="1"/>
    <col min="28" max="28" width="22.7109375" bestFit="1" customWidth="1" collapsed="1"/>
    <col min="29" max="29" width="22.7109375" hidden="1" customWidth="1" outlineLevel="1"/>
    <col min="30" max="30" width="22.7109375" bestFit="1" customWidth="1" collapsed="1"/>
    <col min="31" max="31" width="22.7109375" hidden="1" customWidth="1" outlineLevel="1"/>
    <col min="32" max="32" width="22.7109375" bestFit="1" customWidth="1" collapsed="1"/>
    <col min="33" max="33" width="22.7109375" hidden="1" customWidth="1" outlineLevel="1"/>
    <col min="34" max="34" width="22.7109375" bestFit="1" customWidth="1" collapsed="1"/>
    <col min="35" max="42" width="22.7109375" hidden="1" customWidth="1" outlineLevel="1"/>
    <col min="43" max="43" width="22.7109375" bestFit="1" customWidth="1" collapsed="1"/>
    <col min="44" max="44" width="22.7109375" hidden="1" customWidth="1" outlineLevel="1"/>
    <col min="45" max="45" width="8.85546875" collapsed="1"/>
  </cols>
  <sheetData>
    <row r="1" spans="1:44">
      <c r="A1" s="75" t="s">
        <v>496</v>
      </c>
      <c r="B1" s="80"/>
      <c r="C1" s="47" t="s">
        <v>509</v>
      </c>
      <c r="D1" s="38" t="str">
        <f>C1</f>
        <v>screen_word</v>
      </c>
      <c r="E1" s="38" t="str">
        <f t="shared" ref="E1:G1" si="0">D1</f>
        <v>screen_word</v>
      </c>
      <c r="F1" s="38" t="str">
        <f t="shared" si="0"/>
        <v>screen_word</v>
      </c>
      <c r="G1" s="38" t="str">
        <f t="shared" si="0"/>
        <v>screen_word</v>
      </c>
      <c r="H1" s="38" t="s">
        <v>497</v>
      </c>
      <c r="I1" s="38" t="str">
        <f>H1</f>
        <v>badge</v>
      </c>
      <c r="J1" s="38" t="s">
        <v>517</v>
      </c>
      <c r="K1" s="38" t="str">
        <f>J1</f>
        <v>language</v>
      </c>
      <c r="L1" s="38" t="str">
        <f t="shared" ref="L1:M1" si="1">K1</f>
        <v>language</v>
      </c>
      <c r="M1" s="38" t="str">
        <f t="shared" si="1"/>
        <v>language</v>
      </c>
      <c r="N1" s="38" t="s">
        <v>563</v>
      </c>
      <c r="O1" s="38" t="str">
        <f>N1</f>
        <v>activity_status</v>
      </c>
      <c r="P1" s="38" t="str">
        <f>O1</f>
        <v>activity_status</v>
      </c>
      <c r="Q1" s="38" t="s">
        <v>574</v>
      </c>
      <c r="R1" s="38" t="str">
        <f>Q1</f>
        <v>priority</v>
      </c>
      <c r="S1" s="38" t="str">
        <f>R1</f>
        <v>priority</v>
      </c>
      <c r="T1" s="38" t="s">
        <v>584</v>
      </c>
      <c r="U1" s="38" t="str">
        <f>T1</f>
        <v>response_status</v>
      </c>
      <c r="V1" s="38" t="str">
        <f>U1</f>
        <v>response_status</v>
      </c>
      <c r="W1" s="38" t="s">
        <v>595</v>
      </c>
      <c r="X1" s="38" t="str">
        <f>W1</f>
        <v>sns_support</v>
      </c>
      <c r="Y1" s="38" t="str">
        <f t="shared" ref="Y1:AA1" si="2">X1</f>
        <v>sns_support</v>
      </c>
      <c r="Z1" s="38" t="str">
        <f t="shared" si="2"/>
        <v>sns_support</v>
      </c>
      <c r="AA1" s="38" t="str">
        <f t="shared" si="2"/>
        <v>sns_support</v>
      </c>
      <c r="AB1" s="38" t="s">
        <v>620</v>
      </c>
      <c r="AC1" s="38" t="str">
        <f>AB1</f>
        <v>report_reason</v>
      </c>
      <c r="AD1" s="38" t="s">
        <v>636</v>
      </c>
      <c r="AE1" s="38" t="str">
        <f>AD1</f>
        <v>theme</v>
      </c>
      <c r="AF1" s="38" t="s">
        <v>645</v>
      </c>
      <c r="AG1" s="38" t="str">
        <f>AF1</f>
        <v>user_role</v>
      </c>
      <c r="AH1" s="38" t="s">
        <v>667</v>
      </c>
      <c r="AI1" s="38" t="str">
        <f>AH1</f>
        <v>images_system</v>
      </c>
      <c r="AJ1" s="38" t="str">
        <f t="shared" ref="AJ1" si="3">AI1</f>
        <v>images_system</v>
      </c>
      <c r="AK1" s="38" t="str">
        <f t="shared" ref="AK1:AP1" si="4">AJ1</f>
        <v>images_system</v>
      </c>
      <c r="AL1" s="38" t="str">
        <f t="shared" si="4"/>
        <v>images_system</v>
      </c>
      <c r="AM1" s="38" t="str">
        <f t="shared" si="4"/>
        <v>images_system</v>
      </c>
      <c r="AN1" s="38" t="str">
        <f t="shared" si="4"/>
        <v>images_system</v>
      </c>
      <c r="AO1" s="38" t="str">
        <f t="shared" si="4"/>
        <v>images_system</v>
      </c>
      <c r="AP1" s="38" t="str">
        <f t="shared" si="4"/>
        <v>images_system</v>
      </c>
      <c r="AQ1" s="38" t="s">
        <v>668</v>
      </c>
      <c r="AR1" s="32" t="str">
        <f t="shared" ref="AR1" si="5">AQ1</f>
        <v>screen_element</v>
      </c>
    </row>
    <row r="2" spans="1:44">
      <c r="A2" s="77" t="s">
        <v>500</v>
      </c>
      <c r="B2" s="81"/>
      <c r="C2" s="48">
        <f t="shared" ref="C2:S2" si="6">IF(B1=C1,B2+1,1)</f>
        <v>1</v>
      </c>
      <c r="D2" s="39">
        <f t="shared" si="6"/>
        <v>2</v>
      </c>
      <c r="E2" s="39">
        <f t="shared" si="6"/>
        <v>3</v>
      </c>
      <c r="F2" s="39">
        <f t="shared" si="6"/>
        <v>4</v>
      </c>
      <c r="G2" s="39">
        <f t="shared" si="6"/>
        <v>5</v>
      </c>
      <c r="H2" s="39">
        <f t="shared" si="6"/>
        <v>1</v>
      </c>
      <c r="I2" s="39">
        <f t="shared" si="6"/>
        <v>2</v>
      </c>
      <c r="J2" s="39">
        <f t="shared" si="6"/>
        <v>1</v>
      </c>
      <c r="K2" s="39">
        <f t="shared" si="6"/>
        <v>2</v>
      </c>
      <c r="L2" s="39">
        <f t="shared" si="6"/>
        <v>3</v>
      </c>
      <c r="M2" s="39">
        <f t="shared" si="6"/>
        <v>4</v>
      </c>
      <c r="N2" s="39">
        <f t="shared" si="6"/>
        <v>1</v>
      </c>
      <c r="O2" s="39">
        <f t="shared" ref="O2" si="7">IF(N1=O1,N2+1,1)</f>
        <v>2</v>
      </c>
      <c r="P2" s="39">
        <f t="shared" ref="P2" si="8">IF(O1=P1,O2+1,1)</f>
        <v>3</v>
      </c>
      <c r="Q2" s="39">
        <f t="shared" si="6"/>
        <v>1</v>
      </c>
      <c r="R2" s="39">
        <f t="shared" si="6"/>
        <v>2</v>
      </c>
      <c r="S2" s="39">
        <f t="shared" si="6"/>
        <v>3</v>
      </c>
      <c r="T2" s="39">
        <f t="shared" ref="T2" si="9">IF(S1=T1,S2+1,1)</f>
        <v>1</v>
      </c>
      <c r="U2" s="39">
        <f t="shared" ref="U2" si="10">IF(T1=U1,T2+1,1)</f>
        <v>2</v>
      </c>
      <c r="V2" s="39">
        <f t="shared" ref="V2" si="11">IF(U1=V1,U2+1,1)</f>
        <v>3</v>
      </c>
      <c r="W2" s="39">
        <f t="shared" ref="W2" si="12">IF(V1=W1,V2+1,1)</f>
        <v>1</v>
      </c>
      <c r="X2" s="39">
        <f t="shared" ref="X2" si="13">IF(W1=X1,W2+1,1)</f>
        <v>2</v>
      </c>
      <c r="Y2" s="39">
        <f t="shared" ref="Y2" si="14">IF(X1=Y1,X2+1,1)</f>
        <v>3</v>
      </c>
      <c r="Z2" s="39">
        <f t="shared" ref="Z2" si="15">IF(Y1=Z1,Y2+1,1)</f>
        <v>4</v>
      </c>
      <c r="AA2" s="39">
        <f t="shared" ref="AA2" si="16">IF(Z1=AA1,Z2+1,1)</f>
        <v>5</v>
      </c>
      <c r="AB2" s="39">
        <f t="shared" ref="AB2" si="17">IF(AA1=AB1,AA2+1,1)</f>
        <v>1</v>
      </c>
      <c r="AC2" s="39">
        <f t="shared" ref="AC2" si="18">IF(AB1=AC1,AB2+1,1)</f>
        <v>2</v>
      </c>
      <c r="AD2" s="39">
        <f t="shared" ref="AD2" si="19">IF(AC1=AD1,AC2+1,1)</f>
        <v>1</v>
      </c>
      <c r="AE2" s="39">
        <f t="shared" ref="AE2" si="20">IF(AD1=AE1,AD2+1,1)</f>
        <v>2</v>
      </c>
      <c r="AF2" s="39">
        <f t="shared" ref="AF2" si="21">IF(AE1=AF1,AE2+1,1)</f>
        <v>1</v>
      </c>
      <c r="AG2" s="39">
        <f t="shared" ref="AG2:AH2" si="22">IF(AF1=AG1,AF2+1,1)</f>
        <v>2</v>
      </c>
      <c r="AH2" s="39">
        <f t="shared" si="22"/>
        <v>1</v>
      </c>
      <c r="AI2" s="39">
        <f t="shared" ref="AI2" si="23">IF(AH1=AI1,AH2+1,1)</f>
        <v>2</v>
      </c>
      <c r="AJ2" s="39">
        <f t="shared" ref="AJ2" si="24">IF(AI1=AJ1,AI2+1,1)</f>
        <v>3</v>
      </c>
      <c r="AK2" s="39">
        <f t="shared" ref="AK2" si="25">IF(AJ1=AK1,AJ2+1,1)</f>
        <v>4</v>
      </c>
      <c r="AL2" s="39">
        <f t="shared" ref="AL2" si="26">IF(AK1=AL1,AK2+1,1)</f>
        <v>5</v>
      </c>
      <c r="AM2" s="39">
        <f t="shared" ref="AM2" si="27">IF(AL1=AM1,AL2+1,1)</f>
        <v>6</v>
      </c>
      <c r="AN2" s="39">
        <f t="shared" ref="AN2" si="28">IF(AM1=AN1,AM2+1,1)</f>
        <v>7</v>
      </c>
      <c r="AO2" s="39">
        <f t="shared" ref="AO2" si="29">IF(AN1=AO1,AN2+1,1)</f>
        <v>8</v>
      </c>
      <c r="AP2" s="39">
        <f t="shared" ref="AP2:AR2" si="30">IF(AO1=AP1,AO2+1,1)</f>
        <v>9</v>
      </c>
      <c r="AQ2" s="39">
        <f t="shared" si="30"/>
        <v>1</v>
      </c>
      <c r="AR2" s="33">
        <f t="shared" si="30"/>
        <v>2</v>
      </c>
    </row>
    <row r="3" spans="1:44" outlineLevel="1">
      <c r="A3" s="79" t="s">
        <v>503</v>
      </c>
      <c r="B3" s="29" t="s">
        <v>501</v>
      </c>
      <c r="C3" s="49" t="str" cm="1">
        <f t="array" aca="1" ref="C3" ca="1">INDEX(_xlfn._xlws.FILTER(テーブル定義_一覧!$D$1:$U$501, テーブル定義_一覧!$D$1:$D$501=C$1), C$2, _xlfn.XMATCH($B3, テーブル定義_一覧!$D$1:$Z$1))&amp;""</f>
        <v>screen_word_sequence_id</v>
      </c>
      <c r="D3" s="40" t="str" cm="1">
        <f t="array" aca="1" ref="D3" ca="1">INDEX(_xlfn._xlws.FILTER(テーブル定義_一覧!$D$1:$U$501, テーブル定義_一覧!$D$1:$D$501=D$1), D$2, _xlfn.XMATCH($B3, テーブル定義_一覧!$D$1:$Z$1))&amp;""</f>
        <v>language_physical_name</v>
      </c>
      <c r="E3" s="40" t="str" cm="1">
        <f t="array" aca="1" ref="E3" ca="1">INDEX(_xlfn._xlws.FILTER(テーブル定義_一覧!$D$1:$U$501, テーブル定義_一覧!$D$1:$D$501=E$1), E$2, _xlfn.XMATCH($B3, テーブル定義_一覧!$D$1:$Z$1))&amp;""</f>
        <v>message_id</v>
      </c>
      <c r="F3" s="40" t="str" cm="1">
        <f t="array" aca="1" ref="F3" ca="1">INDEX(_xlfn._xlws.FILTER(テーブル定義_一覧!$D$1:$U$501, テーブル定義_一覧!$D$1:$D$501=F$1), F$2, _xlfn.XMATCH($B3, テーブル定義_一覧!$D$1:$Z$1))&amp;""</f>
        <v>display_message</v>
      </c>
      <c r="G3" s="40" t="str" cm="1">
        <f t="array" aca="1" ref="G3" ca="1">INDEX(_xlfn._xlws.FILTER(テーブル定義_一覧!$D$1:$U$501, テーブル定義_一覧!$D$1:$D$501=G$1), G$2, _xlfn.XMATCH($B3, テーブル定義_一覧!$D$1:$Z$1))&amp;""</f>
        <v>message_id_table</v>
      </c>
      <c r="H3" s="40" t="str" cm="1">
        <f t="array" aca="1" ref="H3" ca="1">INDEX(_xlfn._xlws.FILTER(テーブル定義_一覧!$D$1:$U$501, テーブル定義_一覧!$D$1:$D$501=H$1), H$2, _xlfn.XMATCH($B3, テーブル定義_一覧!$D$1:$Z$1))&amp;""</f>
        <v>badge_sequence_id</v>
      </c>
      <c r="I3" s="40" t="str" cm="1">
        <f t="array" aca="1" ref="I3" ca="1">INDEX(_xlfn._xlws.FILTER(テーブル定義_一覧!$D$1:$U$501, テーブル定義_一覧!$D$1:$D$501=I$1), I$2, _xlfn.XMATCH($B3, テーブル定義_一覧!$D$1:$Z$1))&amp;""</f>
        <v>badge_physical_name</v>
      </c>
      <c r="J3" s="40" t="str" cm="1">
        <f t="array" aca="1" ref="J3" ca="1">INDEX(_xlfn._xlws.FILTER(テーブル定義_一覧!$D$1:$U$501, テーブル定義_一覧!$D$1:$D$501=J$1), J$2, _xlfn.XMATCH($B3, テーブル定義_一覧!$D$1:$Z$1))&amp;""</f>
        <v>language_sequence_id</v>
      </c>
      <c r="K3" s="40" t="str" cm="1">
        <f t="array" aca="1" ref="K3" ca="1">INDEX(_xlfn._xlws.FILTER(テーブル定義_一覧!$D$1:$U$501, テーブル定義_一覧!$D$1:$D$501=K$1), K$2, _xlfn.XMATCH($B3, テーブル定義_一覧!$D$1:$Z$1))&amp;""</f>
        <v>language_physical_name</v>
      </c>
      <c r="L3" s="40" t="str" cm="1">
        <f t="array" aca="1" ref="L3" ca="1">INDEX(_xlfn._xlws.FILTER(テーブル定義_一覧!$D$1:$U$501, テーブル定義_一覧!$D$1:$D$501=L$1), L$2, _xlfn.XMATCH($B3, テーブル定義_一覧!$D$1:$Z$1))&amp;""</f>
        <v>language_image</v>
      </c>
      <c r="M3" s="40" t="str" cm="1">
        <f t="array" aca="1" ref="M3" ca="1">INDEX(_xlfn._xlws.FILTER(テーブル定義_一覧!$D$1:$U$501, テーブル定義_一覧!$D$1:$D$501=M$1), M$2, _xlfn.XMATCH($B3, テーブル定義_一覧!$D$1:$Z$1))&amp;""</f>
        <v>enable</v>
      </c>
      <c r="N3" s="40" t="str" cm="1">
        <f t="array" aca="1" ref="N3" ca="1">INDEX(_xlfn._xlws.FILTER(テーブル定義_一覧!$D$1:$U$501, テーブル定義_一覧!$D$1:$D$501=N$1), N$2, _xlfn.XMATCH($B3, テーブル定義_一覧!$D$1:$Z$1))&amp;""</f>
        <v>activity_status_sequence_id</v>
      </c>
      <c r="O3" s="40" t="str" cm="1">
        <f t="array" aca="1" ref="O3" ca="1">INDEX(_xlfn._xlws.FILTER(テーブル定義_一覧!$D$1:$U$501, テーブル定義_一覧!$D$1:$D$501=O$1), O$2, _xlfn.XMATCH($B3, テーブル定義_一覧!$D$1:$Z$1))&amp;""</f>
        <v>activity_status_physical_name</v>
      </c>
      <c r="P3" s="40" t="str" cm="1">
        <f t="array" aca="1" ref="P3" ca="1">INDEX(_xlfn._xlws.FILTER(テーブル定義_一覧!$D$1:$U$501, テーブル定義_一覧!$D$1:$D$501=P$1), P$2, _xlfn.XMATCH($B3, テーブル定義_一覧!$D$1:$Z$1))&amp;""</f>
        <v>target</v>
      </c>
      <c r="Q3" s="40" t="str" cm="1">
        <f t="array" aca="1" ref="Q3" ca="1">INDEX(_xlfn._xlws.FILTER(テーブル定義_一覧!$D$1:$U$501, テーブル定義_一覧!$D$1:$D$501=Q$1), Q$2, _xlfn.XMATCH($B3, テーブル定義_一覧!$D$1:$Z$1))&amp;""</f>
        <v>priority_sequence_id</v>
      </c>
      <c r="R3" s="40" t="str" cm="1">
        <f t="array" aca="1" ref="R3" ca="1">INDEX(_xlfn._xlws.FILTER(テーブル定義_一覧!$D$1:$U$501, テーブル定義_一覧!$D$1:$D$501=R$1), R$2, _xlfn.XMATCH($B3, テーブル定義_一覧!$D$1:$Z$1))&amp;""</f>
        <v>priority_physical_name</v>
      </c>
      <c r="S3" s="40" t="str" cm="1">
        <f t="array" aca="1" ref="S3" ca="1">INDEX(_xlfn._xlws.FILTER(テーブル定義_一覧!$D$1:$U$501, テーブル定義_一覧!$D$1:$D$501=S$1), S$2, _xlfn.XMATCH($B3, テーブル定義_一覧!$D$1:$Z$1))&amp;""</f>
        <v>priority_logical_name</v>
      </c>
      <c r="T3" s="40" t="str" cm="1">
        <f t="array" aca="1" ref="T3" ca="1">INDEX(_xlfn._xlws.FILTER(テーブル定義_一覧!$D$1:$U$501, テーブル定義_一覧!$D$1:$D$501=T$1), T$2, _xlfn.XMATCH($B3, テーブル定義_一覧!$D$1:$Z$1))&amp;""</f>
        <v>response_status_sequence_id</v>
      </c>
      <c r="U3" s="40" t="str" cm="1">
        <f t="array" aca="1" ref="U3" ca="1">INDEX(_xlfn._xlws.FILTER(テーブル定義_一覧!$D$1:$U$501, テーブル定義_一覧!$D$1:$D$501=U$1), U$2, _xlfn.XMATCH($B3, テーブル定義_一覧!$D$1:$Z$1))&amp;""</f>
        <v>response_status_physical_name</v>
      </c>
      <c r="V3" s="40" t="str" cm="1">
        <f t="array" aca="1" ref="V3" ca="1">INDEX(_xlfn._xlws.FILTER(テーブル定義_一覧!$D$1:$U$501, テーブル定義_一覧!$D$1:$D$501=V$1), V$2, _xlfn.XMATCH($B3, テーブル定義_一覧!$D$1:$Z$1))&amp;""</f>
        <v>response_status_logical_name</v>
      </c>
      <c r="W3" s="40" t="str" cm="1">
        <f t="array" aca="1" ref="W3" ca="1">INDEX(_xlfn._xlws.FILTER(テーブル定義_一覧!$D$1:$U$501, テーブル定義_一覧!$D$1:$D$501=W$1), W$2, _xlfn.XMATCH($B3, テーブル定義_一覧!$D$1:$Z$1))&amp;""</f>
        <v>sns_support_sequence_id</v>
      </c>
      <c r="X3" s="40" t="str" cm="1">
        <f t="array" aca="1" ref="X3" ca="1">INDEX(_xlfn._xlws.FILTER(テーブル定義_一覧!$D$1:$U$501, テーブル定義_一覧!$D$1:$D$501=X$1), X$2, _xlfn.XMATCH($B3, テーブル定義_一覧!$D$1:$Z$1))&amp;""</f>
        <v>sns_name_physical_name</v>
      </c>
      <c r="Y3" s="40" t="str" cm="1">
        <f t="array" aca="1" ref="Y3" ca="1">INDEX(_xlfn._xlws.FILTER(テーブル定義_一覧!$D$1:$U$501, テーブル定義_一覧!$D$1:$D$501=Y$1), Y$2, _xlfn.XMATCH($B3, テーブル定義_一覧!$D$1:$Z$1))&amp;""</f>
        <v>image_id</v>
      </c>
      <c r="Z3" s="40" t="str" cm="1">
        <f t="array" aca="1" ref="Z3" ca="1">INDEX(_xlfn._xlws.FILTER(テーブル定義_一覧!$D$1:$U$501, テーブル定義_一覧!$D$1:$D$501=Z$1), Z$2, _xlfn.XMATCH($B3, テーブル定義_一覧!$D$1:$Z$1))&amp;""</f>
        <v>use_login_service</v>
      </c>
      <c r="AA3" s="40" t="str" cm="1">
        <f t="array" aca="1" ref="AA3" ca="1">INDEX(_xlfn._xlws.FILTER(テーブル定義_一覧!$D$1:$U$501, テーブル定義_一覧!$D$1:$D$501=AA$1), AA$2, _xlfn.XMATCH($B3, テーブル定義_一覧!$D$1:$Z$1))&amp;""</f>
        <v>use_sns_link</v>
      </c>
      <c r="AB3" s="40" t="str" cm="1">
        <f t="array" aca="1" ref="AB3" ca="1">INDEX(_xlfn._xlws.FILTER(テーブル定義_一覧!$D$1:$U$501, テーブル定義_一覧!$D$1:$D$501=AB$1), AB$2, _xlfn.XMATCH($B3, テーブル定義_一覧!$D$1:$Z$1))&amp;""</f>
        <v>report_reason_sequence_id</v>
      </c>
      <c r="AC3" s="40" t="str" cm="1">
        <f t="array" aca="1" ref="AC3" ca="1">INDEX(_xlfn._xlws.FILTER(テーブル定義_一覧!$D$1:$U$501, テーブル定義_一覧!$D$1:$D$501=AC$1), AC$2, _xlfn.XMATCH($B3, テーブル定義_一覧!$D$1:$Z$1))&amp;""</f>
        <v>report_reason_physical_name</v>
      </c>
      <c r="AD3" s="40" t="str" cm="1">
        <f t="array" aca="1" ref="AD3" ca="1">INDEX(_xlfn._xlws.FILTER(テーブル定義_一覧!$D$1:$U$501, テーブル定義_一覧!$D$1:$D$501=AD$1), AD$2, _xlfn.XMATCH($B3, テーブル定義_一覧!$D$1:$Z$1))&amp;""</f>
        <v>theme_sequence_id</v>
      </c>
      <c r="AE3" s="40" t="str" cm="1">
        <f t="array" aca="1" ref="AE3" ca="1">INDEX(_xlfn._xlws.FILTER(テーブル定義_一覧!$D$1:$U$501, テーブル定義_一覧!$D$1:$D$501=AE$1), AE$2, _xlfn.XMATCH($B3, テーブル定義_一覧!$D$1:$Z$1))&amp;""</f>
        <v>theme_physical_name</v>
      </c>
      <c r="AF3" s="40" t="str" cm="1">
        <f t="array" aca="1" ref="AF3" ca="1">INDEX(_xlfn._xlws.FILTER(テーブル定義_一覧!$D$1:$U$501, テーブル定義_一覧!$D$1:$D$501=AF$1), AF$2, _xlfn.XMATCH($B3, テーブル定義_一覧!$D$1:$Z$1))&amp;""</f>
        <v>user_role_sequence_id</v>
      </c>
      <c r="AG3" s="40" t="str" cm="1">
        <f t="array" aca="1" ref="AG3" ca="1">INDEX(_xlfn._xlws.FILTER(テーブル定義_一覧!$D$1:$U$501, テーブル定義_一覧!$D$1:$D$501=AG$1), AG$2, _xlfn.XMATCH($B3, テーブル定義_一覧!$D$1:$Z$1))&amp;""</f>
        <v>user_role_physical_name</v>
      </c>
      <c r="AH3" s="40" t="str" cm="1">
        <f t="array" aca="1" ref="AH3" ca="1">INDEX(_xlfn._xlws.FILTER(テーブル定義_一覧!$D$1:$U$501, テーブル定義_一覧!$D$1:$D$501=AH$1), AH$2, _xlfn.XMATCH($B3, テーブル定義_一覧!$D$1:$Z$1))&amp;""</f>
        <v>images_system_sequence_id</v>
      </c>
      <c r="AI3" s="40" t="str" cm="1">
        <f t="array" aca="1" ref="AI3" ca="1">INDEX(_xlfn._xlws.FILTER(テーブル定義_一覧!$D$1:$U$501, テーブル定義_一覧!$D$1:$D$501=AI$1), AI$2, _xlfn.XMATCH($B3, テーブル定義_一覧!$D$1:$Z$1))&amp;""</f>
        <v>gcs_bucket</v>
      </c>
      <c r="AJ3" s="40" t="str" cm="1">
        <f t="array" aca="1" ref="AJ3" ca="1">INDEX(_xlfn._xlws.FILTER(テーブル定義_一覧!$D$1:$U$501, テーブル定義_一覧!$D$1:$D$501=AJ$1), AJ$2, _xlfn.XMATCH($B3, テーブル定義_一覧!$D$1:$Z$1))&amp;""</f>
        <v>gcs_object_name</v>
      </c>
      <c r="AK3" s="40" t="str" cm="1">
        <f t="array" aca="1" ref="AK3" ca="1">INDEX(_xlfn._xlws.FILTER(テーブル定義_一覧!$D$1:$U$501, テーブル定義_一覧!$D$1:$D$501=AK$1), AK$2, _xlfn.XMATCH($B3, テーブル定義_一覧!$D$1:$Z$1))&amp;""</f>
        <v>cdn_url</v>
      </c>
      <c r="AL3" s="40" t="str" cm="1">
        <f t="array" aca="1" ref="AL3" ca="1">INDEX(_xlfn._xlws.FILTER(テーブル定義_一覧!$D$1:$U$501, テーブル定義_一覧!$D$1:$D$501=AL$1), AL$2, _xlfn.XMATCH($B3, テーブル定義_一覧!$D$1:$Z$1))&amp;""</f>
        <v>content_type</v>
      </c>
      <c r="AM3" s="40" t="str" cm="1">
        <f t="array" aca="1" ref="AM3" ca="1">INDEX(_xlfn._xlws.FILTER(テーブル定義_一覧!$D$1:$U$501, テーブル定義_一覧!$D$1:$D$501=AM$1), AM$2, _xlfn.XMATCH($B3, テーブル定義_一覧!$D$1:$Z$1))&amp;""</f>
        <v>width</v>
      </c>
      <c r="AN3" s="40" t="str" cm="1">
        <f t="array" aca="1" ref="AN3" ca="1">INDEX(_xlfn._xlws.FILTER(テーブル定義_一覧!$D$1:$U$501, テーブル定義_一覧!$D$1:$D$501=AN$1), AN$2, _xlfn.XMATCH($B3, テーブル定義_一覧!$D$1:$Z$1))&amp;""</f>
        <v>height</v>
      </c>
      <c r="AO3" s="40" t="str" cm="1">
        <f t="array" aca="1" ref="AO3" ca="1">INDEX(_xlfn._xlws.FILTER(テーブル定義_一覧!$D$1:$U$501, テーブル定義_一覧!$D$1:$D$501=AO$1), AO$2, _xlfn.XMATCH($B3, テーブル定義_一覧!$D$1:$Z$1))&amp;""</f>
        <v>file_size</v>
      </c>
      <c r="AP3" s="40" t="str" cm="1">
        <f t="array" aca="1" ref="AP3" ca="1">INDEX(_xlfn._xlws.FILTER(テーブル定義_一覧!$D$1:$U$501, テーブル定義_一覧!$D$1:$D$501=AP$1), AP$2, _xlfn.XMATCH($B3, テーブル定義_一覧!$D$1:$Z$1))&amp;""</f>
        <v>alt_text</v>
      </c>
      <c r="AQ3" s="40" t="str" cm="1">
        <f t="array" aca="1" ref="AQ3" ca="1">INDEX(_xlfn._xlws.FILTER(テーブル定義_一覧!$D$1:$U$501, テーブル定義_一覧!$D$1:$D$501=AQ$1), AQ$2, _xlfn.XMATCH($B3, テーブル定義_一覧!$D$1:$Z$1))&amp;""</f>
        <v>screen_element_sequence_id</v>
      </c>
      <c r="AR3" s="34" t="str" cm="1">
        <f t="array" aca="1" ref="AR3" ca="1">INDEX(_xlfn._xlws.FILTER(テーブル定義_一覧!$D$1:$U$501, テーブル定義_一覧!$D$1:$D$501=AR$1), AR$2, _xlfn.XMATCH($B3, テーブル定義_一覧!$D$1:$Z$1))&amp;""</f>
        <v>message_id</v>
      </c>
    </row>
    <row r="4" spans="1:44" outlineLevel="1">
      <c r="A4" s="79"/>
      <c r="B4" s="29" t="s">
        <v>502</v>
      </c>
      <c r="C4" s="49" t="str" cm="1">
        <f t="array" aca="1" ref="C4" ca="1">INDEX(_xlfn._xlws.FILTER(テーブル定義_一覧!$D$1:$U$501, テーブル定義_一覧!$D$1:$D$501=C$1), C$2, _xlfn.XMATCH($B4, テーブル定義_一覧!$D$1:$Z$1))&amp;""</f>
        <v>画面文言ID</v>
      </c>
      <c r="D4" s="40" t="str" cm="1">
        <f t="array" aca="1" ref="D4" ca="1">INDEX(_xlfn._xlws.FILTER(テーブル定義_一覧!$D$1:$U$501, テーブル定義_一覧!$D$1:$D$501=D$1), D$2, _xlfn.XMATCH($B4, テーブル定義_一覧!$D$1:$Z$1))&amp;""</f>
        <v>表示言語(物理名)</v>
      </c>
      <c r="E4" s="40" t="str" cm="1">
        <f t="array" aca="1" ref="E4" ca="1">INDEX(_xlfn._xlws.FILTER(テーブル定義_一覧!$D$1:$U$501, テーブル定義_一覧!$D$1:$D$501=E$1), E$2, _xlfn.XMATCH($B4, テーブル定義_一覧!$D$1:$Z$1))&amp;""</f>
        <v>メッセージID</v>
      </c>
      <c r="F4" s="40" t="str" cm="1">
        <f t="array" aca="1" ref="F4" ca="1">INDEX(_xlfn._xlws.FILTER(テーブル定義_一覧!$D$1:$U$501, テーブル定義_一覧!$D$1:$D$501=F$1), F$2, _xlfn.XMATCH($B4, テーブル定義_一覧!$D$1:$Z$1))&amp;""</f>
        <v>文言</v>
      </c>
      <c r="G4" s="40" t="str" cm="1">
        <f t="array" aca="1" ref="G4" ca="1">INDEX(_xlfn._xlws.FILTER(テーブル定義_一覧!$D$1:$U$501, テーブル定義_一覧!$D$1:$D$501=G$1), G$2, _xlfn.XMATCH($B4, テーブル定義_一覧!$D$1:$Z$1))&amp;""</f>
        <v>メッセージID参照元テーブル</v>
      </c>
      <c r="H4" s="40" t="str" cm="1">
        <f t="array" aca="1" ref="H4" ca="1">INDEX(_xlfn._xlws.FILTER(テーブル定義_一覧!$D$1:$U$501, テーブル定義_一覧!$D$1:$D$501=H$1), H$2, _xlfn.XMATCH($B4, テーブル定義_一覧!$D$1:$Z$1))&amp;""</f>
        <v>バッジID</v>
      </c>
      <c r="I4" s="40" t="str" cm="1">
        <f t="array" aca="1" ref="I4" ca="1">INDEX(_xlfn._xlws.FILTER(テーブル定義_一覧!$D$1:$U$501, テーブル定義_一覧!$D$1:$D$501=I$1), I$2, _xlfn.XMATCH($B4, テーブル定義_一覧!$D$1:$Z$1))&amp;""</f>
        <v>バッジ名(物理名)</v>
      </c>
      <c r="J4" s="40" t="str" cm="1">
        <f t="array" aca="1" ref="J4" ca="1">INDEX(_xlfn._xlws.FILTER(テーブル定義_一覧!$D$1:$U$501, テーブル定義_一覧!$D$1:$D$501=J$1), J$2, _xlfn.XMATCH($B4, テーブル定義_一覧!$D$1:$Z$1))&amp;""</f>
        <v>表示言語ID</v>
      </c>
      <c r="K4" s="40" t="str" cm="1">
        <f t="array" aca="1" ref="K4" ca="1">INDEX(_xlfn._xlws.FILTER(テーブル定義_一覧!$D$1:$U$501, テーブル定義_一覧!$D$1:$D$501=K$1), K$2, _xlfn.XMATCH($B4, テーブル定義_一覧!$D$1:$Z$1))&amp;""</f>
        <v>表示言語(物理名)</v>
      </c>
      <c r="L4" s="40" t="str" cm="1">
        <f t="array" aca="1" ref="L4" ca="1">INDEX(_xlfn._xlws.FILTER(テーブル定義_一覧!$D$1:$U$501, テーブル定義_一覧!$D$1:$D$501=L$1), L$2, _xlfn.XMATCH($B4, テーブル定義_一覧!$D$1:$Z$1))&amp;""</f>
        <v>言語画像</v>
      </c>
      <c r="M4" s="40" t="str" cm="1">
        <f t="array" aca="1" ref="M4" ca="1">INDEX(_xlfn._xlws.FILTER(テーブル定義_一覧!$D$1:$U$501, テーブル定義_一覧!$D$1:$D$501=M$1), M$2, _xlfn.XMATCH($B4, テーブル定義_一覧!$D$1:$Z$1))&amp;""</f>
        <v>有効フラグ</v>
      </c>
      <c r="N4" s="40" t="str" cm="1">
        <f t="array" aca="1" ref="N4" ca="1">INDEX(_xlfn._xlws.FILTER(テーブル定義_一覧!$D$1:$U$501, テーブル定義_一覧!$D$1:$D$501=N$1), N$2, _xlfn.XMATCH($B4, テーブル定義_一覧!$D$1:$Z$1))&amp;""</f>
        <v>活動状態ID</v>
      </c>
      <c r="O4" s="40" t="str" cm="1">
        <f t="array" aca="1" ref="O4" ca="1">INDEX(_xlfn._xlws.FILTER(テーブル定義_一覧!$D$1:$U$501, テーブル定義_一覧!$D$1:$D$501=O$1), O$2, _xlfn.XMATCH($B4, テーブル定義_一覧!$D$1:$Z$1))&amp;""</f>
        <v>活動状態名(物理名)</v>
      </c>
      <c r="P4" s="40" t="str" cm="1">
        <f t="array" aca="1" ref="P4" ca="1">INDEX(_xlfn._xlws.FILTER(テーブル定義_一覧!$D$1:$U$501, テーブル定義_一覧!$D$1:$D$501=P$1), P$2, _xlfn.XMATCH($B4, テーブル定義_一覧!$D$1:$Z$1))&amp;""</f>
        <v>対象</v>
      </c>
      <c r="Q4" s="40" t="str" cm="1">
        <f t="array" aca="1" ref="Q4" ca="1">INDEX(_xlfn._xlws.FILTER(テーブル定義_一覧!$D$1:$U$501, テーブル定義_一覧!$D$1:$D$501=Q$1), Q$2, _xlfn.XMATCH($B4, テーブル定義_一覧!$D$1:$Z$1))&amp;""</f>
        <v>優先度ID</v>
      </c>
      <c r="R4" s="40" t="str" cm="1">
        <f t="array" aca="1" ref="R4" ca="1">INDEX(_xlfn._xlws.FILTER(テーブル定義_一覧!$D$1:$U$501, テーブル定義_一覧!$D$1:$D$501=R$1), R$2, _xlfn.XMATCH($B4, テーブル定義_一覧!$D$1:$Z$1))&amp;""</f>
        <v>優先度(物理名)</v>
      </c>
      <c r="S4" s="40" t="str" cm="1">
        <f t="array" aca="1" ref="S4" ca="1">INDEX(_xlfn._xlws.FILTER(テーブル定義_一覧!$D$1:$U$501, テーブル定義_一覧!$D$1:$D$501=S$1), S$2, _xlfn.XMATCH($B4, テーブル定義_一覧!$D$1:$Z$1))&amp;""</f>
        <v>優先度(論理名)</v>
      </c>
      <c r="T4" s="40" t="str" cm="1">
        <f t="array" aca="1" ref="T4" ca="1">INDEX(_xlfn._xlws.FILTER(テーブル定義_一覧!$D$1:$U$501, テーブル定義_一覧!$D$1:$D$501=T$1), T$2, _xlfn.XMATCH($B4, テーブル定義_一覧!$D$1:$Z$1))&amp;""</f>
        <v>対応状況ID</v>
      </c>
      <c r="U4" s="40" t="str" cm="1">
        <f t="array" aca="1" ref="U4" ca="1">INDEX(_xlfn._xlws.FILTER(テーブル定義_一覧!$D$1:$U$501, テーブル定義_一覧!$D$1:$D$501=U$1), U$2, _xlfn.XMATCH($B4, テーブル定義_一覧!$D$1:$Z$1))&amp;""</f>
        <v>対応状況(物理名)</v>
      </c>
      <c r="V4" s="40" t="str" cm="1">
        <f t="array" aca="1" ref="V4" ca="1">INDEX(_xlfn._xlws.FILTER(テーブル定義_一覧!$D$1:$U$501, テーブル定義_一覧!$D$1:$D$501=V$1), V$2, _xlfn.XMATCH($B4, テーブル定義_一覧!$D$1:$Z$1))&amp;""</f>
        <v>対応状況(論理名)</v>
      </c>
      <c r="W4" s="40" t="str" cm="1">
        <f t="array" aca="1" ref="W4" ca="1">INDEX(_xlfn._xlws.FILTER(テーブル定義_一覧!$D$1:$U$501, テーブル定義_一覧!$D$1:$D$501=W$1), W$2, _xlfn.XMATCH($B4, テーブル定義_一覧!$D$1:$Z$1))&amp;""</f>
        <v>サポートするSNSID</v>
      </c>
      <c r="X4" s="40" t="str" cm="1">
        <f t="array" aca="1" ref="X4" ca="1">INDEX(_xlfn._xlws.FILTER(テーブル定義_一覧!$D$1:$U$501, テーブル定義_一覧!$D$1:$D$501=X$1), X$2, _xlfn.XMATCH($B4, テーブル定義_一覧!$D$1:$Z$1))&amp;""</f>
        <v>サービス名(物理名)</v>
      </c>
      <c r="Y4" s="40" t="str" cm="1">
        <f t="array" aca="1" ref="Y4" ca="1">INDEX(_xlfn._xlws.FILTER(テーブル定義_一覧!$D$1:$U$501, テーブル定義_一覧!$D$1:$D$501=Y$1), Y$2, _xlfn.XMATCH($B4, テーブル定義_一覧!$D$1:$Z$1))&amp;""</f>
        <v>画像ID</v>
      </c>
      <c r="Z4" s="40" t="str" cm="1">
        <f t="array" aca="1" ref="Z4" ca="1">INDEX(_xlfn._xlws.FILTER(テーブル定義_一覧!$D$1:$U$501, テーブル定義_一覧!$D$1:$D$501=Z$1), Z$2, _xlfn.XMATCH($B4, テーブル定義_一覧!$D$1:$Z$1))&amp;""</f>
        <v>ログインサービス有効フラグ</v>
      </c>
      <c r="AA4" s="40" t="str" cm="1">
        <f t="array" aca="1" ref="AA4" ca="1">INDEX(_xlfn._xlws.FILTER(テーブル定義_一覧!$D$1:$U$501, テーブル定義_一覧!$D$1:$D$501=AA$1), AA$2, _xlfn.XMATCH($B4, テーブル定義_一覧!$D$1:$Z$1))&amp;""</f>
        <v>SNSリンク有効フラグ</v>
      </c>
      <c r="AB4" s="40" t="str" cm="1">
        <f t="array" aca="1" ref="AB4" ca="1">INDEX(_xlfn._xlws.FILTER(テーブル定義_一覧!$D$1:$U$501, テーブル定義_一覧!$D$1:$D$501=AB$1), AB$2, _xlfn.XMATCH($B4, テーブル定義_一覧!$D$1:$Z$1))&amp;""</f>
        <v>通報理由ID</v>
      </c>
      <c r="AC4" s="40" t="str" cm="1">
        <f t="array" aca="1" ref="AC4" ca="1">INDEX(_xlfn._xlws.FILTER(テーブル定義_一覧!$D$1:$U$501, テーブル定義_一覧!$D$1:$D$501=AC$1), AC$2, _xlfn.XMATCH($B4, テーブル定義_一覧!$D$1:$Z$1))&amp;""</f>
        <v>通報理由(物理名)</v>
      </c>
      <c r="AD4" s="40" t="str" cm="1">
        <f t="array" aca="1" ref="AD4" ca="1">INDEX(_xlfn._xlws.FILTER(テーブル定義_一覧!$D$1:$U$501, テーブル定義_一覧!$D$1:$D$501=AD$1), AD$2, _xlfn.XMATCH($B4, テーブル定義_一覧!$D$1:$Z$1))&amp;""</f>
        <v>画面テーマID</v>
      </c>
      <c r="AE4" s="40" t="str" cm="1">
        <f t="array" aca="1" ref="AE4" ca="1">INDEX(_xlfn._xlws.FILTER(テーブル定義_一覧!$D$1:$U$501, テーブル定義_一覧!$D$1:$D$501=AE$1), AE$2, _xlfn.XMATCH($B4, テーブル定義_一覧!$D$1:$Z$1))&amp;""</f>
        <v>画面テーマ(物理名)</v>
      </c>
      <c r="AF4" s="40" t="str" cm="1">
        <f t="array" aca="1" ref="AF4" ca="1">INDEX(_xlfn._xlws.FILTER(テーブル定義_一覧!$D$1:$U$501, テーブル定義_一覧!$D$1:$D$501=AF$1), AF$2, _xlfn.XMATCH($B4, テーブル定義_一覧!$D$1:$Z$1))&amp;""</f>
        <v>ユーザー権限ID</v>
      </c>
      <c r="AG4" s="40" t="str" cm="1">
        <f t="array" aca="1" ref="AG4" ca="1">INDEX(_xlfn._xlws.FILTER(テーブル定義_一覧!$D$1:$U$501, テーブル定義_一覧!$D$1:$D$501=AG$1), AG$2, _xlfn.XMATCH($B4, テーブル定義_一覧!$D$1:$Z$1))&amp;""</f>
        <v>ユーザー権限(物理名)</v>
      </c>
      <c r="AH4" s="40" t="str" cm="1">
        <f t="array" aca="1" ref="AH4" ca="1">INDEX(_xlfn._xlws.FILTER(テーブル定義_一覧!$D$1:$U$501, テーブル定義_一覧!$D$1:$D$501=AH$1), AH$2, _xlfn.XMATCH($B4, テーブル定義_一覧!$D$1:$Z$1))&amp;""</f>
        <v>画像(システム管理)ID</v>
      </c>
      <c r="AI4" s="40" t="str" cm="1">
        <f t="array" aca="1" ref="AI4" ca="1">INDEX(_xlfn._xlws.FILTER(テーブル定義_一覧!$D$1:$U$501, テーブル定義_一覧!$D$1:$D$501=AI$1), AI$2, _xlfn.XMATCH($B4, テーブル定義_一覧!$D$1:$Z$1))&amp;""</f>
        <v>バケット名</v>
      </c>
      <c r="AJ4" s="40" t="str" cm="1">
        <f t="array" aca="1" ref="AJ4" ca="1">INDEX(_xlfn._xlws.FILTER(テーブル定義_一覧!$D$1:$U$501, テーブル定義_一覧!$D$1:$D$501=AJ$1), AJ$2, _xlfn.XMATCH($B4, テーブル定義_一覧!$D$1:$Z$1))&amp;""</f>
        <v>オブジェクトパス</v>
      </c>
      <c r="AK4" s="40" t="str" cm="1">
        <f t="array" aca="1" ref="AK4" ca="1">INDEX(_xlfn._xlws.FILTER(テーブル定義_一覧!$D$1:$U$501, テーブル定義_一覧!$D$1:$D$501=AK$1), AK$2, _xlfn.XMATCH($B4, テーブル定義_一覧!$D$1:$Z$1))&amp;""</f>
        <v>CDNのURL</v>
      </c>
      <c r="AL4" s="40" t="str" cm="1">
        <f t="array" aca="1" ref="AL4" ca="1">INDEX(_xlfn._xlws.FILTER(テーブル定義_一覧!$D$1:$U$501, テーブル定義_一覧!$D$1:$D$501=AL$1), AL$2, _xlfn.XMATCH($B4, テーブル定義_一覧!$D$1:$Z$1))&amp;""</f>
        <v>コンテンツタイプ(拡張子等)</v>
      </c>
      <c r="AM4" s="40" t="str" cm="1">
        <f t="array" aca="1" ref="AM4" ca="1">INDEX(_xlfn._xlws.FILTER(テーブル定義_一覧!$D$1:$U$501, テーブル定義_一覧!$D$1:$D$501=AM$1), AM$2, _xlfn.XMATCH($B4, テーブル定義_一覧!$D$1:$Z$1))&amp;""</f>
        <v>画像幅</v>
      </c>
      <c r="AN4" s="40" t="str" cm="1">
        <f t="array" aca="1" ref="AN4" ca="1">INDEX(_xlfn._xlws.FILTER(テーブル定義_一覧!$D$1:$U$501, テーブル定義_一覧!$D$1:$D$501=AN$1), AN$2, _xlfn.XMATCH($B4, テーブル定義_一覧!$D$1:$Z$1))&amp;""</f>
        <v>画像高</v>
      </c>
      <c r="AO4" s="40" t="str" cm="1">
        <f t="array" aca="1" ref="AO4" ca="1">INDEX(_xlfn._xlws.FILTER(テーブル定義_一覧!$D$1:$U$501, テーブル定義_一覧!$D$1:$D$501=AO$1), AO$2, _xlfn.XMATCH($B4, テーブル定義_一覧!$D$1:$Z$1))&amp;""</f>
        <v>ファイルサイズ</v>
      </c>
      <c r="AP4" s="40" t="str" cm="1">
        <f t="array" aca="1" ref="AP4" ca="1">INDEX(_xlfn._xlws.FILTER(テーブル定義_一覧!$D$1:$U$501, テーブル定義_一覧!$D$1:$D$501=AP$1), AP$2, _xlfn.XMATCH($B4, テーブル定義_一覧!$D$1:$Z$1))&amp;""</f>
        <v>付加テキスト</v>
      </c>
      <c r="AQ4" s="40" t="str" cm="1">
        <f t="array" aca="1" ref="AQ4" ca="1">INDEX(_xlfn._xlws.FILTER(テーブル定義_一覧!$D$1:$U$501, テーブル定義_一覧!$D$1:$D$501=AQ$1), AQ$2, _xlfn.XMATCH($B4, テーブル定義_一覧!$D$1:$Z$1))&amp;""</f>
        <v>画面要素ID</v>
      </c>
      <c r="AR4" s="34" t="str" cm="1">
        <f t="array" aca="1" ref="AR4" ca="1">INDEX(_xlfn._xlws.FILTER(テーブル定義_一覧!$D$1:$U$501, テーブル定義_一覧!$D$1:$D$501=AR$1), AR$2, _xlfn.XMATCH($B4, テーブル定義_一覧!$D$1:$Z$1))&amp;""</f>
        <v>メッセージID</v>
      </c>
    </row>
    <row r="5" spans="1:44" outlineLevel="2">
      <c r="A5" s="79"/>
      <c r="B5" s="28" t="s">
        <v>499</v>
      </c>
      <c r="C5" s="49" t="str" cm="1">
        <f t="array" aca="1" ref="C5" ca="1">INDEX(_xlfn._xlws.FILTER(テーブル定義_一覧!$D$1:$U$501, テーブル定義_一覧!$D$1:$D$501=C$1), C$2, _xlfn.XMATCH($B5, テーブル定義_一覧!$D$1:$Z$1))&amp;""</f>
        <v>serial</v>
      </c>
      <c r="D5" s="40" t="str" cm="1">
        <f t="array" aca="1" ref="D5" ca="1">INDEX(_xlfn._xlws.FILTER(テーブル定義_一覧!$D$1:$U$501, テーブル定義_一覧!$D$1:$D$501=D$1), D$2, _xlfn.XMATCH($B5, テーブル定義_一覧!$D$1:$Z$1))&amp;""</f>
        <v>integer</v>
      </c>
      <c r="E5" s="40" t="str" cm="1">
        <f t="array" aca="1" ref="E5" ca="1">INDEX(_xlfn._xlws.FILTER(テーブル定義_一覧!$D$1:$U$501, テーブル定義_一覧!$D$1:$D$501=E$1), E$2, _xlfn.XMATCH($B5, テーブル定義_一覧!$D$1:$Z$1))&amp;""</f>
        <v>integer</v>
      </c>
      <c r="F5" s="40" t="str" cm="1">
        <f t="array" aca="1" ref="F5" ca="1">INDEX(_xlfn._xlws.FILTER(テーブル定義_一覧!$D$1:$U$501, テーブル定義_一覧!$D$1:$D$501=F$1), F$2, _xlfn.XMATCH($B5, テーブル定義_一覧!$D$1:$Z$1))&amp;""</f>
        <v>text</v>
      </c>
      <c r="G5" s="40" t="str" cm="1">
        <f t="array" aca="1" ref="G5" ca="1">INDEX(_xlfn._xlws.FILTER(テーブル定義_一覧!$D$1:$U$501, テーブル定義_一覧!$D$1:$D$501=G$1), G$2, _xlfn.XMATCH($B5, テーブル定義_一覧!$D$1:$Z$1))&amp;""</f>
        <v>enum</v>
      </c>
      <c r="H5" s="40" t="str" cm="1">
        <f t="array" aca="1" ref="H5" ca="1">INDEX(_xlfn._xlws.FILTER(テーブル定義_一覧!$D$1:$U$501, テーブル定義_一覧!$D$1:$D$501=H$1), H$2, _xlfn.XMATCH($B5, テーブル定義_一覧!$D$1:$Z$1))&amp;""</f>
        <v>serial</v>
      </c>
      <c r="I5" s="40" t="str" cm="1">
        <f t="array" aca="1" ref="I5" ca="1">INDEX(_xlfn._xlws.FILTER(テーブル定義_一覧!$D$1:$U$501, テーブル定義_一覧!$D$1:$D$501=I$1), I$2, _xlfn.XMATCH($B5, テーブル定義_一覧!$D$1:$Z$1))&amp;""</f>
        <v>varchar(24)</v>
      </c>
      <c r="J5" s="40" t="str" cm="1">
        <f t="array" aca="1" ref="J5" ca="1">INDEX(_xlfn._xlws.FILTER(テーブル定義_一覧!$D$1:$U$501, テーブル定義_一覧!$D$1:$D$501=J$1), J$2, _xlfn.XMATCH($B5, テーブル定義_一覧!$D$1:$Z$1))&amp;""</f>
        <v>serial</v>
      </c>
      <c r="K5" s="40" t="str" cm="1">
        <f t="array" aca="1" ref="K5" ca="1">INDEX(_xlfn._xlws.FILTER(テーブル定義_一覧!$D$1:$U$501, テーブル定義_一覧!$D$1:$D$501=K$1), K$2, _xlfn.XMATCH($B5, テーブル定義_一覧!$D$1:$Z$1))&amp;""</f>
        <v>varchar(16)</v>
      </c>
      <c r="L5" s="40" t="str" cm="1">
        <f t="array" aca="1" ref="L5" ca="1">INDEX(_xlfn._xlws.FILTER(テーブル定義_一覧!$D$1:$U$501, テーブル定義_一覧!$D$1:$D$501=L$1), L$2, _xlfn.XMATCH($B5, テーブル定義_一覧!$D$1:$Z$1))&amp;""</f>
        <v>integer</v>
      </c>
      <c r="M5" s="40" t="str" cm="1">
        <f t="array" aca="1" ref="M5" ca="1">INDEX(_xlfn._xlws.FILTER(テーブル定義_一覧!$D$1:$U$501, テーブル定義_一覧!$D$1:$D$501=M$1), M$2, _xlfn.XMATCH($B5, テーブル定義_一覧!$D$1:$Z$1))&amp;""</f>
        <v>boolean</v>
      </c>
      <c r="N5" s="40" t="str" cm="1">
        <f t="array" aca="1" ref="N5" ca="1">INDEX(_xlfn._xlws.FILTER(テーブル定義_一覧!$D$1:$U$501, テーブル定義_一覧!$D$1:$D$501=N$1), N$2, _xlfn.XMATCH($B5, テーブル定義_一覧!$D$1:$Z$1))&amp;""</f>
        <v>serial</v>
      </c>
      <c r="O5" s="40" t="str" cm="1">
        <f t="array" aca="1" ref="O5" ca="1">INDEX(_xlfn._xlws.FILTER(テーブル定義_一覧!$D$1:$U$501, テーブル定義_一覧!$D$1:$D$501=O$1), O$2, _xlfn.XMATCH($B5, テーブル定義_一覧!$D$1:$Z$1))&amp;""</f>
        <v>varchar(8)</v>
      </c>
      <c r="P5" s="40" t="str" cm="1">
        <f t="array" aca="1" ref="P5" ca="1">INDEX(_xlfn._xlws.FILTER(テーブル定義_一覧!$D$1:$U$501, テーブル定義_一覧!$D$1:$D$501=P$1), P$2, _xlfn.XMATCH($B5, テーブル定義_一覧!$D$1:$Z$1))&amp;""</f>
        <v>enum</v>
      </c>
      <c r="Q5" s="40" t="str" cm="1">
        <f t="array" aca="1" ref="Q5" ca="1">INDEX(_xlfn._xlws.FILTER(テーブル定義_一覧!$D$1:$U$501, テーブル定義_一覧!$D$1:$D$501=Q$1), Q$2, _xlfn.XMATCH($B5, テーブル定義_一覧!$D$1:$Z$1))&amp;""</f>
        <v>serial</v>
      </c>
      <c r="R5" s="40" t="str" cm="1">
        <f t="array" aca="1" ref="R5" ca="1">INDEX(_xlfn._xlws.FILTER(テーブル定義_一覧!$D$1:$U$501, テーブル定義_一覧!$D$1:$D$501=R$1), R$2, _xlfn.XMATCH($B5, テーブル定義_一覧!$D$1:$Z$1))&amp;""</f>
        <v>varchar(8)</v>
      </c>
      <c r="S5" s="40" t="str" cm="1">
        <f t="array" aca="1" ref="S5" ca="1">INDEX(_xlfn._xlws.FILTER(テーブル定義_一覧!$D$1:$U$501, テーブル定義_一覧!$D$1:$D$501=S$1), S$2, _xlfn.XMATCH($B5, テーブル定義_一覧!$D$1:$Z$1))&amp;""</f>
        <v>varchar(8)</v>
      </c>
      <c r="T5" s="40" t="str" cm="1">
        <f t="array" aca="1" ref="T5" ca="1">INDEX(_xlfn._xlws.FILTER(テーブル定義_一覧!$D$1:$U$501, テーブル定義_一覧!$D$1:$D$501=T$1), T$2, _xlfn.XMATCH($B5, テーブル定義_一覧!$D$1:$Z$1))&amp;""</f>
        <v>serial</v>
      </c>
      <c r="U5" s="40" t="str" cm="1">
        <f t="array" aca="1" ref="U5" ca="1">INDEX(_xlfn._xlws.FILTER(テーブル定義_一覧!$D$1:$U$501, テーブル定義_一覧!$D$1:$D$501=U$1), U$2, _xlfn.XMATCH($B5, テーブル定義_一覧!$D$1:$Z$1))&amp;""</f>
        <v>varchar(8)</v>
      </c>
      <c r="V5" s="40" t="str" cm="1">
        <f t="array" aca="1" ref="V5" ca="1">INDEX(_xlfn._xlws.FILTER(テーブル定義_一覧!$D$1:$U$501, テーブル定義_一覧!$D$1:$D$501=V$1), V$2, _xlfn.XMATCH($B5, テーブル定義_一覧!$D$1:$Z$1))&amp;""</f>
        <v>varchar(8)</v>
      </c>
      <c r="W5" s="40" t="str" cm="1">
        <f t="array" aca="1" ref="W5" ca="1">INDEX(_xlfn._xlws.FILTER(テーブル定義_一覧!$D$1:$U$501, テーブル定義_一覧!$D$1:$D$501=W$1), W$2, _xlfn.XMATCH($B5, テーブル定義_一覧!$D$1:$Z$1))&amp;""</f>
        <v>serial</v>
      </c>
      <c r="X5" s="40" t="str" cm="1">
        <f t="array" aca="1" ref="X5" ca="1">INDEX(_xlfn._xlws.FILTER(テーブル定義_一覧!$D$1:$U$501, テーブル定義_一覧!$D$1:$D$501=X$1), X$2, _xlfn.XMATCH($B5, テーブル定義_一覧!$D$1:$Z$1))&amp;""</f>
        <v>varchar(32)</v>
      </c>
      <c r="Y5" s="40" t="str" cm="1">
        <f t="array" aca="1" ref="Y5" ca="1">INDEX(_xlfn._xlws.FILTER(テーブル定義_一覧!$D$1:$U$501, テーブル定義_一覧!$D$1:$D$501=Y$1), Y$2, _xlfn.XMATCH($B5, テーブル定義_一覧!$D$1:$Z$1))&amp;""</f>
        <v>integer</v>
      </c>
      <c r="Z5" s="40" t="str" cm="1">
        <f t="array" aca="1" ref="Z5" ca="1">INDEX(_xlfn._xlws.FILTER(テーブル定義_一覧!$D$1:$U$501, テーブル定義_一覧!$D$1:$D$501=Z$1), Z$2, _xlfn.XMATCH($B5, テーブル定義_一覧!$D$1:$Z$1))&amp;""</f>
        <v>boolean</v>
      </c>
      <c r="AA5" s="40" t="str" cm="1">
        <f t="array" aca="1" ref="AA5" ca="1">INDEX(_xlfn._xlws.FILTER(テーブル定義_一覧!$D$1:$U$501, テーブル定義_一覧!$D$1:$D$501=AA$1), AA$2, _xlfn.XMATCH($B5, テーブル定義_一覧!$D$1:$Z$1))&amp;""</f>
        <v>boolean</v>
      </c>
      <c r="AB5" s="40" t="str" cm="1">
        <f t="array" aca="1" ref="AB5" ca="1">INDEX(_xlfn._xlws.FILTER(テーブル定義_一覧!$D$1:$U$501, テーブル定義_一覧!$D$1:$D$501=AB$1), AB$2, _xlfn.XMATCH($B5, テーブル定義_一覧!$D$1:$Z$1))&amp;""</f>
        <v>serial</v>
      </c>
      <c r="AC5" s="40" t="str" cm="1">
        <f t="array" aca="1" ref="AC5" ca="1">INDEX(_xlfn._xlws.FILTER(テーブル定義_一覧!$D$1:$U$501, テーブル定義_一覧!$D$1:$D$501=AC$1), AC$2, _xlfn.XMATCH($B5, テーブル定義_一覧!$D$1:$Z$1))&amp;""</f>
        <v>varchar(16)</v>
      </c>
      <c r="AD5" s="40" t="str" cm="1">
        <f t="array" aca="1" ref="AD5" ca="1">INDEX(_xlfn._xlws.FILTER(テーブル定義_一覧!$D$1:$U$501, テーブル定義_一覧!$D$1:$D$501=AD$1), AD$2, _xlfn.XMATCH($B5, テーブル定義_一覧!$D$1:$Z$1))&amp;""</f>
        <v>serial</v>
      </c>
      <c r="AE5" s="40" t="str" cm="1">
        <f t="array" aca="1" ref="AE5" ca="1">INDEX(_xlfn._xlws.FILTER(テーブル定義_一覧!$D$1:$U$501, テーブル定義_一覧!$D$1:$D$501=AE$1), AE$2, _xlfn.XMATCH($B5, テーブル定義_一覧!$D$1:$Z$1))&amp;""</f>
        <v>varchar(16)</v>
      </c>
      <c r="AF5" s="40" t="str" cm="1">
        <f t="array" aca="1" ref="AF5" ca="1">INDEX(_xlfn._xlws.FILTER(テーブル定義_一覧!$D$1:$U$501, テーブル定義_一覧!$D$1:$D$501=AF$1), AF$2, _xlfn.XMATCH($B5, テーブル定義_一覧!$D$1:$Z$1))&amp;""</f>
        <v>serial</v>
      </c>
      <c r="AG5" s="40" t="str" cm="1">
        <f t="array" aca="1" ref="AG5" ca="1">INDEX(_xlfn._xlws.FILTER(テーブル定義_一覧!$D$1:$U$501, テーブル定義_一覧!$D$1:$D$501=AG$1), AG$2, _xlfn.XMATCH($B5, テーブル定義_一覧!$D$1:$Z$1))&amp;""</f>
        <v>varchar(8)</v>
      </c>
      <c r="AH5" s="40" t="str" cm="1">
        <f t="array" aca="1" ref="AH5" ca="1">INDEX(_xlfn._xlws.FILTER(テーブル定義_一覧!$D$1:$U$501, テーブル定義_一覧!$D$1:$D$501=AH$1), AH$2, _xlfn.XMATCH($B5, テーブル定義_一覧!$D$1:$Z$1))&amp;""</f>
        <v>serial</v>
      </c>
      <c r="AI5" s="40" t="str" cm="1">
        <f t="array" aca="1" ref="AI5" ca="1">INDEX(_xlfn._xlws.FILTER(テーブル定義_一覧!$D$1:$U$501, テーブル定義_一覧!$D$1:$D$501=AI$1), AI$2, _xlfn.XMATCH($B5, テーブル定義_一覧!$D$1:$Z$1))&amp;""</f>
        <v>varchar(100)</v>
      </c>
      <c r="AJ5" s="40" t="str" cm="1">
        <f t="array" aca="1" ref="AJ5" ca="1">INDEX(_xlfn._xlws.FILTER(テーブル定義_一覧!$D$1:$U$501, テーブル定義_一覧!$D$1:$D$501=AJ$1), AJ$2, _xlfn.XMATCH($B5, テーブル定義_一覧!$D$1:$Z$1))&amp;""</f>
        <v>varchar(512)</v>
      </c>
      <c r="AK5" s="40" t="str" cm="1">
        <f t="array" aca="1" ref="AK5" ca="1">INDEX(_xlfn._xlws.FILTER(テーブル定義_一覧!$D$1:$U$501, テーブル定義_一覧!$D$1:$D$501=AK$1), AK$2, _xlfn.XMATCH($B5, テーブル定義_一覧!$D$1:$Z$1))&amp;""</f>
        <v>varchar(512)</v>
      </c>
      <c r="AL5" s="40" t="str" cm="1">
        <f t="array" aca="1" ref="AL5" ca="1">INDEX(_xlfn._xlws.FILTER(テーブル定義_一覧!$D$1:$U$501, テーブル定義_一覧!$D$1:$D$501=AL$1), AL$2, _xlfn.XMATCH($B5, テーブル定義_一覧!$D$1:$Z$1))&amp;""</f>
        <v>varchar(50)</v>
      </c>
      <c r="AM5" s="40" t="str" cm="1">
        <f t="array" aca="1" ref="AM5" ca="1">INDEX(_xlfn._xlws.FILTER(テーブル定義_一覧!$D$1:$U$501, テーブル定義_一覧!$D$1:$D$501=AM$1), AM$2, _xlfn.XMATCH($B5, テーブル定義_一覧!$D$1:$Z$1))&amp;""</f>
        <v>integer</v>
      </c>
      <c r="AN5" s="40" t="str" cm="1">
        <f t="array" aca="1" ref="AN5" ca="1">INDEX(_xlfn._xlws.FILTER(テーブル定義_一覧!$D$1:$U$501, テーブル定義_一覧!$D$1:$D$501=AN$1), AN$2, _xlfn.XMATCH($B5, テーブル定義_一覧!$D$1:$Z$1))&amp;""</f>
        <v>integer</v>
      </c>
      <c r="AO5" s="40" t="str" cm="1">
        <f t="array" aca="1" ref="AO5" ca="1">INDEX(_xlfn._xlws.FILTER(テーブル定義_一覧!$D$1:$U$501, テーブル定義_一覧!$D$1:$D$501=AO$1), AO$2, _xlfn.XMATCH($B5, テーブル定義_一覧!$D$1:$Z$1))&amp;""</f>
        <v>integer</v>
      </c>
      <c r="AP5" s="40" t="str" cm="1">
        <f t="array" aca="1" ref="AP5" ca="1">INDEX(_xlfn._xlws.FILTER(テーブル定義_一覧!$D$1:$U$501, テーブル定義_一覧!$D$1:$D$501=AP$1), AP$2, _xlfn.XMATCH($B5, テーブル定義_一覧!$D$1:$Z$1))&amp;""</f>
        <v>varchar(255)</v>
      </c>
      <c r="AQ5" s="40" t="str" cm="1">
        <f t="array" aca="1" ref="AQ5" ca="1">INDEX(_xlfn._xlws.FILTER(テーブル定義_一覧!$D$1:$U$501, テーブル定義_一覧!$D$1:$D$501=AQ$1), AQ$2, _xlfn.XMATCH($B5, テーブル定義_一覧!$D$1:$Z$1))&amp;""</f>
        <v>serial</v>
      </c>
      <c r="AR5" s="34" t="str" cm="1">
        <f t="array" aca="1" ref="AR5" ca="1">INDEX(_xlfn._xlws.FILTER(テーブル定義_一覧!$D$1:$U$501, テーブル定義_一覧!$D$1:$D$501=AR$1), AR$2, _xlfn.XMATCH($B5, テーブル定義_一覧!$D$1:$Z$1))&amp;""</f>
        <v>varchar(16)</v>
      </c>
    </row>
    <row r="6" spans="1:44" outlineLevel="2">
      <c r="A6" s="79"/>
      <c r="B6" s="28" t="s">
        <v>520</v>
      </c>
      <c r="C6" s="49" t="str" cm="1">
        <f t="array" aca="1" ref="C6" ca="1">INDEX(_xlfn._xlws.FILTER(テーブル定義_一覧!$D$1:$U$501, テーブル定義_一覧!$D$1:$D$501=C$1), C$2, _xlfn.XMATCH($B6, テーブル定義_一覧!$D$1:$Z$1))&amp;""</f>
        <v>x</v>
      </c>
      <c r="D6" s="40" t="str" cm="1">
        <f t="array" aca="1" ref="D6" ca="1">INDEX(_xlfn._xlws.FILTER(テーブル定義_一覧!$D$1:$U$501, テーブル定義_一覧!$D$1:$D$501=D$1), D$2, _xlfn.XMATCH($B6, テーブル定義_一覧!$D$1:$Z$1))&amp;""</f>
        <v/>
      </c>
      <c r="E6" s="40" t="str" cm="1">
        <f t="array" aca="1" ref="E6" ca="1">INDEX(_xlfn._xlws.FILTER(テーブル定義_一覧!$D$1:$U$501, テーブル定義_一覧!$D$1:$D$501=E$1), E$2, _xlfn.XMATCH($B6, テーブル定義_一覧!$D$1:$Z$1))&amp;""</f>
        <v/>
      </c>
      <c r="F6" s="40" t="str" cm="1">
        <f t="array" aca="1" ref="F6" ca="1">INDEX(_xlfn._xlws.FILTER(テーブル定義_一覧!$D$1:$U$501, テーブル定義_一覧!$D$1:$D$501=F$1), F$2, _xlfn.XMATCH($B6, テーブル定義_一覧!$D$1:$Z$1))&amp;""</f>
        <v/>
      </c>
      <c r="G6" s="40" t="str" cm="1">
        <f t="array" aca="1" ref="G6" ca="1">INDEX(_xlfn._xlws.FILTER(テーブル定義_一覧!$D$1:$U$501, テーブル定義_一覧!$D$1:$D$501=G$1), G$2, _xlfn.XMATCH($B6, テーブル定義_一覧!$D$1:$Z$1))&amp;""</f>
        <v/>
      </c>
      <c r="H6" s="40" t="str" cm="1">
        <f t="array" aca="1" ref="H6" ca="1">INDEX(_xlfn._xlws.FILTER(テーブル定義_一覧!$D$1:$U$501, テーブル定義_一覧!$D$1:$D$501=H$1), H$2, _xlfn.XMATCH($B6, テーブル定義_一覧!$D$1:$Z$1))&amp;""</f>
        <v>x</v>
      </c>
      <c r="I6" s="40" t="str" cm="1">
        <f t="array" aca="1" ref="I6" ca="1">INDEX(_xlfn._xlws.FILTER(テーブル定義_一覧!$D$1:$U$501, テーブル定義_一覧!$D$1:$D$501=I$1), I$2, _xlfn.XMATCH($B6, テーブル定義_一覧!$D$1:$Z$1))&amp;""</f>
        <v/>
      </c>
      <c r="J6" s="40" t="str" cm="1">
        <f t="array" aca="1" ref="J6" ca="1">INDEX(_xlfn._xlws.FILTER(テーブル定義_一覧!$D$1:$U$501, テーブル定義_一覧!$D$1:$D$501=J$1), J$2, _xlfn.XMATCH($B6, テーブル定義_一覧!$D$1:$Z$1))&amp;""</f>
        <v>x</v>
      </c>
      <c r="K6" s="40" t="str" cm="1">
        <f t="array" aca="1" ref="K6" ca="1">INDEX(_xlfn._xlws.FILTER(テーブル定義_一覧!$D$1:$U$501, テーブル定義_一覧!$D$1:$D$501=K$1), K$2, _xlfn.XMATCH($B6, テーブル定義_一覧!$D$1:$Z$1))&amp;""</f>
        <v/>
      </c>
      <c r="L6" s="40" t="str" cm="1">
        <f t="array" aca="1" ref="L6" ca="1">INDEX(_xlfn._xlws.FILTER(テーブル定義_一覧!$D$1:$U$501, テーブル定義_一覧!$D$1:$D$501=L$1), L$2, _xlfn.XMATCH($B6, テーブル定義_一覧!$D$1:$Z$1))&amp;""</f>
        <v/>
      </c>
      <c r="M6" s="40" t="str" cm="1">
        <f t="array" aca="1" ref="M6" ca="1">INDEX(_xlfn._xlws.FILTER(テーブル定義_一覧!$D$1:$U$501, テーブル定義_一覧!$D$1:$D$501=M$1), M$2, _xlfn.XMATCH($B6, テーブル定義_一覧!$D$1:$Z$1))&amp;""</f>
        <v/>
      </c>
      <c r="N6" s="40" t="str" cm="1">
        <f t="array" aca="1" ref="N6" ca="1">INDEX(_xlfn._xlws.FILTER(テーブル定義_一覧!$D$1:$U$501, テーブル定義_一覧!$D$1:$D$501=N$1), N$2, _xlfn.XMATCH($B6, テーブル定義_一覧!$D$1:$Z$1))&amp;""</f>
        <v>x</v>
      </c>
      <c r="O6" s="40" t="str" cm="1">
        <f t="array" aca="1" ref="O6" ca="1">INDEX(_xlfn._xlws.FILTER(テーブル定義_一覧!$D$1:$U$501, テーブル定義_一覧!$D$1:$D$501=O$1), O$2, _xlfn.XMATCH($B6, テーブル定義_一覧!$D$1:$Z$1))&amp;""</f>
        <v/>
      </c>
      <c r="P6" s="40" t="str" cm="1">
        <f t="array" aca="1" ref="P6" ca="1">INDEX(_xlfn._xlws.FILTER(テーブル定義_一覧!$D$1:$U$501, テーブル定義_一覧!$D$1:$D$501=P$1), P$2, _xlfn.XMATCH($B6, テーブル定義_一覧!$D$1:$Z$1))&amp;""</f>
        <v/>
      </c>
      <c r="Q6" s="40" t="str" cm="1">
        <f t="array" aca="1" ref="Q6" ca="1">INDEX(_xlfn._xlws.FILTER(テーブル定義_一覧!$D$1:$U$501, テーブル定義_一覧!$D$1:$D$501=Q$1), Q$2, _xlfn.XMATCH($B6, テーブル定義_一覧!$D$1:$Z$1))&amp;""</f>
        <v>x</v>
      </c>
      <c r="R6" s="40" t="str" cm="1">
        <f t="array" aca="1" ref="R6" ca="1">INDEX(_xlfn._xlws.FILTER(テーブル定義_一覧!$D$1:$U$501, テーブル定義_一覧!$D$1:$D$501=R$1), R$2, _xlfn.XMATCH($B6, テーブル定義_一覧!$D$1:$Z$1))&amp;""</f>
        <v/>
      </c>
      <c r="S6" s="40" t="str" cm="1">
        <f t="array" aca="1" ref="S6" ca="1">INDEX(_xlfn._xlws.FILTER(テーブル定義_一覧!$D$1:$U$501, テーブル定義_一覧!$D$1:$D$501=S$1), S$2, _xlfn.XMATCH($B6, テーブル定義_一覧!$D$1:$Z$1))&amp;""</f>
        <v/>
      </c>
      <c r="T6" s="40" t="str" cm="1">
        <f t="array" aca="1" ref="T6" ca="1">INDEX(_xlfn._xlws.FILTER(テーブル定義_一覧!$D$1:$U$501, テーブル定義_一覧!$D$1:$D$501=T$1), T$2, _xlfn.XMATCH($B6, テーブル定義_一覧!$D$1:$Z$1))&amp;""</f>
        <v>x</v>
      </c>
      <c r="U6" s="40" t="str" cm="1">
        <f t="array" aca="1" ref="U6" ca="1">INDEX(_xlfn._xlws.FILTER(テーブル定義_一覧!$D$1:$U$501, テーブル定義_一覧!$D$1:$D$501=U$1), U$2, _xlfn.XMATCH($B6, テーブル定義_一覧!$D$1:$Z$1))&amp;""</f>
        <v/>
      </c>
      <c r="V6" s="40" t="str" cm="1">
        <f t="array" aca="1" ref="V6" ca="1">INDEX(_xlfn._xlws.FILTER(テーブル定義_一覧!$D$1:$U$501, テーブル定義_一覧!$D$1:$D$501=V$1), V$2, _xlfn.XMATCH($B6, テーブル定義_一覧!$D$1:$Z$1))&amp;""</f>
        <v/>
      </c>
      <c r="W6" s="40" t="str" cm="1">
        <f t="array" aca="1" ref="W6" ca="1">INDEX(_xlfn._xlws.FILTER(テーブル定義_一覧!$D$1:$U$501, テーブル定義_一覧!$D$1:$D$501=W$1), W$2, _xlfn.XMATCH($B6, テーブル定義_一覧!$D$1:$Z$1))&amp;""</f>
        <v>x</v>
      </c>
      <c r="X6" s="40" t="str" cm="1">
        <f t="array" aca="1" ref="X6" ca="1">INDEX(_xlfn._xlws.FILTER(テーブル定義_一覧!$D$1:$U$501, テーブル定義_一覧!$D$1:$D$501=X$1), X$2, _xlfn.XMATCH($B6, テーブル定義_一覧!$D$1:$Z$1))&amp;""</f>
        <v/>
      </c>
      <c r="Y6" s="40" t="str" cm="1">
        <f t="array" aca="1" ref="Y6" ca="1">INDEX(_xlfn._xlws.FILTER(テーブル定義_一覧!$D$1:$U$501, テーブル定義_一覧!$D$1:$D$501=Y$1), Y$2, _xlfn.XMATCH($B6, テーブル定義_一覧!$D$1:$Z$1))&amp;""</f>
        <v/>
      </c>
      <c r="Z6" s="40" t="str" cm="1">
        <f t="array" aca="1" ref="Z6" ca="1">INDEX(_xlfn._xlws.FILTER(テーブル定義_一覧!$D$1:$U$501, テーブル定義_一覧!$D$1:$D$501=Z$1), Z$2, _xlfn.XMATCH($B6, テーブル定義_一覧!$D$1:$Z$1))&amp;""</f>
        <v/>
      </c>
      <c r="AA6" s="40" t="str" cm="1">
        <f t="array" aca="1" ref="AA6" ca="1">INDEX(_xlfn._xlws.FILTER(テーブル定義_一覧!$D$1:$U$501, テーブル定義_一覧!$D$1:$D$501=AA$1), AA$2, _xlfn.XMATCH($B6, テーブル定義_一覧!$D$1:$Z$1))&amp;""</f>
        <v/>
      </c>
      <c r="AB6" s="40" t="str" cm="1">
        <f t="array" aca="1" ref="AB6" ca="1">INDEX(_xlfn._xlws.FILTER(テーブル定義_一覧!$D$1:$U$501, テーブル定義_一覧!$D$1:$D$501=AB$1), AB$2, _xlfn.XMATCH($B6, テーブル定義_一覧!$D$1:$Z$1))&amp;""</f>
        <v>x</v>
      </c>
      <c r="AC6" s="40" t="str" cm="1">
        <f t="array" aca="1" ref="AC6" ca="1">INDEX(_xlfn._xlws.FILTER(テーブル定義_一覧!$D$1:$U$501, テーブル定義_一覧!$D$1:$D$501=AC$1), AC$2, _xlfn.XMATCH($B6, テーブル定義_一覧!$D$1:$Z$1))&amp;""</f>
        <v/>
      </c>
      <c r="AD6" s="40" t="str" cm="1">
        <f t="array" aca="1" ref="AD6" ca="1">INDEX(_xlfn._xlws.FILTER(テーブル定義_一覧!$D$1:$U$501, テーブル定義_一覧!$D$1:$D$501=AD$1), AD$2, _xlfn.XMATCH($B6, テーブル定義_一覧!$D$1:$Z$1))&amp;""</f>
        <v>x</v>
      </c>
      <c r="AE6" s="40" t="str" cm="1">
        <f t="array" aca="1" ref="AE6" ca="1">INDEX(_xlfn._xlws.FILTER(テーブル定義_一覧!$D$1:$U$501, テーブル定義_一覧!$D$1:$D$501=AE$1), AE$2, _xlfn.XMATCH($B6, テーブル定義_一覧!$D$1:$Z$1))&amp;""</f>
        <v/>
      </c>
      <c r="AF6" s="40" t="str" cm="1">
        <f t="array" aca="1" ref="AF6" ca="1">INDEX(_xlfn._xlws.FILTER(テーブル定義_一覧!$D$1:$U$501, テーブル定義_一覧!$D$1:$D$501=AF$1), AF$2, _xlfn.XMATCH($B6, テーブル定義_一覧!$D$1:$Z$1))&amp;""</f>
        <v>x</v>
      </c>
      <c r="AG6" s="40" t="str" cm="1">
        <f t="array" aca="1" ref="AG6" ca="1">INDEX(_xlfn._xlws.FILTER(テーブル定義_一覧!$D$1:$U$501, テーブル定義_一覧!$D$1:$D$501=AG$1), AG$2, _xlfn.XMATCH($B6, テーブル定義_一覧!$D$1:$Z$1))&amp;""</f>
        <v/>
      </c>
      <c r="AH6" s="40" t="str" cm="1">
        <f t="array" aca="1" ref="AH6" ca="1">INDEX(_xlfn._xlws.FILTER(テーブル定義_一覧!$D$1:$U$501, テーブル定義_一覧!$D$1:$D$501=AH$1), AH$2, _xlfn.XMATCH($B6, テーブル定義_一覧!$D$1:$Z$1))&amp;""</f>
        <v>x</v>
      </c>
      <c r="AI6" s="40" t="str" cm="1">
        <f t="array" aca="1" ref="AI6" ca="1">INDEX(_xlfn._xlws.FILTER(テーブル定義_一覧!$D$1:$U$501, テーブル定義_一覧!$D$1:$D$501=AI$1), AI$2, _xlfn.XMATCH($B6, テーブル定義_一覧!$D$1:$Z$1))&amp;""</f>
        <v/>
      </c>
      <c r="AJ6" s="40" t="str" cm="1">
        <f t="array" aca="1" ref="AJ6" ca="1">INDEX(_xlfn._xlws.FILTER(テーブル定義_一覧!$D$1:$U$501, テーブル定義_一覧!$D$1:$D$501=AJ$1), AJ$2, _xlfn.XMATCH($B6, テーブル定義_一覧!$D$1:$Z$1))&amp;""</f>
        <v/>
      </c>
      <c r="AK6" s="40" t="str" cm="1">
        <f t="array" aca="1" ref="AK6" ca="1">INDEX(_xlfn._xlws.FILTER(テーブル定義_一覧!$D$1:$U$501, テーブル定義_一覧!$D$1:$D$501=AK$1), AK$2, _xlfn.XMATCH($B6, テーブル定義_一覧!$D$1:$Z$1))&amp;""</f>
        <v/>
      </c>
      <c r="AL6" s="40" t="str" cm="1">
        <f t="array" aca="1" ref="AL6" ca="1">INDEX(_xlfn._xlws.FILTER(テーブル定義_一覧!$D$1:$U$501, テーブル定義_一覧!$D$1:$D$501=AL$1), AL$2, _xlfn.XMATCH($B6, テーブル定義_一覧!$D$1:$Z$1))&amp;""</f>
        <v/>
      </c>
      <c r="AM6" s="40" t="str" cm="1">
        <f t="array" aca="1" ref="AM6" ca="1">INDEX(_xlfn._xlws.FILTER(テーブル定義_一覧!$D$1:$U$501, テーブル定義_一覧!$D$1:$D$501=AM$1), AM$2, _xlfn.XMATCH($B6, テーブル定義_一覧!$D$1:$Z$1))&amp;""</f>
        <v/>
      </c>
      <c r="AN6" s="40" t="str" cm="1">
        <f t="array" aca="1" ref="AN6" ca="1">INDEX(_xlfn._xlws.FILTER(テーブル定義_一覧!$D$1:$U$501, テーブル定義_一覧!$D$1:$D$501=AN$1), AN$2, _xlfn.XMATCH($B6, テーブル定義_一覧!$D$1:$Z$1))&amp;""</f>
        <v/>
      </c>
      <c r="AO6" s="40" t="str" cm="1">
        <f t="array" aca="1" ref="AO6" ca="1">INDEX(_xlfn._xlws.FILTER(テーブル定義_一覧!$D$1:$U$501, テーブル定義_一覧!$D$1:$D$501=AO$1), AO$2, _xlfn.XMATCH($B6, テーブル定義_一覧!$D$1:$Z$1))&amp;""</f>
        <v/>
      </c>
      <c r="AP6" s="40" t="str" cm="1">
        <f t="array" aca="1" ref="AP6" ca="1">INDEX(_xlfn._xlws.FILTER(テーブル定義_一覧!$D$1:$U$501, テーブル定義_一覧!$D$1:$D$501=AP$1), AP$2, _xlfn.XMATCH($B6, テーブル定義_一覧!$D$1:$Z$1))&amp;""</f>
        <v/>
      </c>
      <c r="AQ6" s="40" t="str" cm="1">
        <f t="array" aca="1" ref="AQ6" ca="1">INDEX(_xlfn._xlws.FILTER(テーブル定義_一覧!$D$1:$U$501, テーブル定義_一覧!$D$1:$D$501=AQ$1), AQ$2, _xlfn.XMATCH($B6, テーブル定義_一覧!$D$1:$Z$1))&amp;""</f>
        <v>x</v>
      </c>
      <c r="AR6" s="34" t="str" cm="1">
        <f t="array" aca="1" ref="AR6" ca="1">INDEX(_xlfn._xlws.FILTER(テーブル定義_一覧!$D$1:$U$501, テーブル定義_一覧!$D$1:$D$501=AR$1), AR$2, _xlfn.XMATCH($B6, テーブル定義_一覧!$D$1:$Z$1))&amp;""</f>
        <v/>
      </c>
    </row>
    <row r="7" spans="1:44" outlineLevel="2">
      <c r="A7" s="79"/>
      <c r="B7" s="28" t="s">
        <v>519</v>
      </c>
      <c r="C7" s="49" t="str" cm="1">
        <f t="array" aca="1" ref="C7" ca="1">INDEX(_xlfn._xlws.FILTER(テーブル定義_一覧!$D$1:$U$501, テーブル定義_一覧!$D$1:$D$501=C$1), C$2, _xlfn.XMATCH($B7, テーブル定義_一覧!$D$1:$Z$1))&amp;""</f>
        <v/>
      </c>
      <c r="D7" s="40" t="str" cm="1">
        <f t="array" aca="1" ref="D7" ca="1">INDEX(_xlfn._xlws.FILTER(テーブル定義_一覧!$D$1:$U$501, テーブル定義_一覧!$D$1:$D$501=D$1), D$2, _xlfn.XMATCH($B7, テーブル定義_一覧!$D$1:$Z$1))&amp;""</f>
        <v>x</v>
      </c>
      <c r="E7" s="40" t="str" cm="1">
        <f t="array" aca="1" ref="E7" ca="1">INDEX(_xlfn._xlws.FILTER(テーブル定義_一覧!$D$1:$U$501, テーブル定義_一覧!$D$1:$D$501=E$1), E$2, _xlfn.XMATCH($B7, テーブル定義_一覧!$D$1:$Z$1))&amp;""</f>
        <v/>
      </c>
      <c r="F7" s="40" t="str" cm="1">
        <f t="array" aca="1" ref="F7" ca="1">INDEX(_xlfn._xlws.FILTER(テーブル定義_一覧!$D$1:$U$501, テーブル定義_一覧!$D$1:$D$501=F$1), F$2, _xlfn.XMATCH($B7, テーブル定義_一覧!$D$1:$Z$1))&amp;""</f>
        <v/>
      </c>
      <c r="G7" s="40" t="str" cm="1">
        <f t="array" aca="1" ref="G7" ca="1">INDEX(_xlfn._xlws.FILTER(テーブル定義_一覧!$D$1:$U$501, テーブル定義_一覧!$D$1:$D$501=G$1), G$2, _xlfn.XMATCH($B7, テーブル定義_一覧!$D$1:$Z$1))&amp;""</f>
        <v/>
      </c>
      <c r="H7" s="40" t="str" cm="1">
        <f t="array" aca="1" ref="H7" ca="1">INDEX(_xlfn._xlws.FILTER(テーブル定義_一覧!$D$1:$U$501, テーブル定義_一覧!$D$1:$D$501=H$1), H$2, _xlfn.XMATCH($B7, テーブル定義_一覧!$D$1:$Z$1))&amp;""</f>
        <v/>
      </c>
      <c r="I7" s="40" t="str" cm="1">
        <f t="array" aca="1" ref="I7" ca="1">INDEX(_xlfn._xlws.FILTER(テーブル定義_一覧!$D$1:$U$501, テーブル定義_一覧!$D$1:$D$501=I$1), I$2, _xlfn.XMATCH($B7, テーブル定義_一覧!$D$1:$Z$1))&amp;""</f>
        <v/>
      </c>
      <c r="J7" s="40" t="str" cm="1">
        <f t="array" aca="1" ref="J7" ca="1">INDEX(_xlfn._xlws.FILTER(テーブル定義_一覧!$D$1:$U$501, テーブル定義_一覧!$D$1:$D$501=J$1), J$2, _xlfn.XMATCH($B7, テーブル定義_一覧!$D$1:$Z$1))&amp;""</f>
        <v/>
      </c>
      <c r="K7" s="40" t="str" cm="1">
        <f t="array" aca="1" ref="K7" ca="1">INDEX(_xlfn._xlws.FILTER(テーブル定義_一覧!$D$1:$U$501, テーブル定義_一覧!$D$1:$D$501=K$1), K$2, _xlfn.XMATCH($B7, テーブル定義_一覧!$D$1:$Z$1))&amp;""</f>
        <v/>
      </c>
      <c r="L7" s="40" t="str" cm="1">
        <f t="array" aca="1" ref="L7" ca="1">INDEX(_xlfn._xlws.FILTER(テーブル定義_一覧!$D$1:$U$501, テーブル定義_一覧!$D$1:$D$501=L$1), L$2, _xlfn.XMATCH($B7, テーブル定義_一覧!$D$1:$Z$1))&amp;""</f>
        <v>x</v>
      </c>
      <c r="M7" s="40" t="str" cm="1">
        <f t="array" aca="1" ref="M7" ca="1">INDEX(_xlfn._xlws.FILTER(テーブル定義_一覧!$D$1:$U$501, テーブル定義_一覧!$D$1:$D$501=M$1), M$2, _xlfn.XMATCH($B7, テーブル定義_一覧!$D$1:$Z$1))&amp;""</f>
        <v/>
      </c>
      <c r="N7" s="40" t="str" cm="1">
        <f t="array" aca="1" ref="N7" ca="1">INDEX(_xlfn._xlws.FILTER(テーブル定義_一覧!$D$1:$U$501, テーブル定義_一覧!$D$1:$D$501=N$1), N$2, _xlfn.XMATCH($B7, テーブル定義_一覧!$D$1:$Z$1))&amp;""</f>
        <v/>
      </c>
      <c r="O7" s="40" t="str" cm="1">
        <f t="array" aca="1" ref="O7" ca="1">INDEX(_xlfn._xlws.FILTER(テーブル定義_一覧!$D$1:$U$501, テーブル定義_一覧!$D$1:$D$501=O$1), O$2, _xlfn.XMATCH($B7, テーブル定義_一覧!$D$1:$Z$1))&amp;""</f>
        <v/>
      </c>
      <c r="P7" s="40" t="str" cm="1">
        <f t="array" aca="1" ref="P7" ca="1">INDEX(_xlfn._xlws.FILTER(テーブル定義_一覧!$D$1:$U$501, テーブル定義_一覧!$D$1:$D$501=P$1), P$2, _xlfn.XMATCH($B7, テーブル定義_一覧!$D$1:$Z$1))&amp;""</f>
        <v/>
      </c>
      <c r="Q7" s="40" t="str" cm="1">
        <f t="array" aca="1" ref="Q7" ca="1">INDEX(_xlfn._xlws.FILTER(テーブル定義_一覧!$D$1:$U$501, テーブル定義_一覧!$D$1:$D$501=Q$1), Q$2, _xlfn.XMATCH($B7, テーブル定義_一覧!$D$1:$Z$1))&amp;""</f>
        <v/>
      </c>
      <c r="R7" s="40" t="str" cm="1">
        <f t="array" aca="1" ref="R7" ca="1">INDEX(_xlfn._xlws.FILTER(テーブル定義_一覧!$D$1:$U$501, テーブル定義_一覧!$D$1:$D$501=R$1), R$2, _xlfn.XMATCH($B7, テーブル定義_一覧!$D$1:$Z$1))&amp;""</f>
        <v/>
      </c>
      <c r="S7" s="40" t="str" cm="1">
        <f t="array" aca="1" ref="S7" ca="1">INDEX(_xlfn._xlws.FILTER(テーブル定義_一覧!$D$1:$U$501, テーブル定義_一覧!$D$1:$D$501=S$1), S$2, _xlfn.XMATCH($B7, テーブル定義_一覧!$D$1:$Z$1))&amp;""</f>
        <v/>
      </c>
      <c r="T7" s="40" t="str" cm="1">
        <f t="array" aca="1" ref="T7" ca="1">INDEX(_xlfn._xlws.FILTER(テーブル定義_一覧!$D$1:$U$501, テーブル定義_一覧!$D$1:$D$501=T$1), T$2, _xlfn.XMATCH($B7, テーブル定義_一覧!$D$1:$Z$1))&amp;""</f>
        <v/>
      </c>
      <c r="U7" s="40" t="str" cm="1">
        <f t="array" aca="1" ref="U7" ca="1">INDEX(_xlfn._xlws.FILTER(テーブル定義_一覧!$D$1:$U$501, テーブル定義_一覧!$D$1:$D$501=U$1), U$2, _xlfn.XMATCH($B7, テーブル定義_一覧!$D$1:$Z$1))&amp;""</f>
        <v/>
      </c>
      <c r="V7" s="40" t="str" cm="1">
        <f t="array" aca="1" ref="V7" ca="1">INDEX(_xlfn._xlws.FILTER(テーブル定義_一覧!$D$1:$U$501, テーブル定義_一覧!$D$1:$D$501=V$1), V$2, _xlfn.XMATCH($B7, テーブル定義_一覧!$D$1:$Z$1))&amp;""</f>
        <v/>
      </c>
      <c r="W7" s="40" t="str" cm="1">
        <f t="array" aca="1" ref="W7" ca="1">INDEX(_xlfn._xlws.FILTER(テーブル定義_一覧!$D$1:$U$501, テーブル定義_一覧!$D$1:$D$501=W$1), W$2, _xlfn.XMATCH($B7, テーブル定義_一覧!$D$1:$Z$1))&amp;""</f>
        <v/>
      </c>
      <c r="X7" s="40" t="str" cm="1">
        <f t="array" aca="1" ref="X7" ca="1">INDEX(_xlfn._xlws.FILTER(テーブル定義_一覧!$D$1:$U$501, テーブル定義_一覧!$D$1:$D$501=X$1), X$2, _xlfn.XMATCH($B7, テーブル定義_一覧!$D$1:$Z$1))&amp;""</f>
        <v/>
      </c>
      <c r="Y7" s="40" t="str" cm="1">
        <f t="array" aca="1" ref="Y7" ca="1">INDEX(_xlfn._xlws.FILTER(テーブル定義_一覧!$D$1:$U$501, テーブル定義_一覧!$D$1:$D$501=Y$1), Y$2, _xlfn.XMATCH($B7, テーブル定義_一覧!$D$1:$Z$1))&amp;""</f>
        <v>x</v>
      </c>
      <c r="Z7" s="40" t="str" cm="1">
        <f t="array" aca="1" ref="Z7" ca="1">INDEX(_xlfn._xlws.FILTER(テーブル定義_一覧!$D$1:$U$501, テーブル定義_一覧!$D$1:$D$501=Z$1), Z$2, _xlfn.XMATCH($B7, テーブル定義_一覧!$D$1:$Z$1))&amp;""</f>
        <v/>
      </c>
      <c r="AA7" s="40" t="str" cm="1">
        <f t="array" aca="1" ref="AA7" ca="1">INDEX(_xlfn._xlws.FILTER(テーブル定義_一覧!$D$1:$U$501, テーブル定義_一覧!$D$1:$D$501=AA$1), AA$2, _xlfn.XMATCH($B7, テーブル定義_一覧!$D$1:$Z$1))&amp;""</f>
        <v/>
      </c>
      <c r="AB7" s="40" t="str" cm="1">
        <f t="array" aca="1" ref="AB7" ca="1">INDEX(_xlfn._xlws.FILTER(テーブル定義_一覧!$D$1:$U$501, テーブル定義_一覧!$D$1:$D$501=AB$1), AB$2, _xlfn.XMATCH($B7, テーブル定義_一覧!$D$1:$Z$1))&amp;""</f>
        <v/>
      </c>
      <c r="AC7" s="40" t="str" cm="1">
        <f t="array" aca="1" ref="AC7" ca="1">INDEX(_xlfn._xlws.FILTER(テーブル定義_一覧!$D$1:$U$501, テーブル定義_一覧!$D$1:$D$501=AC$1), AC$2, _xlfn.XMATCH($B7, テーブル定義_一覧!$D$1:$Z$1))&amp;""</f>
        <v/>
      </c>
      <c r="AD7" s="40" t="str" cm="1">
        <f t="array" aca="1" ref="AD7" ca="1">INDEX(_xlfn._xlws.FILTER(テーブル定義_一覧!$D$1:$U$501, テーブル定義_一覧!$D$1:$D$501=AD$1), AD$2, _xlfn.XMATCH($B7, テーブル定義_一覧!$D$1:$Z$1))&amp;""</f>
        <v/>
      </c>
      <c r="AE7" s="40" t="str" cm="1">
        <f t="array" aca="1" ref="AE7" ca="1">INDEX(_xlfn._xlws.FILTER(テーブル定義_一覧!$D$1:$U$501, テーブル定義_一覧!$D$1:$D$501=AE$1), AE$2, _xlfn.XMATCH($B7, テーブル定義_一覧!$D$1:$Z$1))&amp;""</f>
        <v/>
      </c>
      <c r="AF7" s="40" t="str" cm="1">
        <f t="array" aca="1" ref="AF7" ca="1">INDEX(_xlfn._xlws.FILTER(テーブル定義_一覧!$D$1:$U$501, テーブル定義_一覧!$D$1:$D$501=AF$1), AF$2, _xlfn.XMATCH($B7, テーブル定義_一覧!$D$1:$Z$1))&amp;""</f>
        <v/>
      </c>
      <c r="AG7" s="40" t="str" cm="1">
        <f t="array" aca="1" ref="AG7" ca="1">INDEX(_xlfn._xlws.FILTER(テーブル定義_一覧!$D$1:$U$501, テーブル定義_一覧!$D$1:$D$501=AG$1), AG$2, _xlfn.XMATCH($B7, テーブル定義_一覧!$D$1:$Z$1))&amp;""</f>
        <v/>
      </c>
      <c r="AH7" s="40" t="str" cm="1">
        <f t="array" aca="1" ref="AH7" ca="1">INDEX(_xlfn._xlws.FILTER(テーブル定義_一覧!$D$1:$U$501, テーブル定義_一覧!$D$1:$D$501=AH$1), AH$2, _xlfn.XMATCH($B7, テーブル定義_一覧!$D$1:$Z$1))&amp;""</f>
        <v/>
      </c>
      <c r="AI7" s="40" t="str" cm="1">
        <f t="array" aca="1" ref="AI7" ca="1">INDEX(_xlfn._xlws.FILTER(テーブル定義_一覧!$D$1:$U$501, テーブル定義_一覧!$D$1:$D$501=AI$1), AI$2, _xlfn.XMATCH($B7, テーブル定義_一覧!$D$1:$Z$1))&amp;""</f>
        <v/>
      </c>
      <c r="AJ7" s="40" t="str" cm="1">
        <f t="array" aca="1" ref="AJ7" ca="1">INDEX(_xlfn._xlws.FILTER(テーブル定義_一覧!$D$1:$U$501, テーブル定義_一覧!$D$1:$D$501=AJ$1), AJ$2, _xlfn.XMATCH($B7, テーブル定義_一覧!$D$1:$Z$1))&amp;""</f>
        <v/>
      </c>
      <c r="AK7" s="40" t="str" cm="1">
        <f t="array" aca="1" ref="AK7" ca="1">INDEX(_xlfn._xlws.FILTER(テーブル定義_一覧!$D$1:$U$501, テーブル定義_一覧!$D$1:$D$501=AK$1), AK$2, _xlfn.XMATCH($B7, テーブル定義_一覧!$D$1:$Z$1))&amp;""</f>
        <v/>
      </c>
      <c r="AL7" s="40" t="str" cm="1">
        <f t="array" aca="1" ref="AL7" ca="1">INDEX(_xlfn._xlws.FILTER(テーブル定義_一覧!$D$1:$U$501, テーブル定義_一覧!$D$1:$D$501=AL$1), AL$2, _xlfn.XMATCH($B7, テーブル定義_一覧!$D$1:$Z$1))&amp;""</f>
        <v/>
      </c>
      <c r="AM7" s="40" t="str" cm="1">
        <f t="array" aca="1" ref="AM7" ca="1">INDEX(_xlfn._xlws.FILTER(テーブル定義_一覧!$D$1:$U$501, テーブル定義_一覧!$D$1:$D$501=AM$1), AM$2, _xlfn.XMATCH($B7, テーブル定義_一覧!$D$1:$Z$1))&amp;""</f>
        <v/>
      </c>
      <c r="AN7" s="40" t="str" cm="1">
        <f t="array" aca="1" ref="AN7" ca="1">INDEX(_xlfn._xlws.FILTER(テーブル定義_一覧!$D$1:$U$501, テーブル定義_一覧!$D$1:$D$501=AN$1), AN$2, _xlfn.XMATCH($B7, テーブル定義_一覧!$D$1:$Z$1))&amp;""</f>
        <v/>
      </c>
      <c r="AO7" s="40" t="str" cm="1">
        <f t="array" aca="1" ref="AO7" ca="1">INDEX(_xlfn._xlws.FILTER(テーブル定義_一覧!$D$1:$U$501, テーブル定義_一覧!$D$1:$D$501=AO$1), AO$2, _xlfn.XMATCH($B7, テーブル定義_一覧!$D$1:$Z$1))&amp;""</f>
        <v/>
      </c>
      <c r="AP7" s="40" t="str" cm="1">
        <f t="array" aca="1" ref="AP7" ca="1">INDEX(_xlfn._xlws.FILTER(テーブル定義_一覧!$D$1:$U$501, テーブル定義_一覧!$D$1:$D$501=AP$1), AP$2, _xlfn.XMATCH($B7, テーブル定義_一覧!$D$1:$Z$1))&amp;""</f>
        <v/>
      </c>
      <c r="AQ7" s="40" t="str" cm="1">
        <f t="array" aca="1" ref="AQ7" ca="1">INDEX(_xlfn._xlws.FILTER(テーブル定義_一覧!$D$1:$U$501, テーブル定義_一覧!$D$1:$D$501=AQ$1), AQ$2, _xlfn.XMATCH($B7, テーブル定義_一覧!$D$1:$Z$1))&amp;""</f>
        <v/>
      </c>
      <c r="AR7" s="34" t="str" cm="1">
        <f t="array" aca="1" ref="AR7" ca="1">INDEX(_xlfn._xlws.FILTER(テーブル定義_一覧!$D$1:$U$501, テーブル定義_一覧!$D$1:$D$501=AR$1), AR$2, _xlfn.XMATCH($B7, テーブル定義_一覧!$D$1:$Z$1))&amp;""</f>
        <v/>
      </c>
    </row>
    <row r="8" spans="1:44" outlineLevel="2">
      <c r="A8" s="79"/>
      <c r="B8" s="28" t="s">
        <v>518</v>
      </c>
      <c r="C8" s="49" t="str" cm="1">
        <f t="array" aca="1" ref="C8" ca="1">INDEX(_xlfn._xlws.FILTER(テーブル定義_一覧!$D$1:$U$501, テーブル定義_一覧!$D$1:$D$501=C$1), C$2, _xlfn.XMATCH($B8, テーブル定義_一覧!$D$1:$Z$1))&amp;""</f>
        <v/>
      </c>
      <c r="D8" s="40" t="str" cm="1">
        <f t="array" aca="1" ref="D8" ca="1">INDEX(_xlfn._xlws.FILTER(テーブル定義_一覧!$D$1:$U$501, テーブル定義_一覧!$D$1:$D$501=D$1), D$2, _xlfn.XMATCH($B8, テーブル定義_一覧!$D$1:$Z$1))&amp;""</f>
        <v>language.language_sequence_id</v>
      </c>
      <c r="E8" s="40" t="str" cm="1">
        <f t="array" aca="1" ref="E8" ca="1">INDEX(_xlfn._xlws.FILTER(テーブル定義_一覧!$D$1:$U$501, テーブル定義_一覧!$D$1:$D$501=E$1), E$2, _xlfn.XMATCH($B8, テーブル定義_一覧!$D$1:$Z$1))&amp;""</f>
        <v/>
      </c>
      <c r="F8" s="40" t="str" cm="1">
        <f t="array" aca="1" ref="F8" ca="1">INDEX(_xlfn._xlws.FILTER(テーブル定義_一覧!$D$1:$U$501, テーブル定義_一覧!$D$1:$D$501=F$1), F$2, _xlfn.XMATCH($B8, テーブル定義_一覧!$D$1:$Z$1))&amp;""</f>
        <v/>
      </c>
      <c r="G8" s="40" t="str" cm="1">
        <f t="array" aca="1" ref="G8" ca="1">INDEX(_xlfn._xlws.FILTER(テーブル定義_一覧!$D$1:$U$501, テーブル定義_一覧!$D$1:$D$501=G$1), G$2, _xlfn.XMATCH($B8, テーブル定義_一覧!$D$1:$Z$1))&amp;""</f>
        <v/>
      </c>
      <c r="H8" s="40" t="str" cm="1">
        <f t="array" aca="1" ref="H8" ca="1">INDEX(_xlfn._xlws.FILTER(テーブル定義_一覧!$D$1:$U$501, テーブル定義_一覧!$D$1:$D$501=H$1), H$2, _xlfn.XMATCH($B8, テーブル定義_一覧!$D$1:$Z$1))&amp;""</f>
        <v/>
      </c>
      <c r="I8" s="40" t="str" cm="1">
        <f t="array" aca="1" ref="I8" ca="1">INDEX(_xlfn._xlws.FILTER(テーブル定義_一覧!$D$1:$U$501, テーブル定義_一覧!$D$1:$D$501=I$1), I$2, _xlfn.XMATCH($B8, テーブル定義_一覧!$D$1:$Z$1))&amp;""</f>
        <v/>
      </c>
      <c r="J8" s="40" t="str" cm="1">
        <f t="array" aca="1" ref="J8" ca="1">INDEX(_xlfn._xlws.FILTER(テーブル定義_一覧!$D$1:$U$501, テーブル定義_一覧!$D$1:$D$501=J$1), J$2, _xlfn.XMATCH($B8, テーブル定義_一覧!$D$1:$Z$1))&amp;""</f>
        <v/>
      </c>
      <c r="K8" s="40" t="str" cm="1">
        <f t="array" aca="1" ref="K8" ca="1">INDEX(_xlfn._xlws.FILTER(テーブル定義_一覧!$D$1:$U$501, テーブル定義_一覧!$D$1:$D$501=K$1), K$2, _xlfn.XMATCH($B8, テーブル定義_一覧!$D$1:$Z$1))&amp;""</f>
        <v/>
      </c>
      <c r="L8" s="40" t="str" cm="1">
        <f t="array" aca="1" ref="L8" ca="1">INDEX(_xlfn._xlws.FILTER(テーブル定義_一覧!$D$1:$U$501, テーブル定義_一覧!$D$1:$D$501=L$1), L$2, _xlfn.XMATCH($B8, テーブル定義_一覧!$D$1:$Z$1))&amp;""</f>
        <v>images_system.images_system_sequence_id</v>
      </c>
      <c r="M8" s="40" t="str" cm="1">
        <f t="array" aca="1" ref="M8" ca="1">INDEX(_xlfn._xlws.FILTER(テーブル定義_一覧!$D$1:$U$501, テーブル定義_一覧!$D$1:$D$501=M$1), M$2, _xlfn.XMATCH($B8, テーブル定義_一覧!$D$1:$Z$1))&amp;""</f>
        <v/>
      </c>
      <c r="N8" s="40" t="str" cm="1">
        <f t="array" aca="1" ref="N8" ca="1">INDEX(_xlfn._xlws.FILTER(テーブル定義_一覧!$D$1:$U$501, テーブル定義_一覧!$D$1:$D$501=N$1), N$2, _xlfn.XMATCH($B8, テーブル定義_一覧!$D$1:$Z$1))&amp;""</f>
        <v/>
      </c>
      <c r="O8" s="40" t="str" cm="1">
        <f t="array" aca="1" ref="O8" ca="1">INDEX(_xlfn._xlws.FILTER(テーブル定義_一覧!$D$1:$U$501, テーブル定義_一覧!$D$1:$D$501=O$1), O$2, _xlfn.XMATCH($B8, テーブル定義_一覧!$D$1:$Z$1))&amp;""</f>
        <v/>
      </c>
      <c r="P8" s="40" t="str" cm="1">
        <f t="array" aca="1" ref="P8" ca="1">INDEX(_xlfn._xlws.FILTER(テーブル定義_一覧!$D$1:$U$501, テーブル定義_一覧!$D$1:$D$501=P$1), P$2, _xlfn.XMATCH($B8, テーブル定義_一覧!$D$1:$Z$1))&amp;""</f>
        <v/>
      </c>
      <c r="Q8" s="40" t="str" cm="1">
        <f t="array" aca="1" ref="Q8" ca="1">INDEX(_xlfn._xlws.FILTER(テーブル定義_一覧!$D$1:$U$501, テーブル定義_一覧!$D$1:$D$501=Q$1), Q$2, _xlfn.XMATCH($B8, テーブル定義_一覧!$D$1:$Z$1))&amp;""</f>
        <v/>
      </c>
      <c r="R8" s="40" t="str" cm="1">
        <f t="array" aca="1" ref="R8" ca="1">INDEX(_xlfn._xlws.FILTER(テーブル定義_一覧!$D$1:$U$501, テーブル定義_一覧!$D$1:$D$501=R$1), R$2, _xlfn.XMATCH($B8, テーブル定義_一覧!$D$1:$Z$1))&amp;""</f>
        <v/>
      </c>
      <c r="S8" s="40" t="str" cm="1">
        <f t="array" aca="1" ref="S8" ca="1">INDEX(_xlfn._xlws.FILTER(テーブル定義_一覧!$D$1:$U$501, テーブル定義_一覧!$D$1:$D$501=S$1), S$2, _xlfn.XMATCH($B8, テーブル定義_一覧!$D$1:$Z$1))&amp;""</f>
        <v/>
      </c>
      <c r="T8" s="40" t="str" cm="1">
        <f t="array" aca="1" ref="T8" ca="1">INDEX(_xlfn._xlws.FILTER(テーブル定義_一覧!$D$1:$U$501, テーブル定義_一覧!$D$1:$D$501=T$1), T$2, _xlfn.XMATCH($B8, テーブル定義_一覧!$D$1:$Z$1))&amp;""</f>
        <v/>
      </c>
      <c r="U8" s="40" t="str" cm="1">
        <f t="array" aca="1" ref="U8" ca="1">INDEX(_xlfn._xlws.FILTER(テーブル定義_一覧!$D$1:$U$501, テーブル定義_一覧!$D$1:$D$501=U$1), U$2, _xlfn.XMATCH($B8, テーブル定義_一覧!$D$1:$Z$1))&amp;""</f>
        <v/>
      </c>
      <c r="V8" s="40" t="str" cm="1">
        <f t="array" aca="1" ref="V8" ca="1">INDEX(_xlfn._xlws.FILTER(テーブル定義_一覧!$D$1:$U$501, テーブル定義_一覧!$D$1:$D$501=V$1), V$2, _xlfn.XMATCH($B8, テーブル定義_一覧!$D$1:$Z$1))&amp;""</f>
        <v/>
      </c>
      <c r="W8" s="40" t="str" cm="1">
        <f t="array" aca="1" ref="W8" ca="1">INDEX(_xlfn._xlws.FILTER(テーブル定義_一覧!$D$1:$U$501, テーブル定義_一覧!$D$1:$D$501=W$1), W$2, _xlfn.XMATCH($B8, テーブル定義_一覧!$D$1:$Z$1))&amp;""</f>
        <v/>
      </c>
      <c r="X8" s="40" t="str" cm="1">
        <f t="array" aca="1" ref="X8" ca="1">INDEX(_xlfn._xlws.FILTER(テーブル定義_一覧!$D$1:$U$501, テーブル定義_一覧!$D$1:$D$501=X$1), X$2, _xlfn.XMATCH($B8, テーブル定義_一覧!$D$1:$Z$1))&amp;""</f>
        <v/>
      </c>
      <c r="Y8" s="40" t="str" cm="1">
        <f t="array" aca="1" ref="Y8" ca="1">INDEX(_xlfn._xlws.FILTER(テーブル定義_一覧!$D$1:$U$501, テーブル定義_一覧!$D$1:$D$501=Y$1), Y$2, _xlfn.XMATCH($B8, テーブル定義_一覧!$D$1:$Z$1))&amp;""</f>
        <v>images_system.images_system_sequence_id</v>
      </c>
      <c r="Z8" s="40" t="str" cm="1">
        <f t="array" aca="1" ref="Z8" ca="1">INDEX(_xlfn._xlws.FILTER(テーブル定義_一覧!$D$1:$U$501, テーブル定義_一覧!$D$1:$D$501=Z$1), Z$2, _xlfn.XMATCH($B8, テーブル定義_一覧!$D$1:$Z$1))&amp;""</f>
        <v/>
      </c>
      <c r="AA8" s="40" t="str" cm="1">
        <f t="array" aca="1" ref="AA8" ca="1">INDEX(_xlfn._xlws.FILTER(テーブル定義_一覧!$D$1:$U$501, テーブル定義_一覧!$D$1:$D$501=AA$1), AA$2, _xlfn.XMATCH($B8, テーブル定義_一覧!$D$1:$Z$1))&amp;""</f>
        <v/>
      </c>
      <c r="AB8" s="40" t="str" cm="1">
        <f t="array" aca="1" ref="AB8" ca="1">INDEX(_xlfn._xlws.FILTER(テーブル定義_一覧!$D$1:$U$501, テーブル定義_一覧!$D$1:$D$501=AB$1), AB$2, _xlfn.XMATCH($B8, テーブル定義_一覧!$D$1:$Z$1))&amp;""</f>
        <v/>
      </c>
      <c r="AC8" s="40" t="str" cm="1">
        <f t="array" aca="1" ref="AC8" ca="1">INDEX(_xlfn._xlws.FILTER(テーブル定義_一覧!$D$1:$U$501, テーブル定義_一覧!$D$1:$D$501=AC$1), AC$2, _xlfn.XMATCH($B8, テーブル定義_一覧!$D$1:$Z$1))&amp;""</f>
        <v/>
      </c>
      <c r="AD8" s="40" t="str" cm="1">
        <f t="array" aca="1" ref="AD8" ca="1">INDEX(_xlfn._xlws.FILTER(テーブル定義_一覧!$D$1:$U$501, テーブル定義_一覧!$D$1:$D$501=AD$1), AD$2, _xlfn.XMATCH($B8, テーブル定義_一覧!$D$1:$Z$1))&amp;""</f>
        <v/>
      </c>
      <c r="AE8" s="40" t="str" cm="1">
        <f t="array" aca="1" ref="AE8" ca="1">INDEX(_xlfn._xlws.FILTER(テーブル定義_一覧!$D$1:$U$501, テーブル定義_一覧!$D$1:$D$501=AE$1), AE$2, _xlfn.XMATCH($B8, テーブル定義_一覧!$D$1:$Z$1))&amp;""</f>
        <v/>
      </c>
      <c r="AF8" s="40" t="str" cm="1">
        <f t="array" aca="1" ref="AF8" ca="1">INDEX(_xlfn._xlws.FILTER(テーブル定義_一覧!$D$1:$U$501, テーブル定義_一覧!$D$1:$D$501=AF$1), AF$2, _xlfn.XMATCH($B8, テーブル定義_一覧!$D$1:$Z$1))&amp;""</f>
        <v/>
      </c>
      <c r="AG8" s="40" t="str" cm="1">
        <f t="array" aca="1" ref="AG8" ca="1">INDEX(_xlfn._xlws.FILTER(テーブル定義_一覧!$D$1:$U$501, テーブル定義_一覧!$D$1:$D$501=AG$1), AG$2, _xlfn.XMATCH($B8, テーブル定義_一覧!$D$1:$Z$1))&amp;""</f>
        <v/>
      </c>
      <c r="AH8" s="40" t="str" cm="1">
        <f t="array" aca="1" ref="AH8" ca="1">INDEX(_xlfn._xlws.FILTER(テーブル定義_一覧!$D$1:$U$501, テーブル定義_一覧!$D$1:$D$501=AH$1), AH$2, _xlfn.XMATCH($B8, テーブル定義_一覧!$D$1:$Z$1))&amp;""</f>
        <v/>
      </c>
      <c r="AI8" s="40" t="str" cm="1">
        <f t="array" aca="1" ref="AI8" ca="1">INDEX(_xlfn._xlws.FILTER(テーブル定義_一覧!$D$1:$U$501, テーブル定義_一覧!$D$1:$D$501=AI$1), AI$2, _xlfn.XMATCH($B8, テーブル定義_一覧!$D$1:$Z$1))&amp;""</f>
        <v/>
      </c>
      <c r="AJ8" s="40" t="str" cm="1">
        <f t="array" aca="1" ref="AJ8" ca="1">INDEX(_xlfn._xlws.FILTER(テーブル定義_一覧!$D$1:$U$501, テーブル定義_一覧!$D$1:$D$501=AJ$1), AJ$2, _xlfn.XMATCH($B8, テーブル定義_一覧!$D$1:$Z$1))&amp;""</f>
        <v/>
      </c>
      <c r="AK8" s="40" t="str" cm="1">
        <f t="array" aca="1" ref="AK8" ca="1">INDEX(_xlfn._xlws.FILTER(テーブル定義_一覧!$D$1:$U$501, テーブル定義_一覧!$D$1:$D$501=AK$1), AK$2, _xlfn.XMATCH($B8, テーブル定義_一覧!$D$1:$Z$1))&amp;""</f>
        <v/>
      </c>
      <c r="AL8" s="40" t="str" cm="1">
        <f t="array" aca="1" ref="AL8" ca="1">INDEX(_xlfn._xlws.FILTER(テーブル定義_一覧!$D$1:$U$501, テーブル定義_一覧!$D$1:$D$501=AL$1), AL$2, _xlfn.XMATCH($B8, テーブル定義_一覧!$D$1:$Z$1))&amp;""</f>
        <v/>
      </c>
      <c r="AM8" s="40" t="str" cm="1">
        <f t="array" aca="1" ref="AM8" ca="1">INDEX(_xlfn._xlws.FILTER(テーブル定義_一覧!$D$1:$U$501, テーブル定義_一覧!$D$1:$D$501=AM$1), AM$2, _xlfn.XMATCH($B8, テーブル定義_一覧!$D$1:$Z$1))&amp;""</f>
        <v/>
      </c>
      <c r="AN8" s="40" t="str" cm="1">
        <f t="array" aca="1" ref="AN8" ca="1">INDEX(_xlfn._xlws.FILTER(テーブル定義_一覧!$D$1:$U$501, テーブル定義_一覧!$D$1:$D$501=AN$1), AN$2, _xlfn.XMATCH($B8, テーブル定義_一覧!$D$1:$Z$1))&amp;""</f>
        <v/>
      </c>
      <c r="AO8" s="40" t="str" cm="1">
        <f t="array" aca="1" ref="AO8" ca="1">INDEX(_xlfn._xlws.FILTER(テーブル定義_一覧!$D$1:$U$501, テーブル定義_一覧!$D$1:$D$501=AO$1), AO$2, _xlfn.XMATCH($B8, テーブル定義_一覧!$D$1:$Z$1))&amp;""</f>
        <v/>
      </c>
      <c r="AP8" s="40" t="str" cm="1">
        <f t="array" aca="1" ref="AP8" ca="1">INDEX(_xlfn._xlws.FILTER(テーブル定義_一覧!$D$1:$U$501, テーブル定義_一覧!$D$1:$D$501=AP$1), AP$2, _xlfn.XMATCH($B8, テーブル定義_一覧!$D$1:$Z$1))&amp;""</f>
        <v/>
      </c>
      <c r="AQ8" s="40" t="str" cm="1">
        <f t="array" aca="1" ref="AQ8" ca="1">INDEX(_xlfn._xlws.FILTER(テーブル定義_一覧!$D$1:$U$501, テーブル定義_一覧!$D$1:$D$501=AQ$1), AQ$2, _xlfn.XMATCH($B8, テーブル定義_一覧!$D$1:$Z$1))&amp;""</f>
        <v/>
      </c>
      <c r="AR8" s="34" t="str" cm="1">
        <f t="array" aca="1" ref="AR8" ca="1">INDEX(_xlfn._xlws.FILTER(テーブル定義_一覧!$D$1:$U$501, テーブル定義_一覧!$D$1:$D$501=AR$1), AR$2, _xlfn.XMATCH($B8, テーブル定義_一覧!$D$1:$Z$1))&amp;""</f>
        <v/>
      </c>
    </row>
    <row r="9" spans="1:44" outlineLevel="2">
      <c r="A9" s="79"/>
      <c r="B9" s="30" t="s">
        <v>40</v>
      </c>
      <c r="C9" s="49" t="str" cm="1">
        <f t="array" aca="1" ref="C9" ca="1">INDEX(_xlfn._xlws.FILTER(テーブル定義_一覧!$D$1:$U$501, テーブル定義_一覧!$D$1:$D$501=C$1), C$2, _xlfn.XMATCH($B9, テーブル定義_一覧!$D$1:$Z$1))&amp;""</f>
        <v>x(PK制約)</v>
      </c>
      <c r="D9" s="40" t="str" cm="1">
        <f t="array" aca="1" ref="D9" ca="1">INDEX(_xlfn._xlws.FILTER(テーブル定義_一覧!$D$1:$U$501, テーブル定義_一覧!$D$1:$D$501=D$1), D$2, _xlfn.XMATCH($B9, テーブル定義_一覧!$D$1:$Z$1))&amp;""</f>
        <v/>
      </c>
      <c r="E9" s="40" t="str" cm="1">
        <f t="array" aca="1" ref="E9" ca="1">INDEX(_xlfn._xlws.FILTER(テーブル定義_一覧!$D$1:$U$501, テーブル定義_一覧!$D$1:$D$501=E$1), E$2, _xlfn.XMATCH($B9, テーブル定義_一覧!$D$1:$Z$1))&amp;""</f>
        <v>x</v>
      </c>
      <c r="F9" s="40" t="str" cm="1">
        <f t="array" aca="1" ref="F9" ca="1">INDEX(_xlfn._xlws.FILTER(テーブル定義_一覧!$D$1:$U$501, テーブル定義_一覧!$D$1:$D$501=F$1), F$2, _xlfn.XMATCH($B9, テーブル定義_一覧!$D$1:$Z$1))&amp;""</f>
        <v/>
      </c>
      <c r="G9" s="40" t="str" cm="1">
        <f t="array" aca="1" ref="G9" ca="1">INDEX(_xlfn._xlws.FILTER(テーブル定義_一覧!$D$1:$U$501, テーブル定義_一覧!$D$1:$D$501=G$1), G$2, _xlfn.XMATCH($B9, テーブル定義_一覧!$D$1:$Z$1))&amp;""</f>
        <v/>
      </c>
      <c r="H9" s="40" t="str" cm="1">
        <f t="array" aca="1" ref="H9" ca="1">INDEX(_xlfn._xlws.FILTER(テーブル定義_一覧!$D$1:$U$501, テーブル定義_一覧!$D$1:$D$501=H$1), H$2, _xlfn.XMATCH($B9, テーブル定義_一覧!$D$1:$Z$1))&amp;""</f>
        <v>x(PK制約)</v>
      </c>
      <c r="I9" s="40" t="str" cm="1">
        <f t="array" aca="1" ref="I9" ca="1">INDEX(_xlfn._xlws.FILTER(テーブル定義_一覧!$D$1:$U$501, テーブル定義_一覧!$D$1:$D$501=I$1), I$2, _xlfn.XMATCH($B9, テーブル定義_一覧!$D$1:$Z$1))&amp;""</f>
        <v>x</v>
      </c>
      <c r="J9" s="40" t="str" cm="1">
        <f t="array" aca="1" ref="J9" ca="1">INDEX(_xlfn._xlws.FILTER(テーブル定義_一覧!$D$1:$U$501, テーブル定義_一覧!$D$1:$D$501=J$1), J$2, _xlfn.XMATCH($B9, テーブル定義_一覧!$D$1:$Z$1))&amp;""</f>
        <v>x(PK制約)</v>
      </c>
      <c r="K9" s="40" t="str" cm="1">
        <f t="array" aca="1" ref="K9" ca="1">INDEX(_xlfn._xlws.FILTER(テーブル定義_一覧!$D$1:$U$501, テーブル定義_一覧!$D$1:$D$501=K$1), K$2, _xlfn.XMATCH($B9, テーブル定義_一覧!$D$1:$Z$1))&amp;""</f>
        <v>x</v>
      </c>
      <c r="L9" s="40" t="str" cm="1">
        <f t="array" aca="1" ref="L9" ca="1">INDEX(_xlfn._xlws.FILTER(テーブル定義_一覧!$D$1:$U$501, テーブル定義_一覧!$D$1:$D$501=L$1), L$2, _xlfn.XMATCH($B9, テーブル定義_一覧!$D$1:$Z$1))&amp;""</f>
        <v/>
      </c>
      <c r="M9" s="40" t="str" cm="1">
        <f t="array" aca="1" ref="M9" ca="1">INDEX(_xlfn._xlws.FILTER(テーブル定義_一覧!$D$1:$U$501, テーブル定義_一覧!$D$1:$D$501=M$1), M$2, _xlfn.XMATCH($B9, テーブル定義_一覧!$D$1:$Z$1))&amp;""</f>
        <v>x</v>
      </c>
      <c r="N9" s="40" t="str" cm="1">
        <f t="array" aca="1" ref="N9" ca="1">INDEX(_xlfn._xlws.FILTER(テーブル定義_一覧!$D$1:$U$501, テーブル定義_一覧!$D$1:$D$501=N$1), N$2, _xlfn.XMATCH($B9, テーブル定義_一覧!$D$1:$Z$1))&amp;""</f>
        <v>x(PK制約)</v>
      </c>
      <c r="O9" s="40" t="str" cm="1">
        <f t="array" aca="1" ref="O9" ca="1">INDEX(_xlfn._xlws.FILTER(テーブル定義_一覧!$D$1:$U$501, テーブル定義_一覧!$D$1:$D$501=O$1), O$2, _xlfn.XMATCH($B9, テーブル定義_一覧!$D$1:$Z$1))&amp;""</f>
        <v>x</v>
      </c>
      <c r="P9" s="40" t="str" cm="1">
        <f t="array" aca="1" ref="P9" ca="1">INDEX(_xlfn._xlws.FILTER(テーブル定義_一覧!$D$1:$U$501, テーブル定義_一覧!$D$1:$D$501=P$1), P$2, _xlfn.XMATCH($B9, テーブル定義_一覧!$D$1:$Z$1))&amp;""</f>
        <v>x</v>
      </c>
      <c r="Q9" s="40" t="str" cm="1">
        <f t="array" aca="1" ref="Q9" ca="1">INDEX(_xlfn._xlws.FILTER(テーブル定義_一覧!$D$1:$U$501, テーブル定義_一覧!$D$1:$D$501=Q$1), Q$2, _xlfn.XMATCH($B9, テーブル定義_一覧!$D$1:$Z$1))&amp;""</f>
        <v>x(PK制約)</v>
      </c>
      <c r="R9" s="40" t="str" cm="1">
        <f t="array" aca="1" ref="R9" ca="1">INDEX(_xlfn._xlws.FILTER(テーブル定義_一覧!$D$1:$U$501, テーブル定義_一覧!$D$1:$D$501=R$1), R$2, _xlfn.XMATCH($B9, テーブル定義_一覧!$D$1:$Z$1))&amp;""</f>
        <v>x</v>
      </c>
      <c r="S9" s="40" t="str" cm="1">
        <f t="array" aca="1" ref="S9" ca="1">INDEX(_xlfn._xlws.FILTER(テーブル定義_一覧!$D$1:$U$501, テーブル定義_一覧!$D$1:$D$501=S$1), S$2, _xlfn.XMATCH($B9, テーブル定義_一覧!$D$1:$Z$1))&amp;""</f>
        <v/>
      </c>
      <c r="T9" s="40" t="str" cm="1">
        <f t="array" aca="1" ref="T9" ca="1">INDEX(_xlfn._xlws.FILTER(テーブル定義_一覧!$D$1:$U$501, テーブル定義_一覧!$D$1:$D$501=T$1), T$2, _xlfn.XMATCH($B9, テーブル定義_一覧!$D$1:$Z$1))&amp;""</f>
        <v>x(PK制約)</v>
      </c>
      <c r="U9" s="40" t="str" cm="1">
        <f t="array" aca="1" ref="U9" ca="1">INDEX(_xlfn._xlws.FILTER(テーブル定義_一覧!$D$1:$U$501, テーブル定義_一覧!$D$1:$D$501=U$1), U$2, _xlfn.XMATCH($B9, テーブル定義_一覧!$D$1:$Z$1))&amp;""</f>
        <v>x</v>
      </c>
      <c r="V9" s="40" t="str" cm="1">
        <f t="array" aca="1" ref="V9" ca="1">INDEX(_xlfn._xlws.FILTER(テーブル定義_一覧!$D$1:$U$501, テーブル定義_一覧!$D$1:$D$501=V$1), V$2, _xlfn.XMATCH($B9, テーブル定義_一覧!$D$1:$Z$1))&amp;""</f>
        <v/>
      </c>
      <c r="W9" s="40" t="str" cm="1">
        <f t="array" aca="1" ref="W9" ca="1">INDEX(_xlfn._xlws.FILTER(テーブル定義_一覧!$D$1:$U$501, テーブル定義_一覧!$D$1:$D$501=W$1), W$2, _xlfn.XMATCH($B9, テーブル定義_一覧!$D$1:$Z$1))&amp;""</f>
        <v>x(PK制約)</v>
      </c>
      <c r="X9" s="40" t="str" cm="1">
        <f t="array" aca="1" ref="X9" ca="1">INDEX(_xlfn._xlws.FILTER(テーブル定義_一覧!$D$1:$U$501, テーブル定義_一覧!$D$1:$D$501=X$1), X$2, _xlfn.XMATCH($B9, テーブル定義_一覧!$D$1:$Z$1))&amp;""</f>
        <v>x</v>
      </c>
      <c r="Y9" s="40" t="str" cm="1">
        <f t="array" aca="1" ref="Y9" ca="1">INDEX(_xlfn._xlws.FILTER(テーブル定義_一覧!$D$1:$U$501, テーブル定義_一覧!$D$1:$D$501=Y$1), Y$2, _xlfn.XMATCH($B9, テーブル定義_一覧!$D$1:$Z$1))&amp;""</f>
        <v>x</v>
      </c>
      <c r="Z9" s="40" t="str" cm="1">
        <f t="array" aca="1" ref="Z9" ca="1">INDEX(_xlfn._xlws.FILTER(テーブル定義_一覧!$D$1:$U$501, テーブル定義_一覧!$D$1:$D$501=Z$1), Z$2, _xlfn.XMATCH($B9, テーブル定義_一覧!$D$1:$Z$1))&amp;""</f>
        <v>x</v>
      </c>
      <c r="AA9" s="40" t="str" cm="1">
        <f t="array" aca="1" ref="AA9" ca="1">INDEX(_xlfn._xlws.FILTER(テーブル定義_一覧!$D$1:$U$501, テーブル定義_一覧!$D$1:$D$501=AA$1), AA$2, _xlfn.XMATCH($B9, テーブル定義_一覧!$D$1:$Z$1))&amp;""</f>
        <v>x</v>
      </c>
      <c r="AB9" s="40" t="str" cm="1">
        <f t="array" aca="1" ref="AB9" ca="1">INDEX(_xlfn._xlws.FILTER(テーブル定義_一覧!$D$1:$U$501, テーブル定義_一覧!$D$1:$D$501=AB$1), AB$2, _xlfn.XMATCH($B9, テーブル定義_一覧!$D$1:$Z$1))&amp;""</f>
        <v>x(PK制約)</v>
      </c>
      <c r="AC9" s="40" t="str" cm="1">
        <f t="array" aca="1" ref="AC9" ca="1">INDEX(_xlfn._xlws.FILTER(テーブル定義_一覧!$D$1:$U$501, テーブル定義_一覧!$D$1:$D$501=AC$1), AC$2, _xlfn.XMATCH($B9, テーブル定義_一覧!$D$1:$Z$1))&amp;""</f>
        <v>x</v>
      </c>
      <c r="AD9" s="40" t="str" cm="1">
        <f t="array" aca="1" ref="AD9" ca="1">INDEX(_xlfn._xlws.FILTER(テーブル定義_一覧!$D$1:$U$501, テーブル定義_一覧!$D$1:$D$501=AD$1), AD$2, _xlfn.XMATCH($B9, テーブル定義_一覧!$D$1:$Z$1))&amp;""</f>
        <v>x(PK制約)</v>
      </c>
      <c r="AE9" s="40" t="str" cm="1">
        <f t="array" aca="1" ref="AE9" ca="1">INDEX(_xlfn._xlws.FILTER(テーブル定義_一覧!$D$1:$U$501, テーブル定義_一覧!$D$1:$D$501=AE$1), AE$2, _xlfn.XMATCH($B9, テーブル定義_一覧!$D$1:$Z$1))&amp;""</f>
        <v>x</v>
      </c>
      <c r="AF9" s="40" t="str" cm="1">
        <f t="array" aca="1" ref="AF9" ca="1">INDEX(_xlfn._xlws.FILTER(テーブル定義_一覧!$D$1:$U$501, テーブル定義_一覧!$D$1:$D$501=AF$1), AF$2, _xlfn.XMATCH($B9, テーブル定義_一覧!$D$1:$Z$1))&amp;""</f>
        <v>x(PK制約)</v>
      </c>
      <c r="AG9" s="40" t="str" cm="1">
        <f t="array" aca="1" ref="AG9" ca="1">INDEX(_xlfn._xlws.FILTER(テーブル定義_一覧!$D$1:$U$501, テーブル定義_一覧!$D$1:$D$501=AG$1), AG$2, _xlfn.XMATCH($B9, テーブル定義_一覧!$D$1:$Z$1))&amp;""</f>
        <v>x</v>
      </c>
      <c r="AH9" s="40" t="str" cm="1">
        <f t="array" aca="1" ref="AH9" ca="1">INDEX(_xlfn._xlws.FILTER(テーブル定義_一覧!$D$1:$U$501, テーブル定義_一覧!$D$1:$D$501=AH$1), AH$2, _xlfn.XMATCH($B9, テーブル定義_一覧!$D$1:$Z$1))&amp;""</f>
        <v>x(PK制約)</v>
      </c>
      <c r="AI9" s="40" t="str" cm="1">
        <f t="array" aca="1" ref="AI9" ca="1">INDEX(_xlfn._xlws.FILTER(テーブル定義_一覧!$D$1:$U$501, テーブル定義_一覧!$D$1:$D$501=AI$1), AI$2, _xlfn.XMATCH($B9, テーブル定義_一覧!$D$1:$Z$1))&amp;""</f>
        <v>x</v>
      </c>
      <c r="AJ9" s="40" t="str" cm="1">
        <f t="array" aca="1" ref="AJ9" ca="1">INDEX(_xlfn._xlws.FILTER(テーブル定義_一覧!$D$1:$U$501, テーブル定義_一覧!$D$1:$D$501=AJ$1), AJ$2, _xlfn.XMATCH($B9, テーブル定義_一覧!$D$1:$Z$1))&amp;""</f>
        <v>x</v>
      </c>
      <c r="AK9" s="40" t="str" cm="1">
        <f t="array" aca="1" ref="AK9" ca="1">INDEX(_xlfn._xlws.FILTER(テーブル定義_一覧!$D$1:$U$501, テーブル定義_一覧!$D$1:$D$501=AK$1), AK$2, _xlfn.XMATCH($B9, テーブル定義_一覧!$D$1:$Z$1))&amp;""</f>
        <v/>
      </c>
      <c r="AL9" s="40" t="str" cm="1">
        <f t="array" aca="1" ref="AL9" ca="1">INDEX(_xlfn._xlws.FILTER(テーブル定義_一覧!$D$1:$U$501, テーブル定義_一覧!$D$1:$D$501=AL$1), AL$2, _xlfn.XMATCH($B9, テーブル定義_一覧!$D$1:$Z$1))&amp;""</f>
        <v/>
      </c>
      <c r="AM9" s="40" t="str" cm="1">
        <f t="array" aca="1" ref="AM9" ca="1">INDEX(_xlfn._xlws.FILTER(テーブル定義_一覧!$D$1:$U$501, テーブル定義_一覧!$D$1:$D$501=AM$1), AM$2, _xlfn.XMATCH($B9, テーブル定義_一覧!$D$1:$Z$1))&amp;""</f>
        <v/>
      </c>
      <c r="AN9" s="40" t="str" cm="1">
        <f t="array" aca="1" ref="AN9" ca="1">INDEX(_xlfn._xlws.FILTER(テーブル定義_一覧!$D$1:$U$501, テーブル定義_一覧!$D$1:$D$501=AN$1), AN$2, _xlfn.XMATCH($B9, テーブル定義_一覧!$D$1:$Z$1))&amp;""</f>
        <v/>
      </c>
      <c r="AO9" s="40" t="str" cm="1">
        <f t="array" aca="1" ref="AO9" ca="1">INDEX(_xlfn._xlws.FILTER(テーブル定義_一覧!$D$1:$U$501, テーブル定義_一覧!$D$1:$D$501=AO$1), AO$2, _xlfn.XMATCH($B9, テーブル定義_一覧!$D$1:$Z$1))&amp;""</f>
        <v/>
      </c>
      <c r="AP9" s="40" t="str" cm="1">
        <f t="array" aca="1" ref="AP9" ca="1">INDEX(_xlfn._xlws.FILTER(テーブル定義_一覧!$D$1:$U$501, テーブル定義_一覧!$D$1:$D$501=AP$1), AP$2, _xlfn.XMATCH($B9, テーブル定義_一覧!$D$1:$Z$1))&amp;""</f>
        <v/>
      </c>
      <c r="AQ9" s="40" t="str" cm="1">
        <f t="array" aca="1" ref="AQ9" ca="1">INDEX(_xlfn._xlws.FILTER(テーブル定義_一覧!$D$1:$U$501, テーブル定義_一覧!$D$1:$D$501=AQ$1), AQ$2, _xlfn.XMATCH($B9, テーブル定義_一覧!$D$1:$Z$1))&amp;""</f>
        <v>x(PK制約)</v>
      </c>
      <c r="AR9" s="34" t="str" cm="1">
        <f t="array" aca="1" ref="AR9" ca="1">INDEX(_xlfn._xlws.FILTER(テーブル定義_一覧!$D$1:$U$501, テーブル定義_一覧!$D$1:$D$501=AR$1), AR$2, _xlfn.XMATCH($B9, テーブル定義_一覧!$D$1:$Z$1))&amp;""</f>
        <v>x</v>
      </c>
    </row>
    <row r="10" spans="1:44" outlineLevel="2">
      <c r="A10" s="79"/>
      <c r="B10" s="30" t="s">
        <v>41</v>
      </c>
      <c r="C10" s="49" t="str" cm="1">
        <f t="array" aca="1" ref="C10" ca="1">INDEX(_xlfn._xlws.FILTER(テーブル定義_一覧!$D$1:$U$501, テーブル定義_一覧!$D$1:$D$501=C$1), C$2, _xlfn.XMATCH($B10, テーブル定義_一覧!$D$1:$Z$1))&amp;""</f>
        <v>x(PK制約)</v>
      </c>
      <c r="D10" s="40" t="str" cm="1">
        <f t="array" aca="1" ref="D10" ca="1">INDEX(_xlfn._xlws.FILTER(テーブル定義_一覧!$D$1:$U$501, テーブル定義_一覧!$D$1:$D$501=D$1), D$2, _xlfn.XMATCH($B10, テーブル定義_一覧!$D$1:$Z$1))&amp;""</f>
        <v/>
      </c>
      <c r="E10" s="40" t="str" cm="1">
        <f t="array" aca="1" ref="E10" ca="1">INDEX(_xlfn._xlws.FILTER(テーブル定義_一覧!$D$1:$U$501, テーブル定義_一覧!$D$1:$D$501=E$1), E$2, _xlfn.XMATCH($B10, テーブル定義_一覧!$D$1:$Z$1))&amp;""</f>
        <v/>
      </c>
      <c r="F10" s="40" t="str" cm="1">
        <f t="array" aca="1" ref="F10" ca="1">INDEX(_xlfn._xlws.FILTER(テーブル定義_一覧!$D$1:$U$501, テーブル定義_一覧!$D$1:$D$501=F$1), F$2, _xlfn.XMATCH($B10, テーブル定義_一覧!$D$1:$Z$1))&amp;""</f>
        <v/>
      </c>
      <c r="G10" s="40" t="str" cm="1">
        <f t="array" aca="1" ref="G10" ca="1">INDEX(_xlfn._xlws.FILTER(テーブル定義_一覧!$D$1:$U$501, テーブル定義_一覧!$D$1:$D$501=G$1), G$2, _xlfn.XMATCH($B10, テーブル定義_一覧!$D$1:$Z$1))&amp;""</f>
        <v/>
      </c>
      <c r="H10" s="40" t="str" cm="1">
        <f t="array" aca="1" ref="H10" ca="1">INDEX(_xlfn._xlws.FILTER(テーブル定義_一覧!$D$1:$U$501, テーブル定義_一覧!$D$1:$D$501=H$1), H$2, _xlfn.XMATCH($B10, テーブル定義_一覧!$D$1:$Z$1))&amp;""</f>
        <v>x(PK制約)</v>
      </c>
      <c r="I10" s="40" t="str" cm="1">
        <f t="array" aca="1" ref="I10" ca="1">INDEX(_xlfn._xlws.FILTER(テーブル定義_一覧!$D$1:$U$501, テーブル定義_一覧!$D$1:$D$501=I$1), I$2, _xlfn.XMATCH($B10, テーブル定義_一覧!$D$1:$Z$1))&amp;""</f>
        <v>x</v>
      </c>
      <c r="J10" s="40" t="str" cm="1">
        <f t="array" aca="1" ref="J10" ca="1">INDEX(_xlfn._xlws.FILTER(テーブル定義_一覧!$D$1:$U$501, テーブル定義_一覧!$D$1:$D$501=J$1), J$2, _xlfn.XMATCH($B10, テーブル定義_一覧!$D$1:$Z$1))&amp;""</f>
        <v>x(PK制約)</v>
      </c>
      <c r="K10" s="40" t="str" cm="1">
        <f t="array" aca="1" ref="K10" ca="1">INDEX(_xlfn._xlws.FILTER(テーブル定義_一覧!$D$1:$U$501, テーブル定義_一覧!$D$1:$D$501=K$1), K$2, _xlfn.XMATCH($B10, テーブル定義_一覧!$D$1:$Z$1))&amp;""</f>
        <v>x</v>
      </c>
      <c r="L10" s="40" t="str" cm="1">
        <f t="array" aca="1" ref="L10" ca="1">INDEX(_xlfn._xlws.FILTER(テーブル定義_一覧!$D$1:$U$501, テーブル定義_一覧!$D$1:$D$501=L$1), L$2, _xlfn.XMATCH($B10, テーブル定義_一覧!$D$1:$Z$1))&amp;""</f>
        <v/>
      </c>
      <c r="M10" s="40" t="str" cm="1">
        <f t="array" aca="1" ref="M10" ca="1">INDEX(_xlfn._xlws.FILTER(テーブル定義_一覧!$D$1:$U$501, テーブル定義_一覧!$D$1:$D$501=M$1), M$2, _xlfn.XMATCH($B10, テーブル定義_一覧!$D$1:$Z$1))&amp;""</f>
        <v/>
      </c>
      <c r="N10" s="40" t="str" cm="1">
        <f t="array" aca="1" ref="N10" ca="1">INDEX(_xlfn._xlws.FILTER(テーブル定義_一覧!$D$1:$U$501, テーブル定義_一覧!$D$1:$D$501=N$1), N$2, _xlfn.XMATCH($B10, テーブル定義_一覧!$D$1:$Z$1))&amp;""</f>
        <v>x(PK制約)</v>
      </c>
      <c r="O10" s="40" t="str" cm="1">
        <f t="array" aca="1" ref="O10" ca="1">INDEX(_xlfn._xlws.FILTER(テーブル定義_一覧!$D$1:$U$501, テーブル定義_一覧!$D$1:$D$501=O$1), O$2, _xlfn.XMATCH($B10, テーブル定義_一覧!$D$1:$Z$1))&amp;""</f>
        <v>x</v>
      </c>
      <c r="P10" s="40" t="str" cm="1">
        <f t="array" aca="1" ref="P10" ca="1">INDEX(_xlfn._xlws.FILTER(テーブル定義_一覧!$D$1:$U$501, テーブル定義_一覧!$D$1:$D$501=P$1), P$2, _xlfn.XMATCH($B10, テーブル定義_一覧!$D$1:$Z$1))&amp;""</f>
        <v/>
      </c>
      <c r="Q10" s="40" t="str" cm="1">
        <f t="array" aca="1" ref="Q10" ca="1">INDEX(_xlfn._xlws.FILTER(テーブル定義_一覧!$D$1:$U$501, テーブル定義_一覧!$D$1:$D$501=Q$1), Q$2, _xlfn.XMATCH($B10, テーブル定義_一覧!$D$1:$Z$1))&amp;""</f>
        <v>x(PK制約)</v>
      </c>
      <c r="R10" s="40" t="str" cm="1">
        <f t="array" aca="1" ref="R10" ca="1">INDEX(_xlfn._xlws.FILTER(テーブル定義_一覧!$D$1:$U$501, テーブル定義_一覧!$D$1:$D$501=R$1), R$2, _xlfn.XMATCH($B10, テーブル定義_一覧!$D$1:$Z$1))&amp;""</f>
        <v>x</v>
      </c>
      <c r="S10" s="40" t="str" cm="1">
        <f t="array" aca="1" ref="S10" ca="1">INDEX(_xlfn._xlws.FILTER(テーブル定義_一覧!$D$1:$U$501, テーブル定義_一覧!$D$1:$D$501=S$1), S$2, _xlfn.XMATCH($B10, テーブル定義_一覧!$D$1:$Z$1))&amp;""</f>
        <v/>
      </c>
      <c r="T10" s="40" t="str" cm="1">
        <f t="array" aca="1" ref="T10" ca="1">INDEX(_xlfn._xlws.FILTER(テーブル定義_一覧!$D$1:$U$501, テーブル定義_一覧!$D$1:$D$501=T$1), T$2, _xlfn.XMATCH($B10, テーブル定義_一覧!$D$1:$Z$1))&amp;""</f>
        <v>x(PK制約)</v>
      </c>
      <c r="U10" s="40" t="str" cm="1">
        <f t="array" aca="1" ref="U10" ca="1">INDEX(_xlfn._xlws.FILTER(テーブル定義_一覧!$D$1:$U$501, テーブル定義_一覧!$D$1:$D$501=U$1), U$2, _xlfn.XMATCH($B10, テーブル定義_一覧!$D$1:$Z$1))&amp;""</f>
        <v>x</v>
      </c>
      <c r="V10" s="40" t="str" cm="1">
        <f t="array" aca="1" ref="V10" ca="1">INDEX(_xlfn._xlws.FILTER(テーブル定義_一覧!$D$1:$U$501, テーブル定義_一覧!$D$1:$D$501=V$1), V$2, _xlfn.XMATCH($B10, テーブル定義_一覧!$D$1:$Z$1))&amp;""</f>
        <v/>
      </c>
      <c r="W10" s="40" t="str" cm="1">
        <f t="array" aca="1" ref="W10" ca="1">INDEX(_xlfn._xlws.FILTER(テーブル定義_一覧!$D$1:$U$501, テーブル定義_一覧!$D$1:$D$501=W$1), W$2, _xlfn.XMATCH($B10, テーブル定義_一覧!$D$1:$Z$1))&amp;""</f>
        <v>x(PK制約)</v>
      </c>
      <c r="X10" s="40" t="str" cm="1">
        <f t="array" aca="1" ref="X10" ca="1">INDEX(_xlfn._xlws.FILTER(テーブル定義_一覧!$D$1:$U$501, テーブル定義_一覧!$D$1:$D$501=X$1), X$2, _xlfn.XMATCH($B10, テーブル定義_一覧!$D$1:$Z$1))&amp;""</f>
        <v>x</v>
      </c>
      <c r="Y10" s="40" t="str" cm="1">
        <f t="array" aca="1" ref="Y10" ca="1">INDEX(_xlfn._xlws.FILTER(テーブル定義_一覧!$D$1:$U$501, テーブル定義_一覧!$D$1:$D$501=Y$1), Y$2, _xlfn.XMATCH($B10, テーブル定義_一覧!$D$1:$Z$1))&amp;""</f>
        <v/>
      </c>
      <c r="Z10" s="40" t="str" cm="1">
        <f t="array" aca="1" ref="Z10" ca="1">INDEX(_xlfn._xlws.FILTER(テーブル定義_一覧!$D$1:$U$501, テーブル定義_一覧!$D$1:$D$501=Z$1), Z$2, _xlfn.XMATCH($B10, テーブル定義_一覧!$D$1:$Z$1))&amp;""</f>
        <v/>
      </c>
      <c r="AA10" s="40" t="str" cm="1">
        <f t="array" aca="1" ref="AA10" ca="1">INDEX(_xlfn._xlws.FILTER(テーブル定義_一覧!$D$1:$U$501, テーブル定義_一覧!$D$1:$D$501=AA$1), AA$2, _xlfn.XMATCH($B10, テーブル定義_一覧!$D$1:$Z$1))&amp;""</f>
        <v/>
      </c>
      <c r="AB10" s="40" t="str" cm="1">
        <f t="array" aca="1" ref="AB10" ca="1">INDEX(_xlfn._xlws.FILTER(テーブル定義_一覧!$D$1:$U$501, テーブル定義_一覧!$D$1:$D$501=AB$1), AB$2, _xlfn.XMATCH($B10, テーブル定義_一覧!$D$1:$Z$1))&amp;""</f>
        <v>x(PK制約)</v>
      </c>
      <c r="AC10" s="40" t="str" cm="1">
        <f t="array" aca="1" ref="AC10" ca="1">INDEX(_xlfn._xlws.FILTER(テーブル定義_一覧!$D$1:$U$501, テーブル定義_一覧!$D$1:$D$501=AC$1), AC$2, _xlfn.XMATCH($B10, テーブル定義_一覧!$D$1:$Z$1))&amp;""</f>
        <v>x</v>
      </c>
      <c r="AD10" s="40" t="str" cm="1">
        <f t="array" aca="1" ref="AD10" ca="1">INDEX(_xlfn._xlws.FILTER(テーブル定義_一覧!$D$1:$U$501, テーブル定義_一覧!$D$1:$D$501=AD$1), AD$2, _xlfn.XMATCH($B10, テーブル定義_一覧!$D$1:$Z$1))&amp;""</f>
        <v>x(PK制約)</v>
      </c>
      <c r="AE10" s="40" t="str" cm="1">
        <f t="array" aca="1" ref="AE10" ca="1">INDEX(_xlfn._xlws.FILTER(テーブル定義_一覧!$D$1:$U$501, テーブル定義_一覧!$D$1:$D$501=AE$1), AE$2, _xlfn.XMATCH($B10, テーブル定義_一覧!$D$1:$Z$1))&amp;""</f>
        <v>x</v>
      </c>
      <c r="AF10" s="40" t="str" cm="1">
        <f t="array" aca="1" ref="AF10" ca="1">INDEX(_xlfn._xlws.FILTER(テーブル定義_一覧!$D$1:$U$501, テーブル定義_一覧!$D$1:$D$501=AF$1), AF$2, _xlfn.XMATCH($B10, テーブル定義_一覧!$D$1:$Z$1))&amp;""</f>
        <v>x(PK制約)</v>
      </c>
      <c r="AG10" s="40" t="str" cm="1">
        <f t="array" aca="1" ref="AG10" ca="1">INDEX(_xlfn._xlws.FILTER(テーブル定義_一覧!$D$1:$U$501, テーブル定義_一覧!$D$1:$D$501=AG$1), AG$2, _xlfn.XMATCH($B10, テーブル定義_一覧!$D$1:$Z$1))&amp;""</f>
        <v>x</v>
      </c>
      <c r="AH10" s="40" t="str" cm="1">
        <f t="array" aca="1" ref="AH10" ca="1">INDEX(_xlfn._xlws.FILTER(テーブル定義_一覧!$D$1:$U$501, テーブル定義_一覧!$D$1:$D$501=AH$1), AH$2, _xlfn.XMATCH($B10, テーブル定義_一覧!$D$1:$Z$1))&amp;""</f>
        <v>x(PK制約)</v>
      </c>
      <c r="AI10" s="40" t="str" cm="1">
        <f t="array" aca="1" ref="AI10" ca="1">INDEX(_xlfn._xlws.FILTER(テーブル定義_一覧!$D$1:$U$501, テーブル定義_一覧!$D$1:$D$501=AI$1), AI$2, _xlfn.XMATCH($B10, テーブル定義_一覧!$D$1:$Z$1))&amp;""</f>
        <v/>
      </c>
      <c r="AJ10" s="40" t="str" cm="1">
        <f t="array" aca="1" ref="AJ10" ca="1">INDEX(_xlfn._xlws.FILTER(テーブル定義_一覧!$D$1:$U$501, テーブル定義_一覧!$D$1:$D$501=AJ$1), AJ$2, _xlfn.XMATCH($B10, テーブル定義_一覧!$D$1:$Z$1))&amp;""</f>
        <v/>
      </c>
      <c r="AK10" s="40" t="str" cm="1">
        <f t="array" aca="1" ref="AK10" ca="1">INDEX(_xlfn._xlws.FILTER(テーブル定義_一覧!$D$1:$U$501, テーブル定義_一覧!$D$1:$D$501=AK$1), AK$2, _xlfn.XMATCH($B10, テーブル定義_一覧!$D$1:$Z$1))&amp;""</f>
        <v/>
      </c>
      <c r="AL10" s="40" t="str" cm="1">
        <f t="array" aca="1" ref="AL10" ca="1">INDEX(_xlfn._xlws.FILTER(テーブル定義_一覧!$D$1:$U$501, テーブル定義_一覧!$D$1:$D$501=AL$1), AL$2, _xlfn.XMATCH($B10, テーブル定義_一覧!$D$1:$Z$1))&amp;""</f>
        <v/>
      </c>
      <c r="AM10" s="40" t="str" cm="1">
        <f t="array" aca="1" ref="AM10" ca="1">INDEX(_xlfn._xlws.FILTER(テーブル定義_一覧!$D$1:$U$501, テーブル定義_一覧!$D$1:$D$501=AM$1), AM$2, _xlfn.XMATCH($B10, テーブル定義_一覧!$D$1:$Z$1))&amp;""</f>
        <v/>
      </c>
      <c r="AN10" s="40" t="str" cm="1">
        <f t="array" aca="1" ref="AN10" ca="1">INDEX(_xlfn._xlws.FILTER(テーブル定義_一覧!$D$1:$U$501, テーブル定義_一覧!$D$1:$D$501=AN$1), AN$2, _xlfn.XMATCH($B10, テーブル定義_一覧!$D$1:$Z$1))&amp;""</f>
        <v/>
      </c>
      <c r="AO10" s="40" t="str" cm="1">
        <f t="array" aca="1" ref="AO10" ca="1">INDEX(_xlfn._xlws.FILTER(テーブル定義_一覧!$D$1:$U$501, テーブル定義_一覧!$D$1:$D$501=AO$1), AO$2, _xlfn.XMATCH($B10, テーブル定義_一覧!$D$1:$Z$1))&amp;""</f>
        <v/>
      </c>
      <c r="AP10" s="40" t="str" cm="1">
        <f t="array" aca="1" ref="AP10" ca="1">INDEX(_xlfn._xlws.FILTER(テーブル定義_一覧!$D$1:$U$501, テーブル定義_一覧!$D$1:$D$501=AP$1), AP$2, _xlfn.XMATCH($B10, テーブル定義_一覧!$D$1:$Z$1))&amp;""</f>
        <v/>
      </c>
      <c r="AQ10" s="40" t="str" cm="1">
        <f t="array" aca="1" ref="AQ10" ca="1">INDEX(_xlfn._xlws.FILTER(テーブル定義_一覧!$D$1:$U$501, テーブル定義_一覧!$D$1:$D$501=AQ$1), AQ$2, _xlfn.XMATCH($B10, テーブル定義_一覧!$D$1:$Z$1))&amp;""</f>
        <v>x(PK制約)</v>
      </c>
      <c r="AR10" s="34" t="str" cm="1">
        <f t="array" aca="1" ref="AR10" ca="1">INDEX(_xlfn._xlws.FILTER(テーブル定義_一覧!$D$1:$U$501, テーブル定義_一覧!$D$1:$D$501=AR$1), AR$2, _xlfn.XMATCH($B10, テーブル定義_一覧!$D$1:$Z$1))&amp;""</f>
        <v>x</v>
      </c>
    </row>
    <row r="11" spans="1:44" outlineLevel="2">
      <c r="A11" s="79"/>
      <c r="B11" s="30" t="s">
        <v>42</v>
      </c>
      <c r="C11" s="49" t="str" cm="1">
        <f t="array" aca="1" ref="C11" ca="1">INDEX(_xlfn._xlws.FILTER(テーブル定義_一覧!$D$1:$U$501, テーブル定義_一覧!$D$1:$D$501=C$1), C$2, _xlfn.XMATCH($B11, テーブル定義_一覧!$D$1:$Z$1))&amp;""</f>
        <v>SEQUENCE</v>
      </c>
      <c r="D11" s="40" t="str" cm="1">
        <f t="array" aca="1" ref="D11" ca="1">INDEX(_xlfn._xlws.FILTER(テーブル定義_一覧!$D$1:$U$501, テーブル定義_一覧!$D$1:$D$501=D$1), D$2, _xlfn.XMATCH($B11, テーブル定義_一覧!$D$1:$Z$1))&amp;""</f>
        <v/>
      </c>
      <c r="E11" s="40" t="str" cm="1">
        <f t="array" aca="1" ref="E11" ca="1">INDEX(_xlfn._xlws.FILTER(テーブル定義_一覧!$D$1:$U$501, テーブル定義_一覧!$D$1:$D$501=E$1), E$2, _xlfn.XMATCH($B11, テーブル定義_一覧!$D$1:$Z$1))&amp;""</f>
        <v/>
      </c>
      <c r="F11" s="40" t="str" cm="1">
        <f t="array" aca="1" ref="F11" ca="1">INDEX(_xlfn._xlws.FILTER(テーブル定義_一覧!$D$1:$U$501, テーブル定義_一覧!$D$1:$D$501=F$1), F$2, _xlfn.XMATCH($B11, テーブル定義_一覧!$D$1:$Z$1))&amp;""</f>
        <v/>
      </c>
      <c r="G11" s="40" t="str" cm="1">
        <f t="array" aca="1" ref="G11" ca="1">INDEX(_xlfn._xlws.FILTER(テーブル定義_一覧!$D$1:$U$501, テーブル定義_一覧!$D$1:$D$501=G$1), G$2, _xlfn.XMATCH($B11, テーブル定義_一覧!$D$1:$Z$1))&amp;""</f>
        <v/>
      </c>
      <c r="H11" s="40" t="str" cm="1">
        <f t="array" aca="1" ref="H11" ca="1">INDEX(_xlfn._xlws.FILTER(テーブル定義_一覧!$D$1:$U$501, テーブル定義_一覧!$D$1:$D$501=H$1), H$2, _xlfn.XMATCH($B11, テーブル定義_一覧!$D$1:$Z$1))&amp;""</f>
        <v>SEQUENCE</v>
      </c>
      <c r="I11" s="40" t="str" cm="1">
        <f t="array" aca="1" ref="I11" ca="1">INDEX(_xlfn._xlws.FILTER(テーブル定義_一覧!$D$1:$U$501, テーブル定義_一覧!$D$1:$D$501=I$1), I$2, _xlfn.XMATCH($B11, テーブル定義_一覧!$D$1:$Z$1))&amp;""</f>
        <v/>
      </c>
      <c r="J11" s="40" t="str" cm="1">
        <f t="array" aca="1" ref="J11" ca="1">INDEX(_xlfn._xlws.FILTER(テーブル定義_一覧!$D$1:$U$501, テーブル定義_一覧!$D$1:$D$501=J$1), J$2, _xlfn.XMATCH($B11, テーブル定義_一覧!$D$1:$Z$1))&amp;""</f>
        <v>SEQUENCE</v>
      </c>
      <c r="K11" s="40" t="str" cm="1">
        <f t="array" aca="1" ref="K11" ca="1">INDEX(_xlfn._xlws.FILTER(テーブル定義_一覧!$D$1:$U$501, テーブル定義_一覧!$D$1:$D$501=K$1), K$2, _xlfn.XMATCH($B11, テーブル定義_一覧!$D$1:$Z$1))&amp;""</f>
        <v/>
      </c>
      <c r="L11" s="40" t="str" cm="1">
        <f t="array" aca="1" ref="L11" ca="1">INDEX(_xlfn._xlws.FILTER(テーブル定義_一覧!$D$1:$U$501, テーブル定義_一覧!$D$1:$D$501=L$1), L$2, _xlfn.XMATCH($B11, テーブル定義_一覧!$D$1:$Z$1))&amp;""</f>
        <v/>
      </c>
      <c r="M11" s="40" t="str" cm="1">
        <f t="array" aca="1" ref="M11" ca="1">INDEX(_xlfn._xlws.FILTER(テーブル定義_一覧!$D$1:$U$501, テーブル定義_一覧!$D$1:$D$501=M$1), M$2, _xlfn.XMATCH($B11, テーブル定義_一覧!$D$1:$Z$1))&amp;""</f>
        <v>FALSE</v>
      </c>
      <c r="N11" s="40" t="str" cm="1">
        <f t="array" aca="1" ref="N11" ca="1">INDEX(_xlfn._xlws.FILTER(テーブル定義_一覧!$D$1:$U$501, テーブル定義_一覧!$D$1:$D$501=N$1), N$2, _xlfn.XMATCH($B11, テーブル定義_一覧!$D$1:$Z$1))&amp;""</f>
        <v>SEQUENCE</v>
      </c>
      <c r="O11" s="40" t="str" cm="1">
        <f t="array" aca="1" ref="O11" ca="1">INDEX(_xlfn._xlws.FILTER(テーブル定義_一覧!$D$1:$U$501, テーブル定義_一覧!$D$1:$D$501=O$1), O$2, _xlfn.XMATCH($B11, テーブル定義_一覧!$D$1:$Z$1))&amp;""</f>
        <v/>
      </c>
      <c r="P11" s="40" t="str" cm="1">
        <f t="array" aca="1" ref="P11" ca="1">INDEX(_xlfn._xlws.FILTER(テーブル定義_一覧!$D$1:$U$501, テーブル定義_一覧!$D$1:$D$501=P$1), P$2, _xlfn.XMATCH($B11, テーブル定義_一覧!$D$1:$Z$1))&amp;""</f>
        <v/>
      </c>
      <c r="Q11" s="40" t="str" cm="1">
        <f t="array" aca="1" ref="Q11" ca="1">INDEX(_xlfn._xlws.FILTER(テーブル定義_一覧!$D$1:$U$501, テーブル定義_一覧!$D$1:$D$501=Q$1), Q$2, _xlfn.XMATCH($B11, テーブル定義_一覧!$D$1:$Z$1))&amp;""</f>
        <v>SEQUENCE</v>
      </c>
      <c r="R11" s="40" t="str" cm="1">
        <f t="array" aca="1" ref="R11" ca="1">INDEX(_xlfn._xlws.FILTER(テーブル定義_一覧!$D$1:$U$501, テーブル定義_一覧!$D$1:$D$501=R$1), R$2, _xlfn.XMATCH($B11, テーブル定義_一覧!$D$1:$Z$1))&amp;""</f>
        <v/>
      </c>
      <c r="S11" s="40" t="str" cm="1">
        <f t="array" aca="1" ref="S11" ca="1">INDEX(_xlfn._xlws.FILTER(テーブル定義_一覧!$D$1:$U$501, テーブル定義_一覧!$D$1:$D$501=S$1), S$2, _xlfn.XMATCH($B11, テーブル定義_一覧!$D$1:$Z$1))&amp;""</f>
        <v/>
      </c>
      <c r="T11" s="40" t="str" cm="1">
        <f t="array" aca="1" ref="T11" ca="1">INDEX(_xlfn._xlws.FILTER(テーブル定義_一覧!$D$1:$U$501, テーブル定義_一覧!$D$1:$D$501=T$1), T$2, _xlfn.XMATCH($B11, テーブル定義_一覧!$D$1:$Z$1))&amp;""</f>
        <v>SEQUENCE</v>
      </c>
      <c r="U11" s="40" t="str" cm="1">
        <f t="array" aca="1" ref="U11" ca="1">INDEX(_xlfn._xlws.FILTER(テーブル定義_一覧!$D$1:$U$501, テーブル定義_一覧!$D$1:$D$501=U$1), U$2, _xlfn.XMATCH($B11, テーブル定義_一覧!$D$1:$Z$1))&amp;""</f>
        <v/>
      </c>
      <c r="V11" s="40" t="str" cm="1">
        <f t="array" aca="1" ref="V11" ca="1">INDEX(_xlfn._xlws.FILTER(テーブル定義_一覧!$D$1:$U$501, テーブル定義_一覧!$D$1:$D$501=V$1), V$2, _xlfn.XMATCH($B11, テーブル定義_一覧!$D$1:$Z$1))&amp;""</f>
        <v/>
      </c>
      <c r="W11" s="40" t="str" cm="1">
        <f t="array" aca="1" ref="W11" ca="1">INDEX(_xlfn._xlws.FILTER(テーブル定義_一覧!$D$1:$U$501, テーブル定義_一覧!$D$1:$D$501=W$1), W$2, _xlfn.XMATCH($B11, テーブル定義_一覧!$D$1:$Z$1))&amp;""</f>
        <v>SEQUENCE</v>
      </c>
      <c r="X11" s="40" t="str" cm="1">
        <f t="array" aca="1" ref="X11" ca="1">INDEX(_xlfn._xlws.FILTER(テーブル定義_一覧!$D$1:$U$501, テーブル定義_一覧!$D$1:$D$501=X$1), X$2, _xlfn.XMATCH($B11, テーブル定義_一覧!$D$1:$Z$1))&amp;""</f>
        <v/>
      </c>
      <c r="Y11" s="40" t="str" cm="1">
        <f t="array" aca="1" ref="Y11" ca="1">INDEX(_xlfn._xlws.FILTER(テーブル定義_一覧!$D$1:$U$501, テーブル定義_一覧!$D$1:$D$501=Y$1), Y$2, _xlfn.XMATCH($B11, テーブル定義_一覧!$D$1:$Z$1))&amp;""</f>
        <v/>
      </c>
      <c r="Z11" s="40" t="str" cm="1">
        <f t="array" aca="1" ref="Z11" ca="1">INDEX(_xlfn._xlws.FILTER(テーブル定義_一覧!$D$1:$U$501, テーブル定義_一覧!$D$1:$D$501=Z$1), Z$2, _xlfn.XMATCH($B11, テーブル定義_一覧!$D$1:$Z$1))&amp;""</f>
        <v>TRUE</v>
      </c>
      <c r="AA11" s="40" t="str" cm="1">
        <f t="array" aca="1" ref="AA11" ca="1">INDEX(_xlfn._xlws.FILTER(テーブル定義_一覧!$D$1:$U$501, テーブル定義_一覧!$D$1:$D$501=AA$1), AA$2, _xlfn.XMATCH($B11, テーブル定義_一覧!$D$1:$Z$1))&amp;""</f>
        <v>TRUE</v>
      </c>
      <c r="AB11" s="40" t="str" cm="1">
        <f t="array" aca="1" ref="AB11" ca="1">INDEX(_xlfn._xlws.FILTER(テーブル定義_一覧!$D$1:$U$501, テーブル定義_一覧!$D$1:$D$501=AB$1), AB$2, _xlfn.XMATCH($B11, テーブル定義_一覧!$D$1:$Z$1))&amp;""</f>
        <v>SEQUENCE</v>
      </c>
      <c r="AC11" s="40" t="str" cm="1">
        <f t="array" aca="1" ref="AC11" ca="1">INDEX(_xlfn._xlws.FILTER(テーブル定義_一覧!$D$1:$U$501, テーブル定義_一覧!$D$1:$D$501=AC$1), AC$2, _xlfn.XMATCH($B11, テーブル定義_一覧!$D$1:$Z$1))&amp;""</f>
        <v/>
      </c>
      <c r="AD11" s="40" t="str" cm="1">
        <f t="array" aca="1" ref="AD11" ca="1">INDEX(_xlfn._xlws.FILTER(テーブル定義_一覧!$D$1:$U$501, テーブル定義_一覧!$D$1:$D$501=AD$1), AD$2, _xlfn.XMATCH($B11, テーブル定義_一覧!$D$1:$Z$1))&amp;""</f>
        <v>SEQUENCE</v>
      </c>
      <c r="AE11" s="40" t="str" cm="1">
        <f t="array" aca="1" ref="AE11" ca="1">INDEX(_xlfn._xlws.FILTER(テーブル定義_一覧!$D$1:$U$501, テーブル定義_一覧!$D$1:$D$501=AE$1), AE$2, _xlfn.XMATCH($B11, テーブル定義_一覧!$D$1:$Z$1))&amp;""</f>
        <v/>
      </c>
      <c r="AF11" s="40" t="str" cm="1">
        <f t="array" aca="1" ref="AF11" ca="1">INDEX(_xlfn._xlws.FILTER(テーブル定義_一覧!$D$1:$U$501, テーブル定義_一覧!$D$1:$D$501=AF$1), AF$2, _xlfn.XMATCH($B11, テーブル定義_一覧!$D$1:$Z$1))&amp;""</f>
        <v>SEQUENCE</v>
      </c>
      <c r="AG11" s="40" t="str" cm="1">
        <f t="array" aca="1" ref="AG11" ca="1">INDEX(_xlfn._xlws.FILTER(テーブル定義_一覧!$D$1:$U$501, テーブル定義_一覧!$D$1:$D$501=AG$1), AG$2, _xlfn.XMATCH($B11, テーブル定義_一覧!$D$1:$Z$1))&amp;""</f>
        <v/>
      </c>
      <c r="AH11" s="40" t="str" cm="1">
        <f t="array" aca="1" ref="AH11" ca="1">INDEX(_xlfn._xlws.FILTER(テーブル定義_一覧!$D$1:$U$501, テーブル定義_一覧!$D$1:$D$501=AH$1), AH$2, _xlfn.XMATCH($B11, テーブル定義_一覧!$D$1:$Z$1))&amp;""</f>
        <v>SEQUENCE</v>
      </c>
      <c r="AI11" s="40" t="str" cm="1">
        <f t="array" aca="1" ref="AI11" ca="1">INDEX(_xlfn._xlws.FILTER(テーブル定義_一覧!$D$1:$U$501, テーブル定義_一覧!$D$1:$D$501=AI$1), AI$2, _xlfn.XMATCH($B11, テーブル定義_一覧!$D$1:$Z$1))&amp;""</f>
        <v/>
      </c>
      <c r="AJ11" s="40" t="str" cm="1">
        <f t="array" aca="1" ref="AJ11" ca="1">INDEX(_xlfn._xlws.FILTER(テーブル定義_一覧!$D$1:$U$501, テーブル定義_一覧!$D$1:$D$501=AJ$1), AJ$2, _xlfn.XMATCH($B11, テーブル定義_一覧!$D$1:$Z$1))&amp;""</f>
        <v/>
      </c>
      <c r="AK11" s="40" t="str" cm="1">
        <f t="array" aca="1" ref="AK11" ca="1">INDEX(_xlfn._xlws.FILTER(テーブル定義_一覧!$D$1:$U$501, テーブル定義_一覧!$D$1:$D$501=AK$1), AK$2, _xlfn.XMATCH($B11, テーブル定義_一覧!$D$1:$Z$1))&amp;""</f>
        <v/>
      </c>
      <c r="AL11" s="40" t="str" cm="1">
        <f t="array" aca="1" ref="AL11" ca="1">INDEX(_xlfn._xlws.FILTER(テーブル定義_一覧!$D$1:$U$501, テーブル定義_一覧!$D$1:$D$501=AL$1), AL$2, _xlfn.XMATCH($B11, テーブル定義_一覧!$D$1:$Z$1))&amp;""</f>
        <v/>
      </c>
      <c r="AM11" s="40" t="str" cm="1">
        <f t="array" aca="1" ref="AM11" ca="1">INDEX(_xlfn._xlws.FILTER(テーブル定義_一覧!$D$1:$U$501, テーブル定義_一覧!$D$1:$D$501=AM$1), AM$2, _xlfn.XMATCH($B11, テーブル定義_一覧!$D$1:$Z$1))&amp;""</f>
        <v/>
      </c>
      <c r="AN11" s="40" t="str" cm="1">
        <f t="array" aca="1" ref="AN11" ca="1">INDEX(_xlfn._xlws.FILTER(テーブル定義_一覧!$D$1:$U$501, テーブル定義_一覧!$D$1:$D$501=AN$1), AN$2, _xlfn.XMATCH($B11, テーブル定義_一覧!$D$1:$Z$1))&amp;""</f>
        <v/>
      </c>
      <c r="AO11" s="40" t="str" cm="1">
        <f t="array" aca="1" ref="AO11" ca="1">INDEX(_xlfn._xlws.FILTER(テーブル定義_一覧!$D$1:$U$501, テーブル定義_一覧!$D$1:$D$501=AO$1), AO$2, _xlfn.XMATCH($B11, テーブル定義_一覧!$D$1:$Z$1))&amp;""</f>
        <v/>
      </c>
      <c r="AP11" s="40" t="str" cm="1">
        <f t="array" aca="1" ref="AP11" ca="1">INDEX(_xlfn._xlws.FILTER(テーブル定義_一覧!$D$1:$U$501, テーブル定義_一覧!$D$1:$D$501=AP$1), AP$2, _xlfn.XMATCH($B11, テーブル定義_一覧!$D$1:$Z$1))&amp;""</f>
        <v/>
      </c>
      <c r="AQ11" s="40" t="str" cm="1">
        <f t="array" aca="1" ref="AQ11" ca="1">INDEX(_xlfn._xlws.FILTER(テーブル定義_一覧!$D$1:$U$501, テーブル定義_一覧!$D$1:$D$501=AQ$1), AQ$2, _xlfn.XMATCH($B11, テーブル定義_一覧!$D$1:$Z$1))&amp;""</f>
        <v>SEQUENCE</v>
      </c>
      <c r="AR11" s="34" t="str" cm="1">
        <f t="array" aca="1" ref="AR11" ca="1">INDEX(_xlfn._xlws.FILTER(テーブル定義_一覧!$D$1:$U$501, テーブル定義_一覧!$D$1:$D$501=AR$1), AR$2, _xlfn.XMATCH($B11, テーブル定義_一覧!$D$1:$Z$1))&amp;""</f>
        <v/>
      </c>
    </row>
    <row r="12" spans="1:44" ht="15" customHeight="1">
      <c r="A12" s="82" t="s">
        <v>504</v>
      </c>
      <c r="B12" s="31" t="str">
        <f>"#"&amp;(ROW()-11)</f>
        <v>#1</v>
      </c>
      <c r="C12" s="50" t="str">
        <f ca="1">IF(C11&lt;&gt;"SEQUENCE","{自動生成}"&amp;(MID(C11,7,3)+1),"{自動生成}"&amp;1)</f>
        <v>{自動生成}1</v>
      </c>
      <c r="D12" s="42">
        <v>1</v>
      </c>
      <c r="E12" s="42">
        <v>1</v>
      </c>
      <c r="F12" s="42" t="s">
        <v>507</v>
      </c>
      <c r="G12" s="42" t="s">
        <v>497</v>
      </c>
      <c r="H12" s="50" t="str">
        <f ca="1">IF(H11&lt;&gt;"SEQUENCE","{自動生成}"&amp;(MID(H11,7,3)+1),"{自動生成}"&amp;1)</f>
        <v>{自動生成}1</v>
      </c>
      <c r="I12" s="42" t="s">
        <v>507</v>
      </c>
      <c r="J12" s="50" t="str">
        <f ca="1">IF(J11&lt;&gt;"SEQUENCE","{自動生成}"&amp;(MID(J11,7,3)+1),"{自動生成}"&amp;1)</f>
        <v>{自動生成}1</v>
      </c>
      <c r="K12" s="42" t="s">
        <v>521</v>
      </c>
      <c r="L12" s="42" t="s">
        <v>523</v>
      </c>
      <c r="M12" s="42" t="b">
        <v>1</v>
      </c>
      <c r="N12" s="50" t="str">
        <f ca="1">IF(N11&lt;&gt;"SEQUENCE","{自動生成}"&amp;(MID(N11,7,3)+1),"{自動生成}"&amp;1)</f>
        <v>{自動生成}1</v>
      </c>
      <c r="O12" s="43" t="s">
        <v>573</v>
      </c>
      <c r="P12" s="43" t="s">
        <v>655</v>
      </c>
      <c r="Q12" s="50" t="str">
        <f ca="1">IF(Q11&lt;&gt;"SEQUENCE","{自動生成}"&amp;(MID(Q11,7,3)+1),"{自動生成}"&amp;1)</f>
        <v>{自動生成}1</v>
      </c>
      <c r="R12" s="42" t="s">
        <v>581</v>
      </c>
      <c r="S12" s="43" t="s">
        <v>578</v>
      </c>
      <c r="T12" s="50" t="str">
        <f ca="1">IF(T11&lt;&gt;"SEQUENCE","{自動生成}"&amp;(MID(T11,7,3)+1),"{自動生成}"&amp;1)</f>
        <v>{自動生成}1</v>
      </c>
      <c r="U12" s="42" t="s">
        <v>590</v>
      </c>
      <c r="V12" s="43" t="s">
        <v>586</v>
      </c>
      <c r="W12" s="50" t="str">
        <f ca="1">IF(W11&lt;&gt;"SEQUENCE","{自動生成}"&amp;(MID(W11,7,3)+1),"{自動生成}"&amp;1)</f>
        <v>{自動生成}1</v>
      </c>
      <c r="X12" s="42" t="s">
        <v>607</v>
      </c>
      <c r="Y12" s="42"/>
      <c r="Z12" s="42" t="b">
        <v>1</v>
      </c>
      <c r="AA12" s="42" t="b">
        <v>0</v>
      </c>
      <c r="AB12" s="50" t="str">
        <f ca="1">IF(AB11&lt;&gt;"SEQUENCE","{自動生成}"&amp;(MID(AB11,7,3)+1),"{自動生成}"&amp;1)</f>
        <v>{自動生成}1</v>
      </c>
      <c r="AC12" s="42" t="s">
        <v>635</v>
      </c>
      <c r="AD12" s="50" t="str">
        <f ca="1">IF(AD11&lt;&gt;"SEQUENCE","{自動生成}"&amp;(MID(AD11,7,3)+1),"{自動生成}"&amp;1)</f>
        <v>{自動生成}1</v>
      </c>
      <c r="AE12" s="42" t="s">
        <v>637</v>
      </c>
      <c r="AF12" s="50" t="str">
        <f ca="1">IF(AF11&lt;&gt;"SEQUENCE","{自動生成}"&amp;(MID(AF11,7,3)+1),"{自動生成}"&amp;1)</f>
        <v>{自動生成}1</v>
      </c>
      <c r="AG12" s="43" t="s">
        <v>654</v>
      </c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36"/>
    </row>
    <row r="13" spans="1:44">
      <c r="A13" s="83"/>
      <c r="B13" s="31" t="str">
        <f t="shared" ref="B13:B84" si="31">"#"&amp;(ROW()-11)</f>
        <v>#2</v>
      </c>
      <c r="C13" s="50" t="str">
        <f t="shared" ref="C13:C78" ca="1" si="32">IF(C12&lt;&gt;"SEQUENCE","{自動生成}"&amp;(MID(C12,7,3)+1),"{自動生成}"&amp;1)</f>
        <v>{自動生成}2</v>
      </c>
      <c r="D13" s="42">
        <v>1</v>
      </c>
      <c r="E13" s="42">
        <v>2</v>
      </c>
      <c r="F13" s="42" t="s">
        <v>506</v>
      </c>
      <c r="G13" s="42" t="s">
        <v>497</v>
      </c>
      <c r="H13" s="50" t="str">
        <f t="shared" ref="H13:H14" ca="1" si="33">IF(H12&lt;&gt;"SEQUENCE","{自動生成}"&amp;(MID(H12,7,3)+1),"{自動生成}"&amp;1)</f>
        <v>{自動生成}2</v>
      </c>
      <c r="I13" s="42" t="s">
        <v>506</v>
      </c>
      <c r="J13" s="50" t="str">
        <f ca="1">IF(J12&lt;&gt;"SEQUENCE","{自動生成}"&amp;(MID(J12,7,3)+1),"{自動生成}"&amp;1)</f>
        <v>{自動生成}2</v>
      </c>
      <c r="K13" s="42" t="s">
        <v>522</v>
      </c>
      <c r="L13" s="42" t="s">
        <v>523</v>
      </c>
      <c r="M13" s="42" t="b">
        <v>1</v>
      </c>
      <c r="N13" s="50" t="str">
        <f t="shared" ref="N13:N20" ca="1" si="34">IF(N12&lt;&gt;"SEQUENCE","{自動生成}"&amp;(MID(N12,7,3)+1),"{自動生成}"&amp;1)</f>
        <v>{自動生成}2</v>
      </c>
      <c r="O13" s="42" t="s">
        <v>568</v>
      </c>
      <c r="P13" s="43" t="s">
        <v>655</v>
      </c>
      <c r="Q13" s="50" t="str">
        <f t="shared" ref="Q13:Q14" ca="1" si="35">IF(Q12&lt;&gt;"SEQUENCE","{自動生成}"&amp;(MID(Q12,7,3)+1),"{自動生成}"&amp;1)</f>
        <v>{自動生成}2</v>
      </c>
      <c r="R13" s="42" t="s">
        <v>582</v>
      </c>
      <c r="S13" s="43" t="s">
        <v>579</v>
      </c>
      <c r="T13" s="50" t="str">
        <f t="shared" ref="T13:T16" ca="1" si="36">IF(T12&lt;&gt;"SEQUENCE","{自動生成}"&amp;(MID(T12,7,3)+1),"{自動生成}"&amp;1)</f>
        <v>{自動生成}2</v>
      </c>
      <c r="U13" s="42" t="s">
        <v>593</v>
      </c>
      <c r="V13" s="43" t="s">
        <v>585</v>
      </c>
      <c r="W13" s="50" t="str">
        <f t="shared" ref="W13:W23" ca="1" si="37">IF(W12&lt;&gt;"SEQUENCE","{自動生成}"&amp;(MID(W12,7,3)+1),"{自動生成}"&amp;1)</f>
        <v>{自動生成}2</v>
      </c>
      <c r="X13" s="42" t="s">
        <v>608</v>
      </c>
      <c r="Y13" s="42"/>
      <c r="Z13" s="42" t="b">
        <v>0</v>
      </c>
      <c r="AA13" s="42" t="b">
        <v>1</v>
      </c>
      <c r="AB13" s="50" t="str">
        <f t="shared" ref="AB13:AB17" ca="1" si="38">IF(AB12&lt;&gt;"SEQUENCE","{自動生成}"&amp;(MID(AB12,7,3)+1),"{自動生成}"&amp;1)</f>
        <v>{自動生成}2</v>
      </c>
      <c r="AC13" s="42" t="s">
        <v>633</v>
      </c>
      <c r="AD13" s="50" t="str">
        <f t="shared" ref="AD13:AD15" ca="1" si="39">IF(AD12&lt;&gt;"SEQUENCE","{自動生成}"&amp;(MID(AD12,7,3)+1),"{自動生成}"&amp;1)</f>
        <v>{自動生成}2</v>
      </c>
      <c r="AE13" s="42" t="s">
        <v>638</v>
      </c>
      <c r="AF13" s="50" t="str">
        <f t="shared" ref="AF13:AF19" ca="1" si="40">IF(AF12&lt;&gt;"SEQUENCE","{自動生成}"&amp;(MID(AF12,7,3)+1),"{自動生成}"&amp;1)</f>
        <v>{自動生成}2</v>
      </c>
      <c r="AG13" s="43" t="s">
        <v>655</v>
      </c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36"/>
    </row>
    <row r="14" spans="1:44">
      <c r="A14" s="83"/>
      <c r="B14" s="31" t="str">
        <f t="shared" si="31"/>
        <v>#3</v>
      </c>
      <c r="C14" s="50" t="str">
        <f t="shared" ca="1" si="32"/>
        <v>{自動生成}3</v>
      </c>
      <c r="D14" s="42">
        <v>1</v>
      </c>
      <c r="E14" s="42">
        <v>3</v>
      </c>
      <c r="F14" s="42" t="s">
        <v>505</v>
      </c>
      <c r="G14" s="42" t="s">
        <v>497</v>
      </c>
      <c r="H14" s="50" t="str">
        <f t="shared" ca="1" si="33"/>
        <v>{自動生成}3</v>
      </c>
      <c r="I14" s="42" t="s">
        <v>505</v>
      </c>
      <c r="J14" s="41"/>
      <c r="K14" s="42"/>
      <c r="L14" s="42"/>
      <c r="M14" s="42"/>
      <c r="N14" s="50" t="str">
        <f t="shared" ca="1" si="34"/>
        <v>{自動生成}3</v>
      </c>
      <c r="O14" s="42" t="s">
        <v>570</v>
      </c>
      <c r="P14" s="43" t="s">
        <v>655</v>
      </c>
      <c r="Q14" s="50" t="str">
        <f t="shared" ca="1" si="35"/>
        <v>{自動生成}3</v>
      </c>
      <c r="R14" s="42" t="s">
        <v>583</v>
      </c>
      <c r="S14" s="43" t="s">
        <v>580</v>
      </c>
      <c r="T14" s="50" t="str">
        <f t="shared" ca="1" si="36"/>
        <v>{自動生成}3</v>
      </c>
      <c r="U14" s="42" t="s">
        <v>591</v>
      </c>
      <c r="V14" s="43" t="s">
        <v>587</v>
      </c>
      <c r="W14" s="50" t="str">
        <f t="shared" ca="1" si="37"/>
        <v>{自動生成}3</v>
      </c>
      <c r="X14" s="42" t="s">
        <v>609</v>
      </c>
      <c r="Y14" s="42"/>
      <c r="Z14" s="42" t="b">
        <v>0</v>
      </c>
      <c r="AA14" s="42" t="b">
        <v>0</v>
      </c>
      <c r="AB14" s="50" t="str">
        <f t="shared" ca="1" si="38"/>
        <v>{自動生成}3</v>
      </c>
      <c r="AC14" s="42" t="s">
        <v>631</v>
      </c>
      <c r="AD14" s="50" t="str">
        <f t="shared" ca="1" si="39"/>
        <v>{自動生成}3</v>
      </c>
      <c r="AE14" s="42" t="s">
        <v>639</v>
      </c>
      <c r="AF14" s="50" t="str">
        <f t="shared" ca="1" si="40"/>
        <v>{自動生成}3</v>
      </c>
      <c r="AG14" s="43" t="s">
        <v>656</v>
      </c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36"/>
    </row>
    <row r="15" spans="1:44">
      <c r="A15" s="83"/>
      <c r="B15" s="31" t="str">
        <f t="shared" si="31"/>
        <v>#4</v>
      </c>
      <c r="C15" s="50" t="str">
        <f t="shared" ca="1" si="32"/>
        <v>{自動生成}4</v>
      </c>
      <c r="D15" s="42">
        <v>2</v>
      </c>
      <c r="E15" s="42">
        <v>1</v>
      </c>
      <c r="F15" s="42" t="s">
        <v>514</v>
      </c>
      <c r="G15" s="42" t="s">
        <v>497</v>
      </c>
      <c r="H15" s="44"/>
      <c r="I15" s="44"/>
      <c r="J15" s="44"/>
      <c r="K15" s="44"/>
      <c r="L15" s="44"/>
      <c r="M15" s="44"/>
      <c r="N15" s="50" t="str">
        <f t="shared" ca="1" si="34"/>
        <v>{自動生成}4</v>
      </c>
      <c r="O15" s="42" t="s">
        <v>569</v>
      </c>
      <c r="P15" s="43" t="s">
        <v>655</v>
      </c>
      <c r="Q15" s="44"/>
      <c r="R15" s="44"/>
      <c r="S15" s="44"/>
      <c r="T15" s="50" t="str">
        <f t="shared" ca="1" si="36"/>
        <v>{自動生成}4</v>
      </c>
      <c r="U15" s="42" t="s">
        <v>592</v>
      </c>
      <c r="V15" s="43" t="s">
        <v>588</v>
      </c>
      <c r="W15" s="50" t="str">
        <f t="shared" ca="1" si="37"/>
        <v>{自動生成}4</v>
      </c>
      <c r="X15" s="42" t="s">
        <v>452</v>
      </c>
      <c r="Y15" s="42"/>
      <c r="Z15" s="42" t="b">
        <v>0</v>
      </c>
      <c r="AA15" s="44" t="b">
        <v>1</v>
      </c>
      <c r="AB15" s="50" t="str">
        <f t="shared" ca="1" si="38"/>
        <v>{自動生成}4</v>
      </c>
      <c r="AC15" s="44" t="s">
        <v>627</v>
      </c>
      <c r="AD15" s="50" t="str">
        <f t="shared" ca="1" si="39"/>
        <v>{自動生成}4</v>
      </c>
      <c r="AE15" s="42" t="s">
        <v>640</v>
      </c>
      <c r="AF15" s="50" t="str">
        <f t="shared" ca="1" si="40"/>
        <v>{自動生成}4</v>
      </c>
      <c r="AG15" s="43" t="s">
        <v>657</v>
      </c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35"/>
    </row>
    <row r="16" spans="1:44">
      <c r="A16" s="83"/>
      <c r="B16" s="31" t="str">
        <f t="shared" si="31"/>
        <v>#5</v>
      </c>
      <c r="C16" s="50" t="str">
        <f t="shared" ca="1" si="32"/>
        <v>{自動生成}5</v>
      </c>
      <c r="D16" s="42">
        <v>2</v>
      </c>
      <c r="E16" s="42">
        <v>2</v>
      </c>
      <c r="F16" s="42" t="s">
        <v>515</v>
      </c>
      <c r="G16" s="42" t="s">
        <v>497</v>
      </c>
      <c r="H16" s="44"/>
      <c r="I16" s="44"/>
      <c r="J16" s="44"/>
      <c r="K16" s="44"/>
      <c r="L16" s="44"/>
      <c r="M16" s="44"/>
      <c r="N16" s="50" t="str">
        <f t="shared" ca="1" si="34"/>
        <v>{自動生成}5</v>
      </c>
      <c r="O16" s="42" t="s">
        <v>572</v>
      </c>
      <c r="P16" s="43" t="s">
        <v>655</v>
      </c>
      <c r="Q16" s="44"/>
      <c r="R16" s="44"/>
      <c r="S16" s="44"/>
      <c r="T16" s="50" t="str">
        <f t="shared" ca="1" si="36"/>
        <v>{自動生成}5</v>
      </c>
      <c r="U16" s="42" t="s">
        <v>594</v>
      </c>
      <c r="V16" s="43" t="s">
        <v>589</v>
      </c>
      <c r="W16" s="50" t="str">
        <f t="shared" ca="1" si="37"/>
        <v>{自動生成}5</v>
      </c>
      <c r="X16" s="42" t="s">
        <v>610</v>
      </c>
      <c r="Y16" s="42"/>
      <c r="Z16" s="42" t="b">
        <v>0</v>
      </c>
      <c r="AA16" s="42" t="b">
        <v>0</v>
      </c>
      <c r="AB16" s="50" t="str">
        <f t="shared" ca="1" si="38"/>
        <v>{自動生成}5</v>
      </c>
      <c r="AC16" s="44" t="s">
        <v>629</v>
      </c>
      <c r="AD16" s="44"/>
      <c r="AE16" s="44"/>
      <c r="AF16" s="50" t="str">
        <f t="shared" ca="1" si="40"/>
        <v>{自動生成}5</v>
      </c>
      <c r="AG16" s="43" t="s">
        <v>658</v>
      </c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35"/>
    </row>
    <row r="17" spans="1:44">
      <c r="A17" s="83"/>
      <c r="B17" s="31" t="str">
        <f t="shared" si="31"/>
        <v>#6</v>
      </c>
      <c r="C17" s="50" t="str">
        <f t="shared" ca="1" si="32"/>
        <v>{自動生成}6</v>
      </c>
      <c r="D17" s="42">
        <v>2</v>
      </c>
      <c r="E17" s="42">
        <v>3</v>
      </c>
      <c r="F17" s="42" t="s">
        <v>516</v>
      </c>
      <c r="G17" s="42" t="s">
        <v>497</v>
      </c>
      <c r="H17" s="44"/>
      <c r="I17" s="44"/>
      <c r="J17" s="44"/>
      <c r="K17" s="44"/>
      <c r="L17" s="44"/>
      <c r="M17" s="44"/>
      <c r="N17" s="50" t="str">
        <f t="shared" ca="1" si="34"/>
        <v>{自動生成}6</v>
      </c>
      <c r="O17" s="42" t="s">
        <v>756</v>
      </c>
      <c r="P17" s="42" t="s">
        <v>458</v>
      </c>
      <c r="Q17" s="44"/>
      <c r="R17" s="44"/>
      <c r="S17" s="44"/>
      <c r="T17" s="44"/>
      <c r="U17" s="44"/>
      <c r="V17" s="44"/>
      <c r="W17" s="50" t="str">
        <f t="shared" ca="1" si="37"/>
        <v>{自動生成}6</v>
      </c>
      <c r="X17" s="42" t="s">
        <v>611</v>
      </c>
      <c r="Y17" s="42"/>
      <c r="Z17" s="42" t="b">
        <v>0</v>
      </c>
      <c r="AA17" s="42" t="b">
        <v>0</v>
      </c>
      <c r="AB17" s="50" t="str">
        <f t="shared" ca="1" si="38"/>
        <v>{自動生成}6</v>
      </c>
      <c r="AC17" s="44" t="s">
        <v>626</v>
      </c>
      <c r="AD17" s="44"/>
      <c r="AE17" s="44"/>
      <c r="AF17" s="50" t="str">
        <f t="shared" ca="1" si="40"/>
        <v>{自動生成}6</v>
      </c>
      <c r="AG17" s="43" t="s">
        <v>659</v>
      </c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35"/>
    </row>
    <row r="18" spans="1:44">
      <c r="A18" s="83"/>
      <c r="B18" s="31" t="str">
        <f t="shared" si="31"/>
        <v>#7</v>
      </c>
      <c r="C18" s="50" t="str">
        <f t="shared" ca="1" si="32"/>
        <v>{自動生成}7</v>
      </c>
      <c r="D18" s="42">
        <v>1</v>
      </c>
      <c r="E18" s="42">
        <v>1</v>
      </c>
      <c r="F18" s="43" t="s">
        <v>573</v>
      </c>
      <c r="G18" s="42" t="s">
        <v>563</v>
      </c>
      <c r="H18" s="44"/>
      <c r="I18" s="44"/>
      <c r="J18" s="44"/>
      <c r="K18" s="44"/>
      <c r="L18" s="44"/>
      <c r="M18" s="44"/>
      <c r="N18" s="50" t="str">
        <f t="shared" ca="1" si="34"/>
        <v>{自動生成}7</v>
      </c>
      <c r="O18" s="42" t="s">
        <v>755</v>
      </c>
      <c r="P18" s="42" t="s">
        <v>458</v>
      </c>
      <c r="Q18" s="44"/>
      <c r="R18" s="44"/>
      <c r="S18" s="44"/>
      <c r="T18" s="44"/>
      <c r="U18" s="44"/>
      <c r="V18" s="44"/>
      <c r="W18" s="50" t="str">
        <f t="shared" ca="1" si="37"/>
        <v>{自動生成}7</v>
      </c>
      <c r="X18" s="42" t="s">
        <v>612</v>
      </c>
      <c r="Y18" s="42"/>
      <c r="Z18" s="42" t="b">
        <v>0</v>
      </c>
      <c r="AA18" s="42" t="b">
        <v>0</v>
      </c>
      <c r="AB18" s="44"/>
      <c r="AC18" s="44"/>
      <c r="AD18" s="44"/>
      <c r="AE18" s="44"/>
      <c r="AF18" s="50" t="str">
        <f t="shared" ca="1" si="40"/>
        <v>{自動生成}7</v>
      </c>
      <c r="AG18" s="43" t="s">
        <v>660</v>
      </c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35"/>
    </row>
    <row r="19" spans="1:44">
      <c r="A19" s="83"/>
      <c r="B19" s="31" t="str">
        <f t="shared" si="31"/>
        <v>#8</v>
      </c>
      <c r="C19" s="50" t="str">
        <f t="shared" ca="1" si="32"/>
        <v>{自動生成}8</v>
      </c>
      <c r="D19" s="42">
        <v>1</v>
      </c>
      <c r="E19" s="42">
        <v>2</v>
      </c>
      <c r="F19" s="42" t="s">
        <v>568</v>
      </c>
      <c r="G19" s="42" t="s">
        <v>563</v>
      </c>
      <c r="H19" s="44"/>
      <c r="I19" s="44"/>
      <c r="J19" s="44"/>
      <c r="K19" s="44"/>
      <c r="L19" s="44"/>
      <c r="M19" s="44"/>
      <c r="N19" s="50" t="str">
        <f t="shared" ca="1" si="34"/>
        <v>{自動生成}8</v>
      </c>
      <c r="O19" s="42" t="s">
        <v>760</v>
      </c>
      <c r="P19" s="42" t="s">
        <v>458</v>
      </c>
      <c r="Q19" s="44"/>
      <c r="R19" s="44"/>
      <c r="S19" s="44"/>
      <c r="T19" s="44"/>
      <c r="U19" s="44"/>
      <c r="V19" s="44"/>
      <c r="W19" s="50" t="str">
        <f t="shared" ca="1" si="37"/>
        <v>{自動生成}8</v>
      </c>
      <c r="X19" s="42" t="s">
        <v>613</v>
      </c>
      <c r="Y19" s="42"/>
      <c r="Z19" s="42" t="b">
        <v>0</v>
      </c>
      <c r="AA19" s="42" t="b">
        <v>0</v>
      </c>
      <c r="AB19" s="44"/>
      <c r="AC19" s="44"/>
      <c r="AD19" s="44"/>
      <c r="AE19" s="44"/>
      <c r="AF19" s="50" t="str">
        <f t="shared" ca="1" si="40"/>
        <v>{自動生成}8</v>
      </c>
      <c r="AG19" s="43" t="s">
        <v>521</v>
      </c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35"/>
    </row>
    <row r="20" spans="1:44">
      <c r="A20" s="83"/>
      <c r="B20" s="31" t="str">
        <f t="shared" si="31"/>
        <v>#9</v>
      </c>
      <c r="C20" s="50" t="str">
        <f t="shared" ca="1" si="32"/>
        <v>{自動生成}9</v>
      </c>
      <c r="D20" s="42">
        <v>1</v>
      </c>
      <c r="E20" s="42">
        <v>3</v>
      </c>
      <c r="F20" s="42" t="s">
        <v>570</v>
      </c>
      <c r="G20" s="42" t="s">
        <v>563</v>
      </c>
      <c r="H20" s="44"/>
      <c r="I20" s="44"/>
      <c r="J20" s="44"/>
      <c r="K20" s="44"/>
      <c r="L20" s="44"/>
      <c r="M20" s="44"/>
      <c r="N20" s="50" t="str">
        <f t="shared" ca="1" si="34"/>
        <v>{自動生成}9</v>
      </c>
      <c r="O20" s="42" t="s">
        <v>757</v>
      </c>
      <c r="P20" s="42" t="s">
        <v>458</v>
      </c>
      <c r="Q20" s="44"/>
      <c r="R20" s="44"/>
      <c r="S20" s="44"/>
      <c r="T20" s="44"/>
      <c r="U20" s="44"/>
      <c r="V20" s="44"/>
      <c r="W20" s="50" t="str">
        <f t="shared" ca="1" si="37"/>
        <v>{自動生成}9</v>
      </c>
      <c r="X20" s="42" t="s">
        <v>614</v>
      </c>
      <c r="Y20" s="42"/>
      <c r="Z20" s="42" t="b">
        <v>0</v>
      </c>
      <c r="AA20" s="44" t="b">
        <v>1</v>
      </c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35"/>
    </row>
    <row r="21" spans="1:44">
      <c r="A21" s="83"/>
      <c r="B21" s="31" t="str">
        <f t="shared" si="31"/>
        <v>#10</v>
      </c>
      <c r="C21" s="50" t="str">
        <f t="shared" ca="1" si="32"/>
        <v>{自動生成}10</v>
      </c>
      <c r="D21" s="42">
        <v>1</v>
      </c>
      <c r="E21" s="42">
        <v>4</v>
      </c>
      <c r="F21" s="42" t="s">
        <v>569</v>
      </c>
      <c r="G21" s="42" t="s">
        <v>563</v>
      </c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50" t="str">
        <f t="shared" ca="1" si="37"/>
        <v>{自動生成}10</v>
      </c>
      <c r="X21" s="42" t="s">
        <v>615</v>
      </c>
      <c r="Y21" s="43"/>
      <c r="Z21" s="42" t="b">
        <v>0</v>
      </c>
      <c r="AA21" s="44" t="b">
        <v>1</v>
      </c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35"/>
    </row>
    <row r="22" spans="1:44">
      <c r="A22" s="83"/>
      <c r="B22" s="31" t="str">
        <f t="shared" si="31"/>
        <v>#11</v>
      </c>
      <c r="C22" s="50" t="str">
        <f t="shared" ca="1" si="32"/>
        <v>{自動生成}11</v>
      </c>
      <c r="D22" s="42">
        <v>1</v>
      </c>
      <c r="E22" s="42">
        <v>5</v>
      </c>
      <c r="F22" s="42" t="s">
        <v>572</v>
      </c>
      <c r="G22" s="42" t="s">
        <v>563</v>
      </c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50" t="str">
        <f t="shared" ca="1" si="37"/>
        <v>{自動生成}11</v>
      </c>
      <c r="X22" s="42" t="s">
        <v>616</v>
      </c>
      <c r="Y22" s="43"/>
      <c r="Z22" s="42" t="b">
        <v>0</v>
      </c>
      <c r="AA22" s="44" t="b">
        <v>1</v>
      </c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35"/>
    </row>
    <row r="23" spans="1:44">
      <c r="A23" s="83"/>
      <c r="B23" s="31" t="str">
        <f t="shared" si="31"/>
        <v>#12</v>
      </c>
      <c r="C23" s="50" t="str">
        <f t="shared" ca="1" si="32"/>
        <v>{自動生成}12</v>
      </c>
      <c r="D23" s="42">
        <v>1</v>
      </c>
      <c r="E23" s="42">
        <v>6</v>
      </c>
      <c r="F23" s="42" t="s">
        <v>756</v>
      </c>
      <c r="G23" s="42" t="s">
        <v>563</v>
      </c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50" t="str">
        <f t="shared" ca="1" si="37"/>
        <v>{自動生成}12</v>
      </c>
      <c r="X23" s="42" t="s">
        <v>764</v>
      </c>
      <c r="Y23" s="42"/>
      <c r="Z23" s="42" t="b">
        <v>0</v>
      </c>
      <c r="AA23" s="44" t="b">
        <v>1</v>
      </c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35"/>
    </row>
    <row r="24" spans="1:44">
      <c r="A24" s="83"/>
      <c r="B24" s="31" t="str">
        <f t="shared" si="31"/>
        <v>#13</v>
      </c>
      <c r="C24" s="50" t="str">
        <f t="shared" ca="1" si="32"/>
        <v>{自動生成}13</v>
      </c>
      <c r="D24" s="42">
        <v>1</v>
      </c>
      <c r="E24" s="42">
        <v>7</v>
      </c>
      <c r="F24" s="42" t="s">
        <v>755</v>
      </c>
      <c r="G24" s="42" t="s">
        <v>563</v>
      </c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35"/>
    </row>
    <row r="25" spans="1:44">
      <c r="A25" s="83"/>
      <c r="B25" s="31" t="str">
        <f t="shared" si="31"/>
        <v>#14</v>
      </c>
      <c r="C25" s="50" t="str">
        <f t="shared" ca="1" si="32"/>
        <v>{自動生成}14</v>
      </c>
      <c r="D25" s="42">
        <v>1</v>
      </c>
      <c r="E25" s="42">
        <v>8</v>
      </c>
      <c r="F25" s="42" t="s">
        <v>760</v>
      </c>
      <c r="G25" s="42" t="s">
        <v>563</v>
      </c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35"/>
    </row>
    <row r="26" spans="1:44">
      <c r="A26" s="83"/>
      <c r="B26" s="31" t="str">
        <f t="shared" si="31"/>
        <v>#15</v>
      </c>
      <c r="C26" s="50" t="str">
        <f t="shared" ca="1" si="32"/>
        <v>{自動生成}15</v>
      </c>
      <c r="D26" s="42">
        <v>1</v>
      </c>
      <c r="E26" s="42">
        <v>9</v>
      </c>
      <c r="F26" s="42" t="s">
        <v>757</v>
      </c>
      <c r="G26" s="42" t="s">
        <v>563</v>
      </c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35"/>
    </row>
    <row r="27" spans="1:44">
      <c r="A27" s="83"/>
      <c r="B27" s="31" t="str">
        <f t="shared" si="31"/>
        <v>#16</v>
      </c>
      <c r="C27" s="50" t="str">
        <f t="shared" ca="1" si="32"/>
        <v>{自動生成}16</v>
      </c>
      <c r="D27" s="42">
        <v>2</v>
      </c>
      <c r="E27" s="42">
        <v>1</v>
      </c>
      <c r="F27" s="45" t="s">
        <v>564</v>
      </c>
      <c r="G27" s="42" t="s">
        <v>563</v>
      </c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35"/>
    </row>
    <row r="28" spans="1:44">
      <c r="A28" s="83"/>
      <c r="B28" s="31" t="str">
        <f t="shared" si="31"/>
        <v>#17</v>
      </c>
      <c r="C28" s="50" t="str">
        <f t="shared" ca="1" si="32"/>
        <v>{自動生成}17</v>
      </c>
      <c r="D28" s="42">
        <v>2</v>
      </c>
      <c r="E28" s="42">
        <v>2</v>
      </c>
      <c r="F28" s="43" t="s">
        <v>565</v>
      </c>
      <c r="G28" s="42" t="s">
        <v>563</v>
      </c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35"/>
    </row>
    <row r="29" spans="1:44">
      <c r="A29" s="83"/>
      <c r="B29" s="31" t="str">
        <f t="shared" si="31"/>
        <v>#18</v>
      </c>
      <c r="C29" s="50" t="str">
        <f t="shared" ca="1" si="32"/>
        <v>{自動生成}18</v>
      </c>
      <c r="D29" s="42">
        <v>2</v>
      </c>
      <c r="E29" s="42">
        <v>3</v>
      </c>
      <c r="F29" s="43" t="s">
        <v>566</v>
      </c>
      <c r="G29" s="42" t="s">
        <v>563</v>
      </c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35"/>
    </row>
    <row r="30" spans="1:44">
      <c r="A30" s="83"/>
      <c r="B30" s="31" t="str">
        <f t="shared" si="31"/>
        <v>#19</v>
      </c>
      <c r="C30" s="50" t="str">
        <f t="shared" ca="1" si="32"/>
        <v>{自動生成}19</v>
      </c>
      <c r="D30" s="42">
        <v>2</v>
      </c>
      <c r="E30" s="42">
        <v>4</v>
      </c>
      <c r="F30" s="43" t="s">
        <v>567</v>
      </c>
      <c r="G30" s="42" t="s">
        <v>563</v>
      </c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35"/>
    </row>
    <row r="31" spans="1:44">
      <c r="A31" s="83"/>
      <c r="B31" s="31" t="str">
        <f t="shared" si="31"/>
        <v>#20</v>
      </c>
      <c r="C31" s="50" t="str">
        <f t="shared" ca="1" si="32"/>
        <v>{自動生成}20</v>
      </c>
      <c r="D31" s="42">
        <v>2</v>
      </c>
      <c r="E31" s="42">
        <v>5</v>
      </c>
      <c r="F31" s="43" t="s">
        <v>571</v>
      </c>
      <c r="G31" s="42" t="s">
        <v>563</v>
      </c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35"/>
    </row>
    <row r="32" spans="1:44">
      <c r="A32" s="83"/>
      <c r="B32" s="31" t="str">
        <f t="shared" si="31"/>
        <v>#21</v>
      </c>
      <c r="C32" s="50" t="str">
        <f t="shared" ca="1" si="32"/>
        <v>{自動生成}21</v>
      </c>
      <c r="D32" s="42">
        <v>2</v>
      </c>
      <c r="E32" s="42">
        <v>6</v>
      </c>
      <c r="F32" s="43" t="s">
        <v>758</v>
      </c>
      <c r="G32" s="42" t="s">
        <v>563</v>
      </c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35"/>
    </row>
    <row r="33" spans="1:44">
      <c r="A33" s="83"/>
      <c r="B33" s="31" t="str">
        <f t="shared" si="31"/>
        <v>#22</v>
      </c>
      <c r="C33" s="50" t="str">
        <f t="shared" ca="1" si="32"/>
        <v>{自動生成}22</v>
      </c>
      <c r="D33" s="42">
        <v>2</v>
      </c>
      <c r="E33" s="42">
        <v>7</v>
      </c>
      <c r="F33" s="43" t="s">
        <v>565</v>
      </c>
      <c r="G33" s="42" t="s">
        <v>563</v>
      </c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35"/>
    </row>
    <row r="34" spans="1:44">
      <c r="A34" s="83"/>
      <c r="B34" s="31" t="str">
        <f t="shared" si="31"/>
        <v>#23</v>
      </c>
      <c r="C34" s="50" t="str">
        <f t="shared" ca="1" si="32"/>
        <v>{自動生成}23</v>
      </c>
      <c r="D34" s="42">
        <v>2</v>
      </c>
      <c r="E34" s="42">
        <v>8</v>
      </c>
      <c r="F34" s="43" t="s">
        <v>759</v>
      </c>
      <c r="G34" s="42" t="s">
        <v>563</v>
      </c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35"/>
    </row>
    <row r="35" spans="1:44">
      <c r="A35" s="83"/>
      <c r="B35" s="31" t="str">
        <f t="shared" si="31"/>
        <v>#24</v>
      </c>
      <c r="C35" s="50" t="str">
        <f t="shared" ca="1" si="32"/>
        <v>{自動生成}24</v>
      </c>
      <c r="D35" s="42">
        <v>2</v>
      </c>
      <c r="E35" s="42">
        <v>9</v>
      </c>
      <c r="F35" s="43" t="s">
        <v>567</v>
      </c>
      <c r="G35" s="42" t="s">
        <v>563</v>
      </c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35"/>
    </row>
    <row r="36" spans="1:44">
      <c r="A36" s="83"/>
      <c r="B36" s="31" t="str">
        <f t="shared" si="31"/>
        <v>#25</v>
      </c>
      <c r="C36" s="50" t="str">
        <f t="shared" ca="1" si="32"/>
        <v>{自動生成}25</v>
      </c>
      <c r="D36" s="42">
        <v>1</v>
      </c>
      <c r="E36" s="42">
        <v>1</v>
      </c>
      <c r="F36" s="42" t="s">
        <v>607</v>
      </c>
      <c r="G36" s="42" t="s">
        <v>595</v>
      </c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35"/>
    </row>
    <row r="37" spans="1:44">
      <c r="A37" s="83"/>
      <c r="B37" s="31" t="str">
        <f t="shared" si="31"/>
        <v>#26</v>
      </c>
      <c r="C37" s="50" t="str">
        <f t="shared" ca="1" si="32"/>
        <v>{自動生成}26</v>
      </c>
      <c r="D37" s="42">
        <v>1</v>
      </c>
      <c r="E37" s="42">
        <v>2</v>
      </c>
      <c r="F37" s="42" t="s">
        <v>608</v>
      </c>
      <c r="G37" s="42" t="s">
        <v>595</v>
      </c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35"/>
    </row>
    <row r="38" spans="1:44">
      <c r="A38" s="83"/>
      <c r="B38" s="31" t="str">
        <f t="shared" si="31"/>
        <v>#27</v>
      </c>
      <c r="C38" s="50" t="str">
        <f t="shared" ca="1" si="32"/>
        <v>{自動生成}27</v>
      </c>
      <c r="D38" s="42">
        <v>1</v>
      </c>
      <c r="E38" s="42">
        <v>3</v>
      </c>
      <c r="F38" s="42" t="s">
        <v>609</v>
      </c>
      <c r="G38" s="42" t="s">
        <v>595</v>
      </c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35"/>
    </row>
    <row r="39" spans="1:44">
      <c r="A39" s="83"/>
      <c r="B39" s="31" t="str">
        <f t="shared" si="31"/>
        <v>#28</v>
      </c>
      <c r="C39" s="50" t="str">
        <f t="shared" ca="1" si="32"/>
        <v>{自動生成}28</v>
      </c>
      <c r="D39" s="42">
        <v>1</v>
      </c>
      <c r="E39" s="42">
        <v>4</v>
      </c>
      <c r="F39" s="42" t="s">
        <v>452</v>
      </c>
      <c r="G39" s="42" t="s">
        <v>595</v>
      </c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35"/>
    </row>
    <row r="40" spans="1:44">
      <c r="A40" s="83"/>
      <c r="B40" s="31" t="str">
        <f t="shared" si="31"/>
        <v>#29</v>
      </c>
      <c r="C40" s="50" t="str">
        <f t="shared" ca="1" si="32"/>
        <v>{自動生成}29</v>
      </c>
      <c r="D40" s="42">
        <v>1</v>
      </c>
      <c r="E40" s="42">
        <v>5</v>
      </c>
      <c r="F40" s="42" t="s">
        <v>610</v>
      </c>
      <c r="G40" s="42" t="s">
        <v>595</v>
      </c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35"/>
    </row>
    <row r="41" spans="1:44">
      <c r="A41" s="83"/>
      <c r="B41" s="31" t="str">
        <f t="shared" si="31"/>
        <v>#30</v>
      </c>
      <c r="C41" s="50" t="str">
        <f t="shared" ca="1" si="32"/>
        <v>{自動生成}30</v>
      </c>
      <c r="D41" s="42">
        <v>1</v>
      </c>
      <c r="E41" s="42">
        <v>6</v>
      </c>
      <c r="F41" s="42" t="s">
        <v>611</v>
      </c>
      <c r="G41" s="42" t="s">
        <v>595</v>
      </c>
      <c r="H41" s="44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37"/>
    </row>
    <row r="42" spans="1:44">
      <c r="A42" s="83"/>
      <c r="B42" s="31" t="str">
        <f t="shared" si="31"/>
        <v>#31</v>
      </c>
      <c r="C42" s="50" t="str">
        <f t="shared" ca="1" si="32"/>
        <v>{自動生成}31</v>
      </c>
      <c r="D42" s="42">
        <v>1</v>
      </c>
      <c r="E42" s="42">
        <v>7</v>
      </c>
      <c r="F42" s="42" t="s">
        <v>612</v>
      </c>
      <c r="G42" s="42" t="s">
        <v>595</v>
      </c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35"/>
    </row>
    <row r="43" spans="1:44">
      <c r="A43" s="83"/>
      <c r="B43" s="31" t="str">
        <f t="shared" si="31"/>
        <v>#32</v>
      </c>
      <c r="C43" s="50" t="str">
        <f t="shared" ca="1" si="32"/>
        <v>{自動生成}32</v>
      </c>
      <c r="D43" s="42">
        <v>1</v>
      </c>
      <c r="E43" s="42">
        <v>8</v>
      </c>
      <c r="F43" s="42" t="s">
        <v>613</v>
      </c>
      <c r="G43" s="42" t="s">
        <v>595</v>
      </c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35"/>
    </row>
    <row r="44" spans="1:44">
      <c r="A44" s="83"/>
      <c r="B44" s="31" t="str">
        <f t="shared" si="31"/>
        <v>#33</v>
      </c>
      <c r="C44" s="50" t="str">
        <f t="shared" ca="1" si="32"/>
        <v>{自動生成}33</v>
      </c>
      <c r="D44" s="42">
        <v>1</v>
      </c>
      <c r="E44" s="42">
        <v>9</v>
      </c>
      <c r="F44" s="42" t="s">
        <v>614</v>
      </c>
      <c r="G44" s="42" t="s">
        <v>595</v>
      </c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35"/>
    </row>
    <row r="45" spans="1:44">
      <c r="A45" s="83"/>
      <c r="B45" s="31" t="str">
        <f t="shared" si="31"/>
        <v>#34</v>
      </c>
      <c r="C45" s="50" t="str">
        <f t="shared" ca="1" si="32"/>
        <v>{自動生成}34</v>
      </c>
      <c r="D45" s="42">
        <v>1</v>
      </c>
      <c r="E45" s="42">
        <v>10</v>
      </c>
      <c r="F45" s="42" t="s">
        <v>615</v>
      </c>
      <c r="G45" s="42" t="s">
        <v>595</v>
      </c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35"/>
    </row>
    <row r="46" spans="1:44">
      <c r="A46" s="83"/>
      <c r="B46" s="31" t="str">
        <f t="shared" si="31"/>
        <v>#35</v>
      </c>
      <c r="C46" s="50" t="str">
        <f ca="1">IF(C44&lt;&gt;"SEQUENCE","{自動生成}"&amp;(MID(C44,7,3)+1),"{自動生成}"&amp;1)</f>
        <v>{自動生成}34</v>
      </c>
      <c r="D46" s="42">
        <v>1</v>
      </c>
      <c r="E46" s="42">
        <v>11</v>
      </c>
      <c r="F46" s="42" t="s">
        <v>616</v>
      </c>
      <c r="G46" s="42" t="s">
        <v>595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35"/>
    </row>
    <row r="47" spans="1:44">
      <c r="A47" s="83"/>
      <c r="B47" s="31" t="str">
        <f t="shared" si="31"/>
        <v>#36</v>
      </c>
      <c r="C47" s="50" t="str">
        <f ca="1">IF(C45&lt;&gt;"SEQUENCE","{自動生成}"&amp;(MID(C45,7,3)+1),"{自動生成}"&amp;1)</f>
        <v>{自動生成}35</v>
      </c>
      <c r="D47" s="42">
        <v>1</v>
      </c>
      <c r="E47" s="42">
        <v>12</v>
      </c>
      <c r="F47" s="42" t="s">
        <v>764</v>
      </c>
      <c r="G47" s="42" t="s">
        <v>595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35"/>
    </row>
    <row r="48" spans="1:44">
      <c r="A48" s="83"/>
      <c r="B48" s="31" t="str">
        <f t="shared" si="31"/>
        <v>#37</v>
      </c>
      <c r="C48" s="50" t="str">
        <f t="shared" ca="1" si="32"/>
        <v>{自動生成}36</v>
      </c>
      <c r="D48" s="42">
        <v>2</v>
      </c>
      <c r="E48" s="42">
        <v>1</v>
      </c>
      <c r="F48" s="42" t="s">
        <v>596</v>
      </c>
      <c r="G48" s="42" t="s">
        <v>595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35"/>
    </row>
    <row r="49" spans="1:44">
      <c r="A49" s="83"/>
      <c r="B49" s="31" t="str">
        <f t="shared" si="31"/>
        <v>#38</v>
      </c>
      <c r="C49" s="50" t="str">
        <f t="shared" ca="1" si="32"/>
        <v>{自動生成}37</v>
      </c>
      <c r="D49" s="42">
        <v>2</v>
      </c>
      <c r="E49" s="42">
        <v>2</v>
      </c>
      <c r="F49" s="42" t="s">
        <v>597</v>
      </c>
      <c r="G49" s="42" t="s">
        <v>595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35"/>
    </row>
    <row r="50" spans="1:44">
      <c r="A50" s="83"/>
      <c r="B50" s="31" t="str">
        <f t="shared" si="31"/>
        <v>#39</v>
      </c>
      <c r="C50" s="50" t="str">
        <f t="shared" ca="1" si="32"/>
        <v>{自動生成}38</v>
      </c>
      <c r="D50" s="42">
        <v>2</v>
      </c>
      <c r="E50" s="42">
        <v>3</v>
      </c>
      <c r="F50" s="42" t="s">
        <v>598</v>
      </c>
      <c r="G50" s="42" t="s">
        <v>595</v>
      </c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35"/>
    </row>
    <row r="51" spans="1:44">
      <c r="A51" s="83"/>
      <c r="B51" s="31" t="str">
        <f t="shared" si="31"/>
        <v>#40</v>
      </c>
      <c r="C51" s="50" t="str">
        <f t="shared" ca="1" si="32"/>
        <v>{自動生成}39</v>
      </c>
      <c r="D51" s="42">
        <v>2</v>
      </c>
      <c r="E51" s="42">
        <v>4</v>
      </c>
      <c r="F51" s="42" t="s">
        <v>599</v>
      </c>
      <c r="G51" s="42" t="s">
        <v>595</v>
      </c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35"/>
    </row>
    <row r="52" spans="1:44">
      <c r="A52" s="83"/>
      <c r="B52" s="31" t="str">
        <f t="shared" si="31"/>
        <v>#41</v>
      </c>
      <c r="C52" s="50" t="str">
        <f t="shared" ca="1" si="32"/>
        <v>{自動生成}40</v>
      </c>
      <c r="D52" s="42">
        <v>2</v>
      </c>
      <c r="E52" s="42">
        <v>5</v>
      </c>
      <c r="F52" s="42" t="s">
        <v>600</v>
      </c>
      <c r="G52" s="42" t="s">
        <v>595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35"/>
    </row>
    <row r="53" spans="1:44">
      <c r="A53" s="83"/>
      <c r="B53" s="31" t="str">
        <f t="shared" si="31"/>
        <v>#42</v>
      </c>
      <c r="C53" s="50" t="str">
        <f t="shared" ca="1" si="32"/>
        <v>{自動生成}41</v>
      </c>
      <c r="D53" s="42">
        <v>2</v>
      </c>
      <c r="E53" s="42">
        <v>6</v>
      </c>
      <c r="F53" s="42" t="s">
        <v>601</v>
      </c>
      <c r="G53" s="42" t="s">
        <v>595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35"/>
    </row>
    <row r="54" spans="1:44">
      <c r="A54" s="83"/>
      <c r="B54" s="31" t="str">
        <f t="shared" si="31"/>
        <v>#43</v>
      </c>
      <c r="C54" s="50" t="str">
        <f t="shared" ca="1" si="32"/>
        <v>{自動生成}42</v>
      </c>
      <c r="D54" s="42">
        <v>2</v>
      </c>
      <c r="E54" s="42">
        <v>7</v>
      </c>
      <c r="F54" s="42" t="s">
        <v>602</v>
      </c>
      <c r="G54" s="42" t="s">
        <v>595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35"/>
    </row>
    <row r="55" spans="1:44">
      <c r="A55" s="83"/>
      <c r="B55" s="31" t="str">
        <f t="shared" si="31"/>
        <v>#44</v>
      </c>
      <c r="C55" s="50" t="str">
        <f t="shared" ca="1" si="32"/>
        <v>{自動生成}43</v>
      </c>
      <c r="D55" s="42">
        <v>2</v>
      </c>
      <c r="E55" s="42">
        <v>8</v>
      </c>
      <c r="F55" s="42" t="s">
        <v>603</v>
      </c>
      <c r="G55" s="42" t="s">
        <v>595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35"/>
    </row>
    <row r="56" spans="1:44">
      <c r="A56" s="83"/>
      <c r="B56" s="31" t="str">
        <f t="shared" si="31"/>
        <v>#45</v>
      </c>
      <c r="C56" s="50" t="str">
        <f t="shared" ca="1" si="32"/>
        <v>{自動生成}44</v>
      </c>
      <c r="D56" s="42">
        <v>2</v>
      </c>
      <c r="E56" s="42">
        <v>9</v>
      </c>
      <c r="F56" s="42" t="s">
        <v>604</v>
      </c>
      <c r="G56" s="42" t="s">
        <v>595</v>
      </c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35"/>
    </row>
    <row r="57" spans="1:44">
      <c r="A57" s="83"/>
      <c r="B57" s="31" t="str">
        <f t="shared" si="31"/>
        <v>#46</v>
      </c>
      <c r="C57" s="50" t="str">
        <f t="shared" ca="1" si="32"/>
        <v>{自動生成}45</v>
      </c>
      <c r="D57" s="42">
        <v>2</v>
      </c>
      <c r="E57" s="42">
        <v>10</v>
      </c>
      <c r="F57" s="43" t="s">
        <v>605</v>
      </c>
      <c r="G57" s="42" t="s">
        <v>595</v>
      </c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35"/>
    </row>
    <row r="58" spans="1:44">
      <c r="A58" s="83"/>
      <c r="B58" s="31" t="str">
        <f t="shared" si="31"/>
        <v>#47</v>
      </c>
      <c r="C58" s="50" t="str">
        <f ca="1">IF(C56&lt;&gt;"SEQUENCE","{自動生成}"&amp;(MID(C56,7,3)+1),"{自動生成}"&amp;1)</f>
        <v>{自動生成}45</v>
      </c>
      <c r="D58" s="42">
        <v>2</v>
      </c>
      <c r="E58" s="42">
        <v>11</v>
      </c>
      <c r="F58" s="43" t="s">
        <v>606</v>
      </c>
      <c r="G58" s="42" t="s">
        <v>595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35"/>
    </row>
    <row r="59" spans="1:44">
      <c r="A59" s="83"/>
      <c r="B59" s="31" t="str">
        <f t="shared" si="31"/>
        <v>#48</v>
      </c>
      <c r="C59" s="50" t="str">
        <f ca="1">IF(C57&lt;&gt;"SEQUENCE","{自動生成}"&amp;(MID(C57,7,3)+1),"{自動生成}"&amp;1)</f>
        <v>{自動生成}46</v>
      </c>
      <c r="D59" s="42">
        <v>2</v>
      </c>
      <c r="E59" s="42">
        <v>12</v>
      </c>
      <c r="F59" s="42" t="s">
        <v>765</v>
      </c>
      <c r="G59" s="42" t="s">
        <v>595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35"/>
    </row>
    <row r="60" spans="1:44">
      <c r="A60" s="83"/>
      <c r="B60" s="31" t="str">
        <f t="shared" si="31"/>
        <v>#49</v>
      </c>
      <c r="C60" s="50" t="str">
        <f t="shared" ca="1" si="32"/>
        <v>{自動生成}47</v>
      </c>
      <c r="D60" s="42">
        <v>1</v>
      </c>
      <c r="E60" s="42">
        <v>1</v>
      </c>
      <c r="F60" s="43" t="s">
        <v>635</v>
      </c>
      <c r="G60" s="42" t="s">
        <v>620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35"/>
    </row>
    <row r="61" spans="1:44">
      <c r="A61" s="83"/>
      <c r="B61" s="31" t="str">
        <f t="shared" si="31"/>
        <v>#50</v>
      </c>
      <c r="C61" s="50" t="str">
        <f t="shared" ca="1" si="32"/>
        <v>{自動生成}48</v>
      </c>
      <c r="D61" s="42">
        <v>1</v>
      </c>
      <c r="E61" s="42">
        <v>2</v>
      </c>
      <c r="F61" s="43" t="s">
        <v>634</v>
      </c>
      <c r="G61" s="44" t="s">
        <v>213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35"/>
    </row>
    <row r="62" spans="1:44">
      <c r="A62" s="83"/>
      <c r="B62" s="31" t="str">
        <f t="shared" si="31"/>
        <v>#51</v>
      </c>
      <c r="C62" s="50" t="str">
        <f t="shared" ca="1" si="32"/>
        <v>{自動生成}49</v>
      </c>
      <c r="D62" s="42">
        <v>1</v>
      </c>
      <c r="E62" s="42">
        <v>3</v>
      </c>
      <c r="F62" s="43" t="s">
        <v>632</v>
      </c>
      <c r="G62" s="44" t="s">
        <v>213</v>
      </c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35"/>
    </row>
    <row r="63" spans="1:44">
      <c r="A63" s="83"/>
      <c r="B63" s="31" t="str">
        <f t="shared" si="31"/>
        <v>#52</v>
      </c>
      <c r="C63" s="50" t="str">
        <f t="shared" ca="1" si="32"/>
        <v>{自動生成}50</v>
      </c>
      <c r="D63" s="42">
        <v>1</v>
      </c>
      <c r="E63" s="42">
        <v>4</v>
      </c>
      <c r="F63" s="43" t="s">
        <v>628</v>
      </c>
      <c r="G63" s="44" t="s">
        <v>213</v>
      </c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35"/>
    </row>
    <row r="64" spans="1:44">
      <c r="A64" s="83"/>
      <c r="B64" s="31" t="str">
        <f t="shared" si="31"/>
        <v>#53</v>
      </c>
      <c r="C64" s="50" t="str">
        <f t="shared" ca="1" si="32"/>
        <v>{自動生成}51</v>
      </c>
      <c r="D64" s="42">
        <v>1</v>
      </c>
      <c r="E64" s="42">
        <v>5</v>
      </c>
      <c r="F64" s="43" t="s">
        <v>630</v>
      </c>
      <c r="G64" s="44" t="s">
        <v>213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35"/>
    </row>
    <row r="65" spans="1:44">
      <c r="A65" s="83"/>
      <c r="B65" s="31" t="str">
        <f t="shared" si="31"/>
        <v>#54</v>
      </c>
      <c r="C65" s="50" t="str">
        <f t="shared" ca="1" si="32"/>
        <v>{自動生成}52</v>
      </c>
      <c r="D65" s="42">
        <v>1</v>
      </c>
      <c r="E65" s="42">
        <v>6</v>
      </c>
      <c r="F65" s="43" t="s">
        <v>569</v>
      </c>
      <c r="G65" s="44" t="s">
        <v>213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35"/>
    </row>
    <row r="66" spans="1:44">
      <c r="A66" s="83"/>
      <c r="B66" s="31" t="str">
        <f t="shared" si="31"/>
        <v>#55</v>
      </c>
      <c r="C66" s="50" t="str">
        <f t="shared" ca="1" si="32"/>
        <v>{自動生成}53</v>
      </c>
      <c r="D66" s="42">
        <v>2</v>
      </c>
      <c r="E66" s="42">
        <v>1</v>
      </c>
      <c r="F66" s="43" t="s">
        <v>621</v>
      </c>
      <c r="G66" s="44" t="s">
        <v>213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35"/>
    </row>
    <row r="67" spans="1:44">
      <c r="A67" s="83"/>
      <c r="B67" s="31" t="str">
        <f t="shared" si="31"/>
        <v>#56</v>
      </c>
      <c r="C67" s="50" t="str">
        <f t="shared" ca="1" si="32"/>
        <v>{自動生成}54</v>
      </c>
      <c r="D67" s="42">
        <v>2</v>
      </c>
      <c r="E67" s="42">
        <v>2</v>
      </c>
      <c r="F67" s="43" t="s">
        <v>622</v>
      </c>
      <c r="G67" s="44" t="s">
        <v>213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35"/>
    </row>
    <row r="68" spans="1:44">
      <c r="A68" s="83"/>
      <c r="B68" s="31" t="str">
        <f t="shared" si="31"/>
        <v>#57</v>
      </c>
      <c r="C68" s="50" t="str">
        <f t="shared" ca="1" si="32"/>
        <v>{自動生成}55</v>
      </c>
      <c r="D68" s="42">
        <v>2</v>
      </c>
      <c r="E68" s="42">
        <v>3</v>
      </c>
      <c r="F68" s="43" t="s">
        <v>623</v>
      </c>
      <c r="G68" s="44" t="s">
        <v>213</v>
      </c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35"/>
    </row>
    <row r="69" spans="1:44">
      <c r="A69" s="83"/>
      <c r="B69" s="31" t="str">
        <f t="shared" si="31"/>
        <v>#58</v>
      </c>
      <c r="C69" s="50" t="str">
        <f t="shared" ca="1" si="32"/>
        <v>{自動生成}56</v>
      </c>
      <c r="D69" s="42">
        <v>2</v>
      </c>
      <c r="E69" s="42">
        <v>4</v>
      </c>
      <c r="F69" s="43" t="s">
        <v>624</v>
      </c>
      <c r="G69" s="44" t="s">
        <v>213</v>
      </c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35"/>
    </row>
    <row r="70" spans="1:44">
      <c r="A70" s="83"/>
      <c r="B70" s="31" t="str">
        <f t="shared" si="31"/>
        <v>#59</v>
      </c>
      <c r="C70" s="50" t="str">
        <f t="shared" ca="1" si="32"/>
        <v>{自動生成}57</v>
      </c>
      <c r="D70" s="42">
        <v>2</v>
      </c>
      <c r="E70" s="42">
        <v>5</v>
      </c>
      <c r="F70" s="43" t="s">
        <v>625</v>
      </c>
      <c r="G70" s="44" t="s">
        <v>213</v>
      </c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35"/>
    </row>
    <row r="71" spans="1:44">
      <c r="A71" s="83"/>
      <c r="B71" s="31" t="str">
        <f t="shared" si="31"/>
        <v>#60</v>
      </c>
      <c r="C71" s="50" t="str">
        <f t="shared" ca="1" si="32"/>
        <v>{自動生成}58</v>
      </c>
      <c r="D71" s="42">
        <v>2</v>
      </c>
      <c r="E71" s="42">
        <v>6</v>
      </c>
      <c r="F71" s="43" t="s">
        <v>567</v>
      </c>
      <c r="G71" s="44" t="s">
        <v>213</v>
      </c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35"/>
    </row>
    <row r="72" spans="1:44">
      <c r="A72" s="83"/>
      <c r="B72" s="31" t="str">
        <f t="shared" si="31"/>
        <v>#61</v>
      </c>
      <c r="C72" s="50" t="str">
        <f t="shared" ca="1" si="32"/>
        <v>{自動生成}59</v>
      </c>
      <c r="D72" s="42">
        <v>1</v>
      </c>
      <c r="E72" s="42">
        <v>1</v>
      </c>
      <c r="F72" s="42" t="s">
        <v>637</v>
      </c>
      <c r="G72" s="42" t="s">
        <v>636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35"/>
    </row>
    <row r="73" spans="1:44">
      <c r="A73" s="83"/>
      <c r="B73" s="31" t="str">
        <f t="shared" si="31"/>
        <v>#62</v>
      </c>
      <c r="C73" s="50" t="str">
        <f t="shared" ca="1" si="32"/>
        <v>{自動生成}60</v>
      </c>
      <c r="D73" s="42">
        <v>1</v>
      </c>
      <c r="E73" s="42">
        <v>2</v>
      </c>
      <c r="F73" s="42" t="s">
        <v>638</v>
      </c>
      <c r="G73" s="44" t="s">
        <v>227</v>
      </c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35"/>
    </row>
    <row r="74" spans="1:44">
      <c r="A74" s="83"/>
      <c r="B74" s="31" t="str">
        <f t="shared" si="31"/>
        <v>#63</v>
      </c>
      <c r="C74" s="50" t="str">
        <f t="shared" ca="1" si="32"/>
        <v>{自動生成}61</v>
      </c>
      <c r="D74" s="42">
        <v>1</v>
      </c>
      <c r="E74" s="42">
        <v>3</v>
      </c>
      <c r="F74" s="42" t="s">
        <v>639</v>
      </c>
      <c r="G74" s="44" t="s">
        <v>227</v>
      </c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35"/>
    </row>
    <row r="75" spans="1:44">
      <c r="A75" s="83"/>
      <c r="B75" s="31" t="str">
        <f t="shared" si="31"/>
        <v>#64</v>
      </c>
      <c r="C75" s="50" t="str">
        <f t="shared" ca="1" si="32"/>
        <v>{自動生成}62</v>
      </c>
      <c r="D75" s="42">
        <v>1</v>
      </c>
      <c r="E75" s="42">
        <v>4</v>
      </c>
      <c r="F75" s="42" t="s">
        <v>640</v>
      </c>
      <c r="G75" s="44" t="s">
        <v>227</v>
      </c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35"/>
    </row>
    <row r="76" spans="1:44">
      <c r="A76" s="83"/>
      <c r="B76" s="31" t="str">
        <f t="shared" si="31"/>
        <v>#65</v>
      </c>
      <c r="C76" s="50" t="str">
        <f t="shared" ca="1" si="32"/>
        <v>{自動生成}63</v>
      </c>
      <c r="D76" s="42">
        <v>2</v>
      </c>
      <c r="E76" s="42">
        <v>1</v>
      </c>
      <c r="F76" s="43" t="s">
        <v>641</v>
      </c>
      <c r="G76" s="44" t="s">
        <v>227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35"/>
    </row>
    <row r="77" spans="1:44">
      <c r="A77" s="83"/>
      <c r="B77" s="31" t="str">
        <f t="shared" si="31"/>
        <v>#66</v>
      </c>
      <c r="C77" s="50" t="str">
        <f t="shared" ca="1" si="32"/>
        <v>{自動生成}64</v>
      </c>
      <c r="D77" s="42">
        <v>2</v>
      </c>
      <c r="E77" s="42">
        <v>2</v>
      </c>
      <c r="F77" s="43" t="s">
        <v>642</v>
      </c>
      <c r="G77" s="44" t="s">
        <v>227</v>
      </c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35"/>
    </row>
    <row r="78" spans="1:44">
      <c r="A78" s="83"/>
      <c r="B78" s="31" t="str">
        <f t="shared" si="31"/>
        <v>#67</v>
      </c>
      <c r="C78" s="50" t="str">
        <f t="shared" ca="1" si="32"/>
        <v>{自動生成}65</v>
      </c>
      <c r="D78" s="42">
        <v>2</v>
      </c>
      <c r="E78" s="42">
        <v>3</v>
      </c>
      <c r="F78" s="43" t="s">
        <v>643</v>
      </c>
      <c r="G78" s="44" t="s">
        <v>227</v>
      </c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35"/>
    </row>
    <row r="79" spans="1:44">
      <c r="A79" s="83"/>
      <c r="B79" s="31" t="str">
        <f t="shared" si="31"/>
        <v>#68</v>
      </c>
      <c r="C79" s="50" t="str">
        <f t="shared" ref="C79:C95" ca="1" si="41">IF(C78&lt;&gt;"SEQUENCE","{自動生成}"&amp;(MID(C78,7,3)+1),"{自動生成}"&amp;1)</f>
        <v>{自動生成}66</v>
      </c>
      <c r="D79" s="42">
        <v>2</v>
      </c>
      <c r="E79" s="42">
        <v>4</v>
      </c>
      <c r="F79" s="43" t="s">
        <v>644</v>
      </c>
      <c r="G79" s="44" t="s">
        <v>227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35"/>
    </row>
    <row r="80" spans="1:44">
      <c r="A80" s="83"/>
      <c r="B80" s="31" t="str">
        <f t="shared" si="31"/>
        <v>#69</v>
      </c>
      <c r="C80" s="50" t="str">
        <f t="shared" ca="1" si="41"/>
        <v>{自動生成}67</v>
      </c>
      <c r="D80" s="42">
        <v>1</v>
      </c>
      <c r="E80" s="42">
        <v>1</v>
      </c>
      <c r="F80" s="43" t="s">
        <v>654</v>
      </c>
      <c r="G80" s="42" t="s">
        <v>645</v>
      </c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35"/>
    </row>
    <row r="81" spans="1:44">
      <c r="A81" s="83"/>
      <c r="B81" s="31" t="str">
        <f t="shared" si="31"/>
        <v>#70</v>
      </c>
      <c r="C81" s="50" t="str">
        <f t="shared" ca="1" si="41"/>
        <v>{自動生成}68</v>
      </c>
      <c r="D81" s="42">
        <v>1</v>
      </c>
      <c r="E81" s="42">
        <v>2</v>
      </c>
      <c r="F81" s="43" t="s">
        <v>655</v>
      </c>
      <c r="G81" s="42" t="s">
        <v>645</v>
      </c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35"/>
    </row>
    <row r="82" spans="1:44">
      <c r="A82" s="83"/>
      <c r="B82" s="31" t="str">
        <f t="shared" si="31"/>
        <v>#71</v>
      </c>
      <c r="C82" s="50" t="str">
        <f t="shared" ca="1" si="41"/>
        <v>{自動生成}69</v>
      </c>
      <c r="D82" s="42">
        <v>1</v>
      </c>
      <c r="E82" s="42">
        <v>3</v>
      </c>
      <c r="F82" s="43" t="s">
        <v>656</v>
      </c>
      <c r="G82" s="42" t="s">
        <v>645</v>
      </c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35"/>
    </row>
    <row r="83" spans="1:44">
      <c r="A83" s="83"/>
      <c r="B83" s="31" t="str">
        <f t="shared" si="31"/>
        <v>#72</v>
      </c>
      <c r="C83" s="50" t="str">
        <f t="shared" ca="1" si="41"/>
        <v>{自動生成}70</v>
      </c>
      <c r="D83" s="42">
        <v>1</v>
      </c>
      <c r="E83" s="42">
        <v>4</v>
      </c>
      <c r="F83" s="43" t="s">
        <v>657</v>
      </c>
      <c r="G83" s="42" t="s">
        <v>645</v>
      </c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35"/>
    </row>
    <row r="84" spans="1:44">
      <c r="A84" s="83"/>
      <c r="B84" s="31" t="str">
        <f t="shared" si="31"/>
        <v>#73</v>
      </c>
      <c r="C84" s="50" t="str">
        <f t="shared" ca="1" si="41"/>
        <v>{自動生成}71</v>
      </c>
      <c r="D84" s="42">
        <v>1</v>
      </c>
      <c r="E84" s="42">
        <v>5</v>
      </c>
      <c r="F84" s="43" t="s">
        <v>658</v>
      </c>
      <c r="G84" s="42" t="s">
        <v>645</v>
      </c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35"/>
    </row>
    <row r="85" spans="1:44">
      <c r="A85" s="83"/>
      <c r="B85" s="31" t="str">
        <f t="shared" ref="B85:B95" si="42">"#"&amp;(ROW()-11)</f>
        <v>#74</v>
      </c>
      <c r="C85" s="50" t="str">
        <f t="shared" ca="1" si="41"/>
        <v>{自動生成}72</v>
      </c>
      <c r="D85" s="42">
        <v>1</v>
      </c>
      <c r="E85" s="42">
        <v>6</v>
      </c>
      <c r="F85" s="43" t="s">
        <v>659</v>
      </c>
      <c r="G85" s="42" t="s">
        <v>645</v>
      </c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35"/>
    </row>
    <row r="86" spans="1:44">
      <c r="A86" s="83"/>
      <c r="B86" s="31" t="str">
        <f t="shared" si="42"/>
        <v>#75</v>
      </c>
      <c r="C86" s="50" t="str">
        <f t="shared" ca="1" si="41"/>
        <v>{自動生成}73</v>
      </c>
      <c r="D86" s="42">
        <v>1</v>
      </c>
      <c r="E86" s="42">
        <v>7</v>
      </c>
      <c r="F86" s="43" t="s">
        <v>660</v>
      </c>
      <c r="G86" s="42" t="s">
        <v>645</v>
      </c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35"/>
    </row>
    <row r="87" spans="1:44">
      <c r="A87" s="83"/>
      <c r="B87" s="31" t="str">
        <f t="shared" si="42"/>
        <v>#76</v>
      </c>
      <c r="C87" s="50" t="str">
        <f t="shared" ca="1" si="41"/>
        <v>{自動生成}74</v>
      </c>
      <c r="D87" s="42">
        <v>1</v>
      </c>
      <c r="E87" s="42">
        <v>8</v>
      </c>
      <c r="F87" s="43" t="s">
        <v>521</v>
      </c>
      <c r="G87" s="42" t="s">
        <v>645</v>
      </c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35"/>
    </row>
    <row r="88" spans="1:44">
      <c r="A88" s="83"/>
      <c r="B88" s="31" t="str">
        <f t="shared" si="42"/>
        <v>#77</v>
      </c>
      <c r="C88" s="50" t="str">
        <f t="shared" ca="1" si="41"/>
        <v>{自動生成}75</v>
      </c>
      <c r="D88" s="42">
        <v>2</v>
      </c>
      <c r="E88" s="42">
        <v>1</v>
      </c>
      <c r="F88" s="43" t="s">
        <v>648</v>
      </c>
      <c r="G88" s="42" t="s">
        <v>645</v>
      </c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35"/>
    </row>
    <row r="89" spans="1:44">
      <c r="A89" s="83"/>
      <c r="B89" s="31" t="str">
        <f t="shared" si="42"/>
        <v>#78</v>
      </c>
      <c r="C89" s="50" t="str">
        <f t="shared" ca="1" si="41"/>
        <v>{自動生成}76</v>
      </c>
      <c r="D89" s="42">
        <v>2</v>
      </c>
      <c r="E89" s="42">
        <v>2</v>
      </c>
      <c r="F89" s="45" t="s">
        <v>650</v>
      </c>
      <c r="G89" s="42" t="s">
        <v>645</v>
      </c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35"/>
    </row>
    <row r="90" spans="1:44">
      <c r="A90" s="83"/>
      <c r="B90" s="31" t="str">
        <f t="shared" si="42"/>
        <v>#79</v>
      </c>
      <c r="C90" s="50" t="str">
        <f t="shared" ca="1" si="41"/>
        <v>{自動生成}77</v>
      </c>
      <c r="D90" s="42">
        <v>2</v>
      </c>
      <c r="E90" s="42">
        <v>3</v>
      </c>
      <c r="F90" s="45" t="s">
        <v>651</v>
      </c>
      <c r="G90" s="42" t="s">
        <v>645</v>
      </c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35"/>
    </row>
    <row r="91" spans="1:44">
      <c r="A91" s="83"/>
      <c r="B91" s="31" t="str">
        <f t="shared" si="42"/>
        <v>#80</v>
      </c>
      <c r="C91" s="50" t="str">
        <f t="shared" ca="1" si="41"/>
        <v>{自動生成}78</v>
      </c>
      <c r="D91" s="42">
        <v>2</v>
      </c>
      <c r="E91" s="42">
        <v>4</v>
      </c>
      <c r="F91" s="43" t="s">
        <v>647</v>
      </c>
      <c r="G91" s="42" t="s">
        <v>645</v>
      </c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35"/>
    </row>
    <row r="92" spans="1:44">
      <c r="A92" s="83"/>
      <c r="B92" s="31" t="str">
        <f t="shared" si="42"/>
        <v>#81</v>
      </c>
      <c r="C92" s="50" t="str">
        <f t="shared" ca="1" si="41"/>
        <v>{自動生成}79</v>
      </c>
      <c r="D92" s="42">
        <v>2</v>
      </c>
      <c r="E92" s="42">
        <v>5</v>
      </c>
      <c r="F92" s="43" t="s">
        <v>652</v>
      </c>
      <c r="G92" s="42" t="s">
        <v>645</v>
      </c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35"/>
    </row>
    <row r="93" spans="1:44">
      <c r="A93" s="83"/>
      <c r="B93" s="31" t="str">
        <f t="shared" si="42"/>
        <v>#82</v>
      </c>
      <c r="C93" s="50" t="str">
        <f t="shared" ca="1" si="41"/>
        <v>{自動生成}80</v>
      </c>
      <c r="D93" s="42">
        <v>2</v>
      </c>
      <c r="E93" s="42">
        <v>6</v>
      </c>
      <c r="F93" s="43" t="s">
        <v>646</v>
      </c>
      <c r="G93" s="42" t="s">
        <v>645</v>
      </c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35"/>
    </row>
    <row r="94" spans="1:44">
      <c r="A94" s="83"/>
      <c r="B94" s="31" t="str">
        <f t="shared" si="42"/>
        <v>#83</v>
      </c>
      <c r="C94" s="50" t="str">
        <f t="shared" ca="1" si="41"/>
        <v>{自動生成}81</v>
      </c>
      <c r="D94" s="42">
        <v>2</v>
      </c>
      <c r="E94" s="42">
        <v>7</v>
      </c>
      <c r="F94" s="43" t="s">
        <v>653</v>
      </c>
      <c r="G94" s="42" t="s">
        <v>645</v>
      </c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35"/>
    </row>
    <row r="95" spans="1:44">
      <c r="A95" s="84"/>
      <c r="B95" s="31" t="str">
        <f t="shared" si="42"/>
        <v>#84</v>
      </c>
      <c r="C95" s="50" t="str">
        <f t="shared" ca="1" si="41"/>
        <v>{自動生成}82</v>
      </c>
      <c r="D95" s="42">
        <v>2</v>
      </c>
      <c r="E95" s="42">
        <v>8</v>
      </c>
      <c r="F95" s="43" t="s">
        <v>649</v>
      </c>
      <c r="G95" s="42" t="s">
        <v>645</v>
      </c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35"/>
    </row>
  </sheetData>
  <mergeCells count="4">
    <mergeCell ref="A3:A11"/>
    <mergeCell ref="A1:B1"/>
    <mergeCell ref="A2:B2"/>
    <mergeCell ref="A12:A95"/>
  </mergeCells>
  <phoneticPr fontId="4"/>
  <conditionalFormatting sqref="C1:AR1">
    <cfRule type="expression" dxfId="3" priority="5">
      <formula>C$1=B$1</formula>
    </cfRule>
  </conditionalFormatting>
  <conditionalFormatting sqref="C2:AR95">
    <cfRule type="expression" dxfId="2" priority="2">
      <formula>C$1=B$1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AD29-E402-4349-9160-203228FF870E}">
  <sheetPr>
    <tabColor theme="8" tint="0.59999389629810485"/>
  </sheetPr>
  <dimension ref="A1:CS33"/>
  <sheetViews>
    <sheetView tabSelected="1" zoomScale="160" zoomScaleNormal="160" workbookViewId="0">
      <pane xSplit="2" ySplit="11" topLeftCell="AE12" activePane="bottomRight" state="frozen"/>
      <selection pane="topRight" activeCell="C1" sqref="C1"/>
      <selection pane="bottomLeft" activeCell="A12" sqref="A12"/>
      <selection pane="bottomRight" activeCell="AJ19" sqref="AJ19"/>
    </sheetView>
  </sheetViews>
  <sheetFormatPr defaultColWidth="8.85546875" defaultRowHeight="15" outlineLevelRow="2" outlineLevelCol="1"/>
  <cols>
    <col min="1" max="1" width="3.28515625" bestFit="1" customWidth="1"/>
    <col min="2" max="2" width="20.28515625" bestFit="1" customWidth="1"/>
    <col min="3" max="3" width="29.85546875" bestFit="1" customWidth="1"/>
    <col min="4" max="4" width="19.5703125" hidden="1" customWidth="1" outlineLevel="1"/>
    <col min="5" max="5" width="15.42578125" hidden="1" customWidth="1" outlineLevel="1"/>
    <col min="6" max="6" width="17.42578125" hidden="1" customWidth="1" outlineLevel="1"/>
    <col min="7" max="7" width="15" hidden="1" customWidth="1" outlineLevel="1"/>
    <col min="8" max="8" width="37.140625" hidden="1" customWidth="1" outlineLevel="1"/>
    <col min="9" max="9" width="22.7109375" bestFit="1" customWidth="1" collapsed="1"/>
    <col min="10" max="12" width="22.7109375" hidden="1" customWidth="1" outlineLevel="1"/>
    <col min="13" max="13" width="19.7109375" bestFit="1" customWidth="1" collapsed="1"/>
    <col min="14" max="14" width="16.140625" customWidth="1" outlineLevel="1"/>
    <col min="15" max="15" width="17.85546875" customWidth="1" outlineLevel="1"/>
    <col min="16" max="21" width="22.7109375" customWidth="1" outlineLevel="1"/>
    <col min="22" max="22" width="22.7109375" bestFit="1" customWidth="1"/>
    <col min="23" max="23" width="22.7109375" hidden="1" customWidth="1" outlineLevel="1"/>
    <col min="24" max="24" width="22.7109375" bestFit="1" customWidth="1" collapsed="1"/>
    <col min="25" max="28" width="22.7109375" customWidth="1" outlineLevel="1"/>
    <col min="29" max="29" width="22.7109375" bestFit="1" customWidth="1"/>
    <col min="30" max="33" width="22.7109375" customWidth="1" outlineLevel="1"/>
    <col min="34" max="34" width="22.7109375" bestFit="1" customWidth="1"/>
    <col min="35" max="41" width="22.7109375" customWidth="1" outlineLevel="1"/>
    <col min="42" max="42" width="22.7109375" bestFit="1" customWidth="1"/>
    <col min="43" max="47" width="22.7109375" hidden="1" customWidth="1" outlineLevel="1"/>
    <col min="48" max="48" width="22.7109375" bestFit="1" customWidth="1" collapsed="1"/>
    <col min="49" max="53" width="22.7109375" hidden="1" customWidth="1" outlineLevel="1"/>
    <col min="54" max="54" width="22.7109375" bestFit="1" customWidth="1" collapsed="1"/>
    <col min="55" max="63" width="22.7109375" hidden="1" customWidth="1" outlineLevel="1"/>
    <col min="64" max="64" width="22.7109375" bestFit="1" customWidth="1" collapsed="1"/>
    <col min="65" max="68" width="22.7109375" hidden="1" customWidth="1" outlineLevel="1"/>
    <col min="69" max="69" width="22.7109375" bestFit="1" customWidth="1" collapsed="1"/>
    <col min="70" max="71" width="22.7109375" customWidth="1" outlineLevel="1"/>
    <col min="72" max="72" width="22.7109375" bestFit="1" customWidth="1"/>
    <col min="73" max="75" width="22.7109375" customWidth="1" outlineLevel="1"/>
    <col min="76" max="76" width="22.7109375" bestFit="1" customWidth="1"/>
    <col min="77" max="91" width="22.7109375" customWidth="1" outlineLevel="1"/>
    <col min="92" max="92" width="22.7109375" bestFit="1" customWidth="1"/>
    <col min="93" max="93" width="22.7109375" customWidth="1" outlineLevel="1"/>
    <col min="94" max="94" width="21.28515625" bestFit="1" customWidth="1" outlineLevel="1"/>
    <col min="95" max="95" width="22.7109375" bestFit="1" customWidth="1"/>
    <col min="96" max="97" width="22.7109375" customWidth="1" outlineLevel="1"/>
  </cols>
  <sheetData>
    <row r="1" spans="1:97">
      <c r="A1" s="75" t="s">
        <v>496</v>
      </c>
      <c r="B1" s="76"/>
      <c r="C1" s="47" t="s">
        <v>661</v>
      </c>
      <c r="D1" s="38" t="str">
        <f>C1</f>
        <v>vtuber_profiles</v>
      </c>
      <c r="E1" s="38" t="str">
        <f t="shared" ref="E1:AO1" si="0">D1</f>
        <v>vtuber_profiles</v>
      </c>
      <c r="F1" s="38" t="str">
        <f t="shared" si="0"/>
        <v>vtuber_profiles</v>
      </c>
      <c r="G1" s="38" t="str">
        <f t="shared" si="0"/>
        <v>vtuber_profiles</v>
      </c>
      <c r="H1" s="38" t="str">
        <f t="shared" si="0"/>
        <v>vtuber_profiles</v>
      </c>
      <c r="I1" s="38" t="s">
        <v>458</v>
      </c>
      <c r="J1" s="38" t="str">
        <f t="shared" si="0"/>
        <v>join_group</v>
      </c>
      <c r="K1" s="38" t="str">
        <f t="shared" si="0"/>
        <v>join_group</v>
      </c>
      <c r="L1" s="38" t="str">
        <f t="shared" si="0"/>
        <v>join_group</v>
      </c>
      <c r="M1" s="38" t="s">
        <v>467</v>
      </c>
      <c r="N1" s="38" t="str">
        <f t="shared" si="0"/>
        <v>users</v>
      </c>
      <c r="O1" s="38" t="str">
        <f t="shared" si="0"/>
        <v>users</v>
      </c>
      <c r="P1" s="38" t="str">
        <f t="shared" si="0"/>
        <v>users</v>
      </c>
      <c r="Q1" s="38" t="str">
        <f t="shared" si="0"/>
        <v>users</v>
      </c>
      <c r="R1" s="38" t="str">
        <f t="shared" si="0"/>
        <v>users</v>
      </c>
      <c r="S1" s="38" t="str">
        <f t="shared" si="0"/>
        <v>users</v>
      </c>
      <c r="T1" s="38" t="str">
        <f t="shared" si="0"/>
        <v>users</v>
      </c>
      <c r="U1" s="38" t="str">
        <f t="shared" si="0"/>
        <v>users</v>
      </c>
      <c r="V1" s="38" t="s">
        <v>469</v>
      </c>
      <c r="W1" s="38" t="str">
        <f t="shared" si="0"/>
        <v>tag</v>
      </c>
      <c r="X1" s="38" t="s">
        <v>663</v>
      </c>
      <c r="Y1" s="38" t="str">
        <f t="shared" si="0"/>
        <v>sns_link</v>
      </c>
      <c r="Z1" s="38" t="str">
        <f t="shared" si="0"/>
        <v>sns_link</v>
      </c>
      <c r="AA1" s="38" t="str">
        <f t="shared" si="0"/>
        <v>sns_link</v>
      </c>
      <c r="AB1" s="38" t="str">
        <f t="shared" si="0"/>
        <v>sns_link</v>
      </c>
      <c r="AC1" s="38" t="s">
        <v>664</v>
      </c>
      <c r="AD1" s="38" t="str">
        <f t="shared" si="0"/>
        <v>bbs_res</v>
      </c>
      <c r="AE1" s="38" t="str">
        <f t="shared" si="0"/>
        <v>bbs_res</v>
      </c>
      <c r="AF1" s="38" t="str">
        <f t="shared" si="0"/>
        <v>bbs_res</v>
      </c>
      <c r="AG1" s="38" t="str">
        <f t="shared" si="0"/>
        <v>bbs_res</v>
      </c>
      <c r="AH1" s="38" t="s">
        <v>665</v>
      </c>
      <c r="AI1" s="38" t="str">
        <f t="shared" si="0"/>
        <v>page_author</v>
      </c>
      <c r="AJ1" s="38" t="str">
        <f t="shared" si="0"/>
        <v>page_author</v>
      </c>
      <c r="AK1" s="38" t="str">
        <f t="shared" si="0"/>
        <v>page_author</v>
      </c>
      <c r="AL1" s="38" t="str">
        <f t="shared" si="0"/>
        <v>page_author</v>
      </c>
      <c r="AM1" s="38" t="str">
        <f t="shared" si="0"/>
        <v>page_author</v>
      </c>
      <c r="AN1" s="38" t="str">
        <f t="shared" si="0"/>
        <v>page_author</v>
      </c>
      <c r="AO1" s="38" t="str">
        <f t="shared" si="0"/>
        <v>page_author</v>
      </c>
      <c r="AP1" s="38" t="s">
        <v>666</v>
      </c>
      <c r="AQ1" s="38" t="str">
        <f t="shared" ref="AQ1:AT1" si="1">AP1</f>
        <v>contact</v>
      </c>
      <c r="AR1" s="38" t="str">
        <f t="shared" si="1"/>
        <v>contact</v>
      </c>
      <c r="AS1" s="38" t="str">
        <f t="shared" si="1"/>
        <v>contact</v>
      </c>
      <c r="AT1" s="38" t="str">
        <f t="shared" si="1"/>
        <v>contact</v>
      </c>
      <c r="AU1" s="38" t="str">
        <f t="shared" ref="AU1" si="2">AT1</f>
        <v>contact</v>
      </c>
      <c r="AV1" s="38" t="s">
        <v>669</v>
      </c>
      <c r="AW1" s="38" t="str">
        <f>AV1</f>
        <v>profile_report</v>
      </c>
      <c r="AX1" s="38" t="str">
        <f t="shared" ref="AX1" si="3">AW1</f>
        <v>profile_report</v>
      </c>
      <c r="AY1" s="38" t="str">
        <f t="shared" ref="AY1:AZ1" si="4">AX1</f>
        <v>profile_report</v>
      </c>
      <c r="AZ1" s="38" t="str">
        <f t="shared" si="4"/>
        <v>profile_report</v>
      </c>
      <c r="BA1" s="38" t="str">
        <f>AZ1</f>
        <v>profile_report</v>
      </c>
      <c r="BB1" s="38" t="s">
        <v>670</v>
      </c>
      <c r="BC1" s="38" t="str">
        <f t="shared" ref="BC1:BD1" si="5">BB1</f>
        <v>images_contents</v>
      </c>
      <c r="BD1" s="38" t="str">
        <f t="shared" si="5"/>
        <v>images_contents</v>
      </c>
      <c r="BE1" s="38" t="str">
        <f>BD1</f>
        <v>images_contents</v>
      </c>
      <c r="BF1" s="38" t="str">
        <f t="shared" ref="BF1:BH1" si="6">BE1</f>
        <v>images_contents</v>
      </c>
      <c r="BG1" s="38" t="str">
        <f t="shared" si="6"/>
        <v>images_contents</v>
      </c>
      <c r="BH1" s="38" t="str">
        <f t="shared" si="6"/>
        <v>images_contents</v>
      </c>
      <c r="BI1" s="38" t="str">
        <f>BH1</f>
        <v>images_contents</v>
      </c>
      <c r="BJ1" s="38" t="str">
        <f t="shared" ref="BJ1:BK1" si="7">BI1</f>
        <v>images_contents</v>
      </c>
      <c r="BK1" s="38" t="str">
        <f t="shared" si="7"/>
        <v>images_contents</v>
      </c>
      <c r="BL1" s="38" t="s">
        <v>671</v>
      </c>
      <c r="BM1" s="38" t="str">
        <f>BL1</f>
        <v>likes</v>
      </c>
      <c r="BN1" s="38" t="str">
        <f t="shared" ref="BN1:BP1" si="8">BM1</f>
        <v>likes</v>
      </c>
      <c r="BO1" s="38" t="str">
        <f t="shared" si="8"/>
        <v>likes</v>
      </c>
      <c r="BP1" s="38" t="str">
        <f t="shared" si="8"/>
        <v>likes</v>
      </c>
      <c r="BQ1" s="38" t="s">
        <v>672</v>
      </c>
      <c r="BR1" s="38" t="str">
        <f t="shared" ref="BR1:BS1" si="9">BQ1</f>
        <v>movie_link</v>
      </c>
      <c r="BS1" s="38" t="str">
        <f t="shared" si="9"/>
        <v>movie_link</v>
      </c>
      <c r="BT1" s="38" t="s">
        <v>673</v>
      </c>
      <c r="BU1" s="38" t="str">
        <f>BT1</f>
        <v>relation</v>
      </c>
      <c r="BV1" s="38" t="str">
        <f t="shared" ref="BV1:BW1" si="10">BU1</f>
        <v>relation</v>
      </c>
      <c r="BW1" s="38" t="str">
        <f t="shared" si="10"/>
        <v>relation</v>
      </c>
      <c r="BX1" s="38" t="s">
        <v>451</v>
      </c>
      <c r="BY1" s="38" t="str">
        <f>BX1</f>
        <v>vtuber_profiles_lang</v>
      </c>
      <c r="BZ1" s="38" t="str">
        <f t="shared" ref="BZ1:CE1" si="11">BY1</f>
        <v>vtuber_profiles_lang</v>
      </c>
      <c r="CA1" s="38" t="str">
        <f t="shared" si="11"/>
        <v>vtuber_profiles_lang</v>
      </c>
      <c r="CB1" s="38" t="str">
        <f t="shared" si="11"/>
        <v>vtuber_profiles_lang</v>
      </c>
      <c r="CC1" s="38" t="str">
        <f t="shared" si="11"/>
        <v>vtuber_profiles_lang</v>
      </c>
      <c r="CD1" s="38" t="str">
        <f t="shared" si="11"/>
        <v>vtuber_profiles_lang</v>
      </c>
      <c r="CE1" s="38" t="str">
        <f t="shared" si="11"/>
        <v>vtuber_profiles_lang</v>
      </c>
      <c r="CF1" s="38" t="str">
        <f>CE1</f>
        <v>vtuber_profiles_lang</v>
      </c>
      <c r="CG1" s="38" t="str">
        <f t="shared" ref="CG1:CI1" si="12">CF1</f>
        <v>vtuber_profiles_lang</v>
      </c>
      <c r="CH1" s="38" t="str">
        <f t="shared" si="12"/>
        <v>vtuber_profiles_lang</v>
      </c>
      <c r="CI1" s="38" t="str">
        <f t="shared" si="12"/>
        <v>vtuber_profiles_lang</v>
      </c>
      <c r="CJ1" s="38" t="str">
        <f>CI1</f>
        <v>vtuber_profiles_lang</v>
      </c>
      <c r="CK1" s="38" t="str">
        <f t="shared" ref="CK1:CM1" si="13">CJ1</f>
        <v>vtuber_profiles_lang</v>
      </c>
      <c r="CL1" s="38" t="str">
        <f t="shared" si="13"/>
        <v>vtuber_profiles_lang</v>
      </c>
      <c r="CM1" s="38" t="str">
        <f t="shared" si="13"/>
        <v>vtuber_profiles_lang</v>
      </c>
      <c r="CN1" s="38" t="s">
        <v>466</v>
      </c>
      <c r="CO1" s="38" t="str">
        <f t="shared" ref="CO1:CS1" si="14">CN1</f>
        <v>profile_tag</v>
      </c>
      <c r="CP1" s="38" t="str">
        <f t="shared" si="14"/>
        <v>profile_tag</v>
      </c>
      <c r="CQ1" s="38" t="s">
        <v>480</v>
      </c>
      <c r="CR1" s="38" t="str">
        <f t="shared" si="14"/>
        <v>profile_activity</v>
      </c>
      <c r="CS1" s="32" t="str">
        <f t="shared" si="14"/>
        <v>profile_activity</v>
      </c>
    </row>
    <row r="2" spans="1:97">
      <c r="A2" s="77" t="s">
        <v>500</v>
      </c>
      <c r="B2" s="78"/>
      <c r="C2" s="48">
        <f t="shared" ref="C2:AF2" si="15">IF(B1=C1,B2+1,1)</f>
        <v>1</v>
      </c>
      <c r="D2" s="39">
        <f t="shared" si="15"/>
        <v>2</v>
      </c>
      <c r="E2" s="39">
        <f t="shared" si="15"/>
        <v>3</v>
      </c>
      <c r="F2" s="39">
        <f t="shared" si="15"/>
        <v>4</v>
      </c>
      <c r="G2" s="39">
        <f t="shared" si="15"/>
        <v>5</v>
      </c>
      <c r="H2" s="39">
        <f t="shared" si="15"/>
        <v>6</v>
      </c>
      <c r="I2" s="39">
        <f t="shared" si="15"/>
        <v>1</v>
      </c>
      <c r="J2" s="39">
        <f t="shared" si="15"/>
        <v>2</v>
      </c>
      <c r="K2" s="39">
        <f t="shared" si="15"/>
        <v>3</v>
      </c>
      <c r="L2" s="39">
        <f t="shared" si="15"/>
        <v>4</v>
      </c>
      <c r="M2" s="39">
        <f t="shared" si="15"/>
        <v>1</v>
      </c>
      <c r="N2" s="39">
        <f t="shared" si="15"/>
        <v>2</v>
      </c>
      <c r="O2" s="39">
        <f t="shared" si="15"/>
        <v>3</v>
      </c>
      <c r="P2" s="39">
        <f t="shared" si="15"/>
        <v>4</v>
      </c>
      <c r="Q2" s="39">
        <f t="shared" si="15"/>
        <v>5</v>
      </c>
      <c r="R2" s="39">
        <f t="shared" si="15"/>
        <v>6</v>
      </c>
      <c r="S2" s="39">
        <f t="shared" si="15"/>
        <v>7</v>
      </c>
      <c r="T2" s="39">
        <f t="shared" si="15"/>
        <v>8</v>
      </c>
      <c r="U2" s="39">
        <f t="shared" si="15"/>
        <v>9</v>
      </c>
      <c r="V2" s="39">
        <f t="shared" si="15"/>
        <v>1</v>
      </c>
      <c r="W2" s="39">
        <f t="shared" si="15"/>
        <v>2</v>
      </c>
      <c r="X2" s="39">
        <f t="shared" si="15"/>
        <v>1</v>
      </c>
      <c r="Y2" s="39">
        <f t="shared" si="15"/>
        <v>2</v>
      </c>
      <c r="Z2" s="39">
        <f t="shared" si="15"/>
        <v>3</v>
      </c>
      <c r="AA2" s="39">
        <f t="shared" si="15"/>
        <v>4</v>
      </c>
      <c r="AB2" s="39">
        <f t="shared" si="15"/>
        <v>5</v>
      </c>
      <c r="AC2" s="39">
        <f t="shared" si="15"/>
        <v>1</v>
      </c>
      <c r="AD2" s="39">
        <f t="shared" si="15"/>
        <v>2</v>
      </c>
      <c r="AE2" s="39">
        <f t="shared" si="15"/>
        <v>3</v>
      </c>
      <c r="AF2" s="39">
        <f t="shared" si="15"/>
        <v>4</v>
      </c>
      <c r="AG2" s="39">
        <f t="shared" ref="AG2" si="16">IF(AF1=AG1,AF2+1,1)</f>
        <v>5</v>
      </c>
      <c r="AH2" s="39">
        <f t="shared" ref="AH2" si="17">IF(AG1=AH1,AG2+1,1)</f>
        <v>1</v>
      </c>
      <c r="AI2" s="39">
        <f t="shared" ref="AI2" si="18">IF(AH1=AI1,AH2+1,1)</f>
        <v>2</v>
      </c>
      <c r="AJ2" s="39">
        <f t="shared" ref="AJ2" si="19">IF(AI1=AJ1,AI2+1,1)</f>
        <v>3</v>
      </c>
      <c r="AK2" s="39">
        <f t="shared" ref="AK2" si="20">IF(AJ1=AK1,AJ2+1,1)</f>
        <v>4</v>
      </c>
      <c r="AL2" s="39">
        <f t="shared" ref="AL2" si="21">IF(AK1=AL1,AK2+1,1)</f>
        <v>5</v>
      </c>
      <c r="AM2" s="39">
        <f t="shared" ref="AM2" si="22">IF(AL1=AM1,AL2+1,1)</f>
        <v>6</v>
      </c>
      <c r="AN2" s="39">
        <f t="shared" ref="AN2" si="23">IF(AM1=AN1,AM2+1,1)</f>
        <v>7</v>
      </c>
      <c r="AO2" s="39">
        <f t="shared" ref="AO2" si="24">IF(AN1=AO1,AN2+1,1)</f>
        <v>8</v>
      </c>
      <c r="AP2" s="39">
        <f t="shared" ref="AP2" si="25">IF(AO1=AP1,AO2+1,1)</f>
        <v>1</v>
      </c>
      <c r="AQ2" s="39">
        <f t="shared" ref="AQ2" si="26">IF(AP1=AQ1,AP2+1,1)</f>
        <v>2</v>
      </c>
      <c r="AR2" s="39">
        <f t="shared" ref="AR2" si="27">IF(AQ1=AR1,AQ2+1,1)</f>
        <v>3</v>
      </c>
      <c r="AS2" s="39">
        <f t="shared" ref="AS2" si="28">IF(AR1=AS1,AR2+1,1)</f>
        <v>4</v>
      </c>
      <c r="AT2" s="39">
        <f t="shared" ref="AT2" si="29">IF(AS1=AT1,AS2+1,1)</f>
        <v>5</v>
      </c>
      <c r="AU2" s="39">
        <f t="shared" ref="AU2" si="30">IF(AT1=AU1,AT2+1,1)</f>
        <v>6</v>
      </c>
      <c r="AV2" s="39">
        <f t="shared" ref="AV2" si="31">IF(AU1=AV1,AU2+1,1)</f>
        <v>1</v>
      </c>
      <c r="AW2" s="39">
        <f>IF(AV1=AW1,AV2+1,1)</f>
        <v>2</v>
      </c>
      <c r="AX2" s="39">
        <f t="shared" ref="AX2" si="32">IF(AW1=AX1,AW2+1,1)</f>
        <v>3</v>
      </c>
      <c r="AY2" s="39">
        <f t="shared" ref="AY2" si="33">IF(AX1=AY1,AX2+1,1)</f>
        <v>4</v>
      </c>
      <c r="AZ2" s="39">
        <f t="shared" ref="AZ2" si="34">IF(AY1=AZ1,AY2+1,1)</f>
        <v>5</v>
      </c>
      <c r="BA2" s="39">
        <f>IF(AZ1=BA1,AZ2+1,1)</f>
        <v>6</v>
      </c>
      <c r="BB2" s="39">
        <f t="shared" ref="BB2" si="35">IF(BA1=BB1,BA2+1,1)</f>
        <v>1</v>
      </c>
      <c r="BC2" s="39">
        <f t="shared" ref="BC2" si="36">IF(BB1=BC1,BB2+1,1)</f>
        <v>2</v>
      </c>
      <c r="BD2" s="39">
        <f t="shared" ref="BD2" si="37">IF(BC1=BD1,BC2+1,1)</f>
        <v>3</v>
      </c>
      <c r="BE2" s="39">
        <f>IF(BD1=BE1,BD2+1,1)</f>
        <v>4</v>
      </c>
      <c r="BF2" s="39">
        <f t="shared" ref="BF2" si="38">IF(BE1=BF1,BE2+1,1)</f>
        <v>5</v>
      </c>
      <c r="BG2" s="39">
        <f t="shared" ref="BG2" si="39">IF(BF1=BG1,BF2+1,1)</f>
        <v>6</v>
      </c>
      <c r="BH2" s="39">
        <f t="shared" ref="BH2" si="40">IF(BG1=BH1,BG2+1,1)</f>
        <v>7</v>
      </c>
      <c r="BI2" s="39">
        <f>IF(BH1=BI1,BH2+1,1)</f>
        <v>8</v>
      </c>
      <c r="BJ2" s="39">
        <f t="shared" ref="BJ2" si="41">IF(BI1=BJ1,BI2+1,1)</f>
        <v>9</v>
      </c>
      <c r="BK2" s="39">
        <f t="shared" ref="BK2" si="42">IF(BJ1=BK1,BJ2+1,1)</f>
        <v>10</v>
      </c>
      <c r="BL2" s="39">
        <f t="shared" ref="BL2" si="43">IF(BK1=BL1,BK2+1,1)</f>
        <v>1</v>
      </c>
      <c r="BM2" s="39">
        <f>IF(BL1=BM1,BL2+1,1)</f>
        <v>2</v>
      </c>
      <c r="BN2" s="39">
        <f t="shared" ref="BN2" si="44">IF(BM1=BN1,BM2+1,1)</f>
        <v>3</v>
      </c>
      <c r="BO2" s="39">
        <f t="shared" ref="BO2" si="45">IF(BN1=BO1,BN2+1,1)</f>
        <v>4</v>
      </c>
      <c r="BP2" s="39">
        <f t="shared" ref="BP2" si="46">IF(BO1=BP1,BO2+1,1)</f>
        <v>5</v>
      </c>
      <c r="BQ2" s="39">
        <f>IF(BP1=BQ1,BP2+1,1)</f>
        <v>1</v>
      </c>
      <c r="BR2" s="39">
        <f t="shared" ref="BR2" si="47">IF(BQ1=BR1,BQ2+1,1)</f>
        <v>2</v>
      </c>
      <c r="BS2" s="39">
        <f t="shared" ref="BS2" si="48">IF(BR1=BS1,BR2+1,1)</f>
        <v>3</v>
      </c>
      <c r="BT2" s="39">
        <f t="shared" ref="BT2" si="49">IF(BS1=BT1,BS2+1,1)</f>
        <v>1</v>
      </c>
      <c r="BU2" s="39">
        <f>IF(BT1=BU1,BT2+1,1)</f>
        <v>2</v>
      </c>
      <c r="BV2" s="39">
        <f t="shared" ref="BV2" si="50">IF(BU1=BV1,BU2+1,1)</f>
        <v>3</v>
      </c>
      <c r="BW2" s="39">
        <f t="shared" ref="BW2" si="51">IF(BV1=BW1,BV2+1,1)</f>
        <v>4</v>
      </c>
      <c r="BX2" s="39">
        <f t="shared" ref="BX2" si="52">IF(BW1=BX1,BW2+1,1)</f>
        <v>1</v>
      </c>
      <c r="BY2" s="39">
        <f>IF(BX1=BY1,BX2+1,1)</f>
        <v>2</v>
      </c>
      <c r="BZ2" s="39">
        <f t="shared" ref="BZ2" si="53">IF(BY1=BZ1,BY2+1,1)</f>
        <v>3</v>
      </c>
      <c r="CA2" s="39">
        <f t="shared" ref="CA2" si="54">IF(BZ1=CA1,BZ2+1,1)</f>
        <v>4</v>
      </c>
      <c r="CB2" s="39">
        <f t="shared" ref="CB2" si="55">IF(CA1=CB1,CA2+1,1)</f>
        <v>5</v>
      </c>
      <c r="CC2" s="39">
        <f t="shared" ref="CC2" si="56">IF(CB1=CC1,CB2+1,1)</f>
        <v>6</v>
      </c>
      <c r="CD2" s="39">
        <f t="shared" ref="CD2" si="57">IF(CC1=CD1,CC2+1,1)</f>
        <v>7</v>
      </c>
      <c r="CE2" s="39">
        <f t="shared" ref="CE2" si="58">IF(CD1=CE1,CD2+1,1)</f>
        <v>8</v>
      </c>
      <c r="CF2" s="39">
        <f>IF(CE1=CF1,CE2+1,1)</f>
        <v>9</v>
      </c>
      <c r="CG2" s="39">
        <f t="shared" ref="CG2" si="59">IF(CF1=CG1,CF2+1,1)</f>
        <v>10</v>
      </c>
      <c r="CH2" s="39">
        <f t="shared" ref="CH2" si="60">IF(CG1=CH1,CG2+1,1)</f>
        <v>11</v>
      </c>
      <c r="CI2" s="39">
        <f t="shared" ref="CI2" si="61">IF(CH1=CI1,CH2+1,1)</f>
        <v>12</v>
      </c>
      <c r="CJ2" s="39">
        <f>IF(CI1=CJ1,CI2+1,1)</f>
        <v>13</v>
      </c>
      <c r="CK2" s="39">
        <f t="shared" ref="CK2" si="62">IF(CJ1=CK1,CJ2+1,1)</f>
        <v>14</v>
      </c>
      <c r="CL2" s="39">
        <f t="shared" ref="CL2" si="63">IF(CK1=CL1,CK2+1,1)</f>
        <v>15</v>
      </c>
      <c r="CM2" s="39">
        <f t="shared" ref="CM2" si="64">IF(CL1=CM1,CL2+1,1)</f>
        <v>16</v>
      </c>
      <c r="CN2" s="39">
        <f>IF(CM1=CN1,CM2+1,1)</f>
        <v>1</v>
      </c>
      <c r="CO2" s="39">
        <f t="shared" ref="CO2" si="65">IF(CN1=CO1,CN2+1,1)</f>
        <v>2</v>
      </c>
      <c r="CP2" s="39">
        <f t="shared" ref="CP2" si="66">IF(CO1=CP1,CO2+1,1)</f>
        <v>3</v>
      </c>
      <c r="CQ2" s="39">
        <f t="shared" ref="CQ2" si="67">IF(CP1=CQ1,CP2+1,1)</f>
        <v>1</v>
      </c>
      <c r="CR2" s="39">
        <f t="shared" ref="CR2" si="68">IF(CQ1=CR1,CQ2+1,1)</f>
        <v>2</v>
      </c>
      <c r="CS2" s="33">
        <f t="shared" ref="CS2" si="69">IF(CR1=CS1,CR2+1,1)</f>
        <v>3</v>
      </c>
    </row>
    <row r="3" spans="1:97" outlineLevel="1">
      <c r="A3" s="79" t="s">
        <v>503</v>
      </c>
      <c r="B3" s="25" t="s">
        <v>501</v>
      </c>
      <c r="C3" s="49" t="str" cm="1">
        <f t="array" aca="1" ref="C3" ca="1">INDEX(_xlfn._xlws.FILTER(テーブル定義_一覧!$D$1:$U$501, テーブル定義_一覧!$D$1:$D$501=C$1), C$2, _xlfn.XMATCH($B3, テーブル定義_一覧!$D$1:$Z$1))&amp;""</f>
        <v>vtuber_profiles_sequence_id</v>
      </c>
      <c r="D3" s="40" t="str" cm="1">
        <f t="array" aca="1" ref="D3" ca="1">INDEX(_xlfn._xlws.FILTER(テーブル定義_一覧!$D$1:$U$501, テーブル定義_一覧!$D$1:$D$501=D$1), D$2, _xlfn.XMATCH($B3, テーブル定義_一覧!$D$1:$Z$1))&amp;""</f>
        <v>vtuber_profiles_id</v>
      </c>
      <c r="E3" s="40" t="str" cm="1">
        <f t="array" aca="1" ref="E3" ca="1">INDEX(_xlfn._xlws.FILTER(テーブル定義_一覧!$D$1:$U$501, テーブル定義_一覧!$D$1:$D$501=E$1), E$2, _xlfn.XMATCH($B3, テーブル定義_一覧!$D$1:$Z$1))&amp;""</f>
        <v>user_id</v>
      </c>
      <c r="F3" s="40" t="str" cm="1">
        <f t="array" aca="1" ref="F3" ca="1">INDEX(_xlfn._xlws.FILTER(テーブル定義_一覧!$D$1:$U$501, テーブル定義_一覧!$D$1:$D$501=F$1), F$2, _xlfn.XMATCH($B3, テーブル定義_一覧!$D$1:$Z$1))&amp;""</f>
        <v>join_group</v>
      </c>
      <c r="G3" s="40" t="str" cm="1">
        <f t="array" aca="1" ref="G3" ca="1">INDEX(_xlfn._xlws.FILTER(テーブル定義_一覧!$D$1:$U$501, テーブル定義_一覧!$D$1:$D$501=G$1), G$2, _xlfn.XMATCH($B3, テーブル定義_一覧!$D$1:$Z$1))&amp;""</f>
        <v>debut_date</v>
      </c>
      <c r="H3" s="40" t="str" cm="1">
        <f t="array" aca="1" ref="H3" ca="1">INDEX(_xlfn._xlws.FILTER(テーブル定義_一覧!$D$1:$U$501, テーブル定義_一覧!$D$1:$D$501=H$1), H$2, _xlfn.XMATCH($B3, テーブル定義_一覧!$D$1:$Z$1))&amp;""</f>
        <v>activity_status</v>
      </c>
      <c r="I3" s="40" t="str" cm="1">
        <f t="array" aca="1" ref="I3" ca="1">INDEX(_xlfn._xlws.FILTER(テーブル定義_一覧!$D$1:$U$501, テーブル定義_一覧!$D$1:$D$501=I$1), I$2, _xlfn.XMATCH($B3, テーブル定義_一覧!$D$1:$Z$1))&amp;""</f>
        <v>join_group_sequence_id</v>
      </c>
      <c r="J3" s="40" t="str" cm="1">
        <f t="array" aca="1" ref="J3" ca="1">INDEX(_xlfn._xlws.FILTER(テーブル定義_一覧!$D$1:$U$501, テーブル定義_一覧!$D$1:$D$501=J$1), J$2, _xlfn.XMATCH($B3, テーブル定義_一覧!$D$1:$Z$1))&amp;""</f>
        <v>group_name</v>
      </c>
      <c r="K3" s="40" t="str" cm="1">
        <f t="array" aca="1" ref="K3" ca="1">INDEX(_xlfn._xlws.FILTER(テーブル定義_一覧!$D$1:$U$501, テーブル定義_一覧!$D$1:$D$501=K$1), K$2, _xlfn.XMATCH($B3, テーブル定義_一覧!$D$1:$Z$1))&amp;""</f>
        <v>operation_status</v>
      </c>
      <c r="L3" s="40" t="str" cm="1">
        <f t="array" aca="1" ref="L3" ca="1">INDEX(_xlfn._xlws.FILTER(テーブル定義_一覧!$D$1:$U$501, テーブル定義_一覧!$D$1:$D$501=L$1), L$2, _xlfn.XMATCH($B3, テーブル定義_一覧!$D$1:$Z$1))&amp;""</f>
        <v>group_detail</v>
      </c>
      <c r="M3" s="40" t="str" cm="1">
        <f t="array" aca="1" ref="M3" ca="1">INDEX(_xlfn._xlws.FILTER(テーブル定義_一覧!$D$1:$U$501, テーブル定義_一覧!$D$1:$D$501=M$1), M$2, _xlfn.XMATCH($B3, テーブル定義_一覧!$D$1:$Z$1))&amp;""</f>
        <v>users_sequence_id</v>
      </c>
      <c r="N3" s="40" t="str" cm="1">
        <f t="array" aca="1" ref="N3" ca="1">INDEX(_xlfn._xlws.FILTER(テーブル定義_一覧!$D$1:$U$501, テーブル定義_一覧!$D$1:$D$501=N$1), N$2, _xlfn.XMATCH($B3, テーブル定義_一覧!$D$1:$Z$1))&amp;""</f>
        <v>user_id</v>
      </c>
      <c r="O3" s="40" t="str" cm="1">
        <f t="array" aca="1" ref="O3" ca="1">INDEX(_xlfn._xlws.FILTER(テーブル定義_一覧!$D$1:$U$501, テーブル定義_一覧!$D$1:$D$501=O$1), O$2, _xlfn.XMATCH($B3, テーブル定義_一覧!$D$1:$Z$1))&amp;""</f>
        <v>user_name</v>
      </c>
      <c r="P3" s="40" t="str" cm="1">
        <f t="array" aca="1" ref="P3" ca="1">INDEX(_xlfn._xlws.FILTER(テーブル定義_一覧!$D$1:$U$501, テーブル定義_一覧!$D$1:$D$501=P$1), P$2, _xlfn.XMATCH($B3, テーブル定義_一覧!$D$1:$Z$1))&amp;""</f>
        <v>user_role_physical_name</v>
      </c>
      <c r="Q3" s="40" t="str" cm="1">
        <f t="array" aca="1" ref="Q3" ca="1">INDEX(_xlfn._xlws.FILTER(テーブル定義_一覧!$D$1:$U$501, テーブル定義_一覧!$D$1:$D$501=Q$1), Q$2, _xlfn.XMATCH($B3, テーブル定義_一覧!$D$1:$Z$1))&amp;""</f>
        <v>user_name_hidden_flag</v>
      </c>
      <c r="R3" s="40" t="str" cm="1">
        <f t="array" aca="1" ref="R3" ca="1">INDEX(_xlfn._xlws.FILTER(テーブル定義_一覧!$D$1:$U$501, テーブル定義_一覧!$D$1:$D$501=R$1), R$2, _xlfn.XMATCH($B3, テーブル定義_一覧!$D$1:$Z$1))&amp;""</f>
        <v>login_service</v>
      </c>
      <c r="S3" s="40" t="str" cm="1">
        <f t="array" aca="1" ref="S3" ca="1">INDEX(_xlfn._xlws.FILTER(テーブル定義_一覧!$D$1:$U$501, テーブル定義_一覧!$D$1:$D$501=S$1), S$2, _xlfn.XMATCH($B3, テーブル定義_一覧!$D$1:$Z$1))&amp;""</f>
        <v>register_date</v>
      </c>
      <c r="T3" s="40" t="str" cm="1">
        <f t="array" aca="1" ref="T3" ca="1">INDEX(_xlfn._xlws.FILTER(テーブル定義_一覧!$D$1:$U$501, テーブル定義_一覧!$D$1:$D$501=T$1), T$2, _xlfn.XMATCH($B3, テーブル定義_一覧!$D$1:$Z$1))&amp;""</f>
        <v>disp_theme</v>
      </c>
      <c r="U3" s="40" t="str" cm="1">
        <f t="array" aca="1" ref="U3" ca="1">INDEX(_xlfn._xlws.FILTER(テーブル定義_一覧!$D$1:$U$501, テーブル定義_一覧!$D$1:$D$501=U$1), U$2, _xlfn.XMATCH($B3, テーブル定義_一覧!$D$1:$Z$1))&amp;""</f>
        <v>language</v>
      </c>
      <c r="V3" s="40" t="str" cm="1">
        <f t="array" aca="1" ref="V3" ca="1">INDEX(_xlfn._xlws.FILTER(テーブル定義_一覧!$D$1:$U$501, テーブル定義_一覧!$D$1:$D$501=V$1), V$2, _xlfn.XMATCH($B3, テーブル定義_一覧!$D$1:$Z$1))&amp;""</f>
        <v>tag_sequence_id</v>
      </c>
      <c r="W3" s="40" t="str" cm="1">
        <f t="array" aca="1" ref="W3" ca="1">INDEX(_xlfn._xlws.FILTER(テーブル定義_一覧!$D$1:$U$501, テーブル定義_一覧!$D$1:$D$501=W$1), W$2, _xlfn.XMATCH($B3, テーブル定義_一覧!$D$1:$Z$1))&amp;""</f>
        <v>tag</v>
      </c>
      <c r="X3" s="40" t="str" cm="1">
        <f t="array" aca="1" ref="X3" ca="1">INDEX(_xlfn._xlws.FILTER(テーブル定義_一覧!$D$1:$U$501, テーブル定義_一覧!$D$1:$D$501=X$1), X$2, _xlfn.XMATCH($B3, テーブル定義_一覧!$D$1:$Z$1))&amp;""</f>
        <v>sns_link_sequence_id</v>
      </c>
      <c r="Y3" s="40" t="str" cm="1">
        <f t="array" aca="1" ref="Y3" ca="1">INDEX(_xlfn._xlws.FILTER(テーブル定義_一覧!$D$1:$U$501, テーブル定義_一覧!$D$1:$D$501=Y$1), Y$2, _xlfn.XMATCH($B3, テーブル定義_一覧!$D$1:$Z$1))&amp;""</f>
        <v>vtuber_profiles_id</v>
      </c>
      <c r="Z3" s="40" t="str" cm="1">
        <f t="array" aca="1" ref="Z3" ca="1">INDEX(_xlfn._xlws.FILTER(テーブル定義_一覧!$D$1:$U$501, テーブル定義_一覧!$D$1:$D$501=Z$1), Z$2, _xlfn.XMATCH($B3, テーブル定義_一覧!$D$1:$Z$1))&amp;""</f>
        <v>sns_icon</v>
      </c>
      <c r="AA3" s="40" t="str" cm="1">
        <f t="array" aca="1" ref="AA3" ca="1">INDEX(_xlfn._xlws.FILTER(テーブル定義_一覧!$D$1:$U$501, テーブル定義_一覧!$D$1:$D$501=AA$1), AA$2, _xlfn.XMATCH($B3, テーブル定義_一覧!$D$1:$Z$1))&amp;""</f>
        <v>sns_link_label</v>
      </c>
      <c r="AB3" s="40" t="str" cm="1">
        <f t="array" aca="1" ref="AB3" ca="1">INDEX(_xlfn._xlws.FILTER(テーブル定義_一覧!$D$1:$U$501, テーブル定義_一覧!$D$1:$D$501=AB$1), AB$2, _xlfn.XMATCH($B3, テーブル定義_一覧!$D$1:$Z$1))&amp;""</f>
        <v>sns_url</v>
      </c>
      <c r="AC3" s="40" t="str" cm="1">
        <f t="array" aca="1" ref="AC3" ca="1">INDEX(_xlfn._xlws.FILTER(テーブル定義_一覧!$D$1:$U$501, テーブル定義_一覧!$D$1:$D$501=AC$1), AC$2, _xlfn.XMATCH($B3, テーブル定義_一覧!$D$1:$Z$1))&amp;""</f>
        <v>bbs_res_sequence_id</v>
      </c>
      <c r="AD3" s="40" t="str" cm="1">
        <f t="array" aca="1" ref="AD3" ca="1">INDEX(_xlfn._xlws.FILTER(テーブル定義_一覧!$D$1:$U$501, テーブル定義_一覧!$D$1:$D$501=AD$1), AD$2, _xlfn.XMATCH($B3, テーブル定義_一覧!$D$1:$Z$1))&amp;""</f>
        <v>vtuber_profiles_id</v>
      </c>
      <c r="AE3" s="40" t="str" cm="1">
        <f t="array" aca="1" ref="AE3" ca="1">INDEX(_xlfn._xlws.FILTER(テーブル定義_一覧!$D$1:$U$501, テーブル定義_一覧!$D$1:$D$501=AE$1), AE$2, _xlfn.XMATCH($B3, テーブル定義_一覧!$D$1:$Z$1))&amp;""</f>
        <v>user_id</v>
      </c>
      <c r="AF3" s="40" t="str" cm="1">
        <f t="array" aca="1" ref="AF3" ca="1">INDEX(_xlfn._xlws.FILTER(テーブル定義_一覧!$D$1:$U$501, テーブル定義_一覧!$D$1:$D$501=AF$1), AF$2, _xlfn.XMATCH($B3, テーブル定義_一覧!$D$1:$Z$1))&amp;""</f>
        <v>res_text</v>
      </c>
      <c r="AG3" s="40" t="str" cm="1">
        <f t="array" aca="1" ref="AG3" ca="1">INDEX(_xlfn._xlws.FILTER(テーブル定義_一覧!$D$1:$U$501, テーブル定義_一覧!$D$1:$D$501=AG$1), AG$2, _xlfn.XMATCH($B3, テーブル定義_一覧!$D$1:$Z$1))&amp;""</f>
        <v>res_datetime</v>
      </c>
      <c r="AH3" s="40" t="str" cm="1">
        <f t="array" aca="1" ref="AH3" ca="1">INDEX(_xlfn._xlws.FILTER(テーブル定義_一覧!$D$1:$U$501, テーブル定義_一覧!$D$1:$D$501=AH$1), AH$2, _xlfn.XMATCH($B3, テーブル定義_一覧!$D$1:$Z$1))&amp;""</f>
        <v>page_author_sequence_id</v>
      </c>
      <c r="AI3" s="40" t="str" cm="1">
        <f t="array" aca="1" ref="AI3" ca="1">INDEX(_xlfn._xlws.FILTER(テーブル定義_一覧!$D$1:$U$501, テーブル定義_一覧!$D$1:$D$501=AI$1), AI$2, _xlfn.XMATCH($B3, テーブル定義_一覧!$D$1:$Z$1))&amp;""</f>
        <v>user_id</v>
      </c>
      <c r="AJ3" s="40" t="str" cm="1">
        <f t="array" aca="1" ref="AJ3" ca="1">INDEX(_xlfn._xlws.FILTER(テーブル定義_一覧!$D$1:$U$501, テーブル定義_一覧!$D$1:$D$501=AJ$1), AJ$2, _xlfn.XMATCH($B3, テーブル定義_一覧!$D$1:$Z$1))&amp;""</f>
        <v>vtuber_profiles_id</v>
      </c>
      <c r="AK3" s="40" t="str" cm="1">
        <f t="array" aca="1" ref="AK3" ca="1">INDEX(_xlfn._xlws.FILTER(テーブル定義_一覧!$D$1:$U$501, テーブル定義_一覧!$D$1:$D$501=AK$1), AK$2, _xlfn.XMATCH($B3, テーブル定義_一覧!$D$1:$Z$1))&amp;""</f>
        <v>fix_item</v>
      </c>
      <c r="AL3" s="40" t="str" cm="1">
        <f t="array" aca="1" ref="AL3" ca="1">INDEX(_xlfn._xlws.FILTER(テーブル定義_一覧!$D$1:$U$501, テーブル定義_一覧!$D$1:$D$501=AL$1), AL$2, _xlfn.XMATCH($B3, テーブル定義_一覧!$D$1:$Z$1))&amp;""</f>
        <v>fix_before</v>
      </c>
      <c r="AM3" s="40" t="str" cm="1">
        <f t="array" aca="1" ref="AM3" ca="1">INDEX(_xlfn._xlws.FILTER(テーブル定義_一覧!$D$1:$U$501, テーブル定義_一覧!$D$1:$D$501=AM$1), AM$2, _xlfn.XMATCH($B3, テーブル定義_一覧!$D$1:$Z$1))&amp;""</f>
        <v>fix_after</v>
      </c>
      <c r="AN3" s="40" t="str" cm="1">
        <f t="array" aca="1" ref="AN3" ca="1">INDEX(_xlfn._xlws.FILTER(テーブル定義_一覧!$D$1:$U$501, テーブル定義_一覧!$D$1:$D$501=AN$1), AN$2, _xlfn.XMATCH($B3, テーブル定義_一覧!$D$1:$Z$1))&amp;""</f>
        <v>fix_datetime</v>
      </c>
      <c r="AO3" s="40" t="str" cm="1">
        <f t="array" aca="1" ref="AO3" ca="1">INDEX(_xlfn._xlws.FILTER(テーブル定義_一覧!$D$1:$U$501, テーブル定義_一覧!$D$1:$D$501=AO$1), AO$2, _xlfn.XMATCH($B3, テーブル定義_一覧!$D$1:$Z$1))&amp;""</f>
        <v>report_count</v>
      </c>
      <c r="AP3" s="40" t="str" cm="1">
        <f t="array" aca="1" ref="AP3" ca="1">INDEX(_xlfn._xlws.FILTER(テーブル定義_一覧!$D$1:$U$501, テーブル定義_一覧!$D$1:$D$501=AP$1), AP$2, _xlfn.XMATCH($B3, テーブル定義_一覧!$D$1:$Z$1))&amp;""</f>
        <v>contact_sequence_id</v>
      </c>
      <c r="AQ3" s="40" t="str" cm="1">
        <f t="array" aca="1" ref="AQ3" ca="1">INDEX(_xlfn._xlws.FILTER(テーブル定義_一覧!$D$1:$U$501, テーブル定義_一覧!$D$1:$D$501=AQ$1), AQ$2, _xlfn.XMATCH($B3, テーブル定義_一覧!$D$1:$Z$1))&amp;""</f>
        <v>mail_address</v>
      </c>
      <c r="AR3" s="40" t="str" cm="1">
        <f t="array" aca="1" ref="AR3" ca="1">INDEX(_xlfn._xlws.FILTER(テーブル定義_一覧!$D$1:$U$501, テーブル定義_一覧!$D$1:$D$501=AR$1), AR$2, _xlfn.XMATCH($B3, テーブル定義_一覧!$D$1:$Z$1))&amp;""</f>
        <v>subject</v>
      </c>
      <c r="AS3" s="40" t="str" cm="1">
        <f t="array" aca="1" ref="AS3" ca="1">INDEX(_xlfn._xlws.FILTER(テーブル定義_一覧!$D$1:$U$501, テーブル定義_一覧!$D$1:$D$501=AS$1), AS$2, _xlfn.XMATCH($B3, テーブル定義_一覧!$D$1:$Z$1))&amp;""</f>
        <v>contact_detail</v>
      </c>
      <c r="AT3" s="40" t="str" cm="1">
        <f t="array" aca="1" ref="AT3" ca="1">INDEX(_xlfn._xlws.FILTER(テーブル定義_一覧!$D$1:$U$501, テーブル定義_一覧!$D$1:$D$501=AT$1), AT$2, _xlfn.XMATCH($B3, テーブル定義_一覧!$D$1:$Z$1))&amp;""</f>
        <v>priority_physical_name</v>
      </c>
      <c r="AU3" s="40" t="str" cm="1">
        <f t="array" aca="1" ref="AU3" ca="1">INDEX(_xlfn._xlws.FILTER(テーブル定義_一覧!$D$1:$U$501, テーブル定義_一覧!$D$1:$D$501=AU$1), AU$2, _xlfn.XMATCH($B3, テーブル定義_一覧!$D$1:$Z$1))&amp;""</f>
        <v>response_status_physical_name</v>
      </c>
      <c r="AV3" s="40" t="str" cm="1">
        <f t="array" aca="1" ref="AV3" ca="1">INDEX(_xlfn._xlws.FILTER(テーブル定義_一覧!$D$1:$U$501, テーブル定義_一覧!$D$1:$D$501=AV$1), AV$2, _xlfn.XMATCH($B3, テーブル定義_一覧!$D$1:$Z$1))&amp;""</f>
        <v>profile_report_sequence_id</v>
      </c>
      <c r="AW3" s="40" t="str" cm="1">
        <f t="array" aca="1" ref="AW3" ca="1">INDEX(_xlfn._xlws.FILTER(テーブル定義_一覧!$D$1:$U$501, テーブル定義_一覧!$D$1:$D$501=AW$1), AW$2, _xlfn.XMATCH($B3, テーブル定義_一覧!$D$1:$Z$1))&amp;""</f>
        <v>user_id</v>
      </c>
      <c r="AX3" s="40" t="str" cm="1">
        <f t="array" aca="1" ref="AX3" ca="1">INDEX(_xlfn._xlws.FILTER(テーブル定義_一覧!$D$1:$U$501, テーブル定義_一覧!$D$1:$D$501=AX$1), AX$2, _xlfn.XMATCH($B3, テーブル定義_一覧!$D$1:$Z$1))&amp;""</f>
        <v>vtuber_profiles_id</v>
      </c>
      <c r="AY3" s="40" t="str" cm="1">
        <f t="array" aca="1" ref="AY3" ca="1">INDEX(_xlfn._xlws.FILTER(テーブル定義_一覧!$D$1:$U$501, テーブル定義_一覧!$D$1:$D$501=AY$1), AY$2, _xlfn.XMATCH($B3, テーブル定義_一覧!$D$1:$Z$1))&amp;""</f>
        <v>report_reason_physical_name</v>
      </c>
      <c r="AZ3" s="40" t="str" cm="1">
        <f t="array" aca="1" ref="AZ3" ca="1">INDEX(_xlfn._xlws.FILTER(テーブル定義_一覧!$D$1:$U$501, テーブル定義_一覧!$D$1:$D$501=AZ$1), AZ$2, _xlfn.XMATCH($B3, テーブル定義_一覧!$D$1:$Z$1))&amp;""</f>
        <v>report_detail</v>
      </c>
      <c r="BA3" s="40" t="str" cm="1">
        <f t="array" aca="1" ref="BA3" ca="1">INDEX(_xlfn._xlws.FILTER(テーブル定義_一覧!$D$1:$U$501, テーブル定義_一覧!$D$1:$D$501=BA$1), BA$2, _xlfn.XMATCH($B3, テーブル定義_一覧!$D$1:$Z$1))&amp;""</f>
        <v>report_datetime</v>
      </c>
      <c r="BB3" s="40" t="str" cm="1">
        <f t="array" aca="1" ref="BB3" ca="1">INDEX(_xlfn._xlws.FILTER(テーブル定義_一覧!$D$1:$U$501, テーブル定義_一覧!$D$1:$D$501=BB$1), BB$2, _xlfn.XMATCH($B3, テーブル定義_一覧!$D$1:$Z$1))&amp;""</f>
        <v>images_contents_sequence_id</v>
      </c>
      <c r="BC3" s="40" t="str" cm="1">
        <f t="array" aca="1" ref="BC3" ca="1">INDEX(_xlfn._xlws.FILTER(テーブル定義_一覧!$D$1:$U$501, テーブル定義_一覧!$D$1:$D$501=BC$1), BC$2, _xlfn.XMATCH($B3, テーブル定義_一覧!$D$1:$Z$1))&amp;""</f>
        <v>user_id</v>
      </c>
      <c r="BD3" s="40" t="str" cm="1">
        <f t="array" aca="1" ref="BD3" ca="1">INDEX(_xlfn._xlws.FILTER(テーブル定義_一覧!$D$1:$U$501, テーブル定義_一覧!$D$1:$D$501=BD$1), BD$2, _xlfn.XMATCH($B3, テーブル定義_一覧!$D$1:$Z$1))&amp;""</f>
        <v>gcs_bucket</v>
      </c>
      <c r="BE3" s="40" t="str" cm="1">
        <f t="array" aca="1" ref="BE3" ca="1">INDEX(_xlfn._xlws.FILTER(テーブル定義_一覧!$D$1:$U$501, テーブル定義_一覧!$D$1:$D$501=BE$1), BE$2, _xlfn.XMATCH($B3, テーブル定義_一覧!$D$1:$Z$1))&amp;""</f>
        <v>gcs_object_name</v>
      </c>
      <c r="BF3" s="40" t="str" cm="1">
        <f t="array" aca="1" ref="BF3" ca="1">INDEX(_xlfn._xlws.FILTER(テーブル定義_一覧!$D$1:$U$501, テーブル定義_一覧!$D$1:$D$501=BF$1), BF$2, _xlfn.XMATCH($B3, テーブル定義_一覧!$D$1:$Z$1))&amp;""</f>
        <v>cdn_url</v>
      </c>
      <c r="BG3" s="40" t="str" cm="1">
        <f t="array" aca="1" ref="BG3" ca="1">INDEX(_xlfn._xlws.FILTER(テーブル定義_一覧!$D$1:$U$501, テーブル定義_一覧!$D$1:$D$501=BG$1), BG$2, _xlfn.XMATCH($B3, テーブル定義_一覧!$D$1:$Z$1))&amp;""</f>
        <v>content_type</v>
      </c>
      <c r="BH3" s="40" t="str" cm="1">
        <f t="array" aca="1" ref="BH3" ca="1">INDEX(_xlfn._xlws.FILTER(テーブル定義_一覧!$D$1:$U$501, テーブル定義_一覧!$D$1:$D$501=BH$1), BH$2, _xlfn.XMATCH($B3, テーブル定義_一覧!$D$1:$Z$1))&amp;""</f>
        <v>width</v>
      </c>
      <c r="BI3" s="40" t="str" cm="1">
        <f t="array" aca="1" ref="BI3" ca="1">INDEX(_xlfn._xlws.FILTER(テーブル定義_一覧!$D$1:$U$501, テーブル定義_一覧!$D$1:$D$501=BI$1), BI$2, _xlfn.XMATCH($B3, テーブル定義_一覧!$D$1:$Z$1))&amp;""</f>
        <v>height</v>
      </c>
      <c r="BJ3" s="40" t="str" cm="1">
        <f t="array" aca="1" ref="BJ3" ca="1">INDEX(_xlfn._xlws.FILTER(テーブル定義_一覧!$D$1:$U$501, テーブル定義_一覧!$D$1:$D$501=BJ$1), BJ$2, _xlfn.XMATCH($B3, テーブル定義_一覧!$D$1:$Z$1))&amp;""</f>
        <v>file_size</v>
      </c>
      <c r="BK3" s="40" t="str" cm="1">
        <f t="array" aca="1" ref="BK3" ca="1">INDEX(_xlfn._xlws.FILTER(テーブル定義_一覧!$D$1:$U$501, テーブル定義_一覧!$D$1:$D$501=BK$1), BK$2, _xlfn.XMATCH($B3, テーブル定義_一覧!$D$1:$Z$1))&amp;""</f>
        <v>alt_text</v>
      </c>
      <c r="BL3" s="40" t="str" cm="1">
        <f t="array" aca="1" ref="BL3" ca="1">INDEX(_xlfn._xlws.FILTER(テーブル定義_一覧!$D$1:$U$501, テーブル定義_一覧!$D$1:$D$501=BL$1), BL$2, _xlfn.XMATCH($B3, テーブル定義_一覧!$D$1:$Z$1))&amp;""</f>
        <v>likes_sequence_id</v>
      </c>
      <c r="BM3" s="40" t="str" cm="1">
        <f t="array" aca="1" ref="BM3" ca="1">INDEX(_xlfn._xlws.FILTER(テーブル定義_一覧!$D$1:$U$501, テーブル定義_一覧!$D$1:$D$501=BM$1), BM$2, _xlfn.XMATCH($B3, テーブル定義_一覧!$D$1:$Z$1))&amp;""</f>
        <v>likes_do_user</v>
      </c>
      <c r="BN3" s="40" t="str" cm="1">
        <f t="array" aca="1" ref="BN3" ca="1">INDEX(_xlfn._xlws.FILTER(テーブル定義_一覧!$D$1:$U$501, テーブル定義_一覧!$D$1:$D$501=BN$1), BN$2, _xlfn.XMATCH($B3, テーブル定義_一覧!$D$1:$Z$1))&amp;""</f>
        <v>likes_target_user</v>
      </c>
      <c r="BO3" s="40" t="str" cm="1">
        <f t="array" aca="1" ref="BO3" ca="1">INDEX(_xlfn._xlws.FILTER(テーブル定義_一覧!$D$1:$U$501, テーブル定義_一覧!$D$1:$D$501=BO$1), BO$2, _xlfn.XMATCH($B3, テーブル定義_一覧!$D$1:$Z$1))&amp;""</f>
        <v>likes_type</v>
      </c>
      <c r="BP3" s="40" t="str" cm="1">
        <f t="array" aca="1" ref="BP3" ca="1">INDEX(_xlfn._xlws.FILTER(テーブル定義_一覧!$D$1:$U$501, テーブル定義_一覧!$D$1:$D$501=BP$1), BP$2, _xlfn.XMATCH($B3, テーブル定義_一覧!$D$1:$Z$1))&amp;""</f>
        <v>likes_datetime</v>
      </c>
      <c r="BQ3" s="40" t="str" cm="1">
        <f t="array" aca="1" ref="BQ3" ca="1">INDEX(_xlfn._xlws.FILTER(テーブル定義_一覧!$D$1:$U$501, テーブル定義_一覧!$D$1:$D$501=BQ$1), BQ$2, _xlfn.XMATCH($B3, テーブル定義_一覧!$D$1:$Z$1))&amp;""</f>
        <v>movie_link_sequence_id</v>
      </c>
      <c r="BR3" s="40" t="str" cm="1">
        <f t="array" aca="1" ref="BR3" ca="1">INDEX(_xlfn._xlws.FILTER(テーブル定義_一覧!$D$1:$U$501, テーブル定義_一覧!$D$1:$D$501=BR$1), BR$2, _xlfn.XMATCH($B3, テーブル定義_一覧!$D$1:$Z$1))&amp;""</f>
        <v>vtuber_profiles_id</v>
      </c>
      <c r="BS3" s="40" t="str" cm="1">
        <f t="array" aca="1" ref="BS3" ca="1">INDEX(_xlfn._xlws.FILTER(テーブル定義_一覧!$D$1:$U$501, テーブル定義_一覧!$D$1:$D$501=BS$1), BS$2, _xlfn.XMATCH($B3, テーブル定義_一覧!$D$1:$Z$1))&amp;""</f>
        <v>url</v>
      </c>
      <c r="BT3" s="40" t="str" cm="1">
        <f t="array" aca="1" ref="BT3" ca="1">INDEX(_xlfn._xlws.FILTER(テーブル定義_一覧!$D$1:$U$501, テーブル定義_一覧!$D$1:$D$501=BT$1), BT$2, _xlfn.XMATCH($B3, テーブル定義_一覧!$D$1:$Z$1))&amp;""</f>
        <v>relation_sequence_id</v>
      </c>
      <c r="BU3" s="40" t="str" cm="1">
        <f t="array" aca="1" ref="BU3" ca="1">INDEX(_xlfn._xlws.FILTER(テーブル定義_一覧!$D$1:$U$501, テーブル定義_一覧!$D$1:$D$501=BU$1), BU$2, _xlfn.XMATCH($B3, テーブル定義_一覧!$D$1:$Z$1))&amp;""</f>
        <v>node_from</v>
      </c>
      <c r="BV3" s="40" t="str" cm="1">
        <f t="array" aca="1" ref="BV3" ca="1">INDEX(_xlfn._xlws.FILTER(テーブル定義_一覧!$D$1:$U$501, テーブル定義_一覧!$D$1:$D$501=BV$1), BV$2, _xlfn.XMATCH($B3, テーブル定義_一覧!$D$1:$Z$1))&amp;""</f>
        <v>node_to</v>
      </c>
      <c r="BW3" s="40" t="str" cm="1">
        <f t="array" aca="1" ref="BW3" ca="1">INDEX(_xlfn._xlws.FILTER(テーブル定義_一覧!$D$1:$U$501, テーブル定義_一覧!$D$1:$D$501=BW$1), BW$2, _xlfn.XMATCH($B3, テーブル定義_一覧!$D$1:$Z$1))&amp;""</f>
        <v>node_name</v>
      </c>
      <c r="BX3" s="40" t="str" cm="1">
        <f t="array" aca="1" ref="BX3" ca="1">INDEX(_xlfn._xlws.FILTER(テーブル定義_一覧!$D$1:$U$501, テーブル定義_一覧!$D$1:$D$501=BX$1), BX$2, _xlfn.XMATCH($B3, テーブル定義_一覧!$D$1:$Z$1))&amp;""</f>
        <v>vtuber_profiles_lang_sequence_id</v>
      </c>
      <c r="BY3" s="40" t="str" cm="1">
        <f t="array" aca="1" ref="BY3" ca="1">INDEX(_xlfn._xlws.FILTER(テーブル定義_一覧!$D$1:$U$501, テーブル定義_一覧!$D$1:$D$501=BY$1), BY$2, _xlfn.XMATCH($B3, テーブル定義_一覧!$D$1:$Z$1))&amp;""</f>
        <v>vtuber_profiles_id</v>
      </c>
      <c r="BZ3" s="40" t="str" cm="1">
        <f t="array" aca="1" ref="BZ3" ca="1">INDEX(_xlfn._xlws.FILTER(テーブル定義_一覧!$D$1:$U$501, テーブル定義_一覧!$D$1:$D$501=BZ$1), BZ$2, _xlfn.XMATCH($B3, テーブル定義_一覧!$D$1:$Z$1))&amp;""</f>
        <v>lang</v>
      </c>
      <c r="CA3" s="40" t="str" cm="1">
        <f t="array" aca="1" ref="CA3" ca="1">INDEX(_xlfn._xlws.FILTER(テーブル定義_一覧!$D$1:$U$501, テーブル定義_一覧!$D$1:$D$501=CA$1), CA$2, _xlfn.XMATCH($B3, テーブル定義_一覧!$D$1:$Z$1))&amp;""</f>
        <v>name</v>
      </c>
      <c r="CB3" s="40" t="str" cm="1">
        <f t="array" aca="1" ref="CB3" ca="1">INDEX(_xlfn._xlws.FILTER(テーブル定義_一覧!$D$1:$U$501, テーブル定義_一覧!$D$1:$D$501=CB$1), CB$2, _xlfn.XMATCH($B3, テーブル定義_一覧!$D$1:$Z$1))&amp;""</f>
        <v>nickname</v>
      </c>
      <c r="CC3" s="40" t="str" cm="1">
        <f t="array" aca="1" ref="CC3" ca="1">INDEX(_xlfn._xlws.FILTER(テーブル定義_一覧!$D$1:$U$501, テーブル定義_一覧!$D$1:$D$501=CC$1), CC$2, _xlfn.XMATCH($B3, テーブル定義_一覧!$D$1:$Z$1))&amp;""</f>
        <v>birthday</v>
      </c>
      <c r="CD3" s="40" t="str" cm="1">
        <f t="array" aca="1" ref="CD3" ca="1">INDEX(_xlfn._xlws.FILTER(テーブル定義_一覧!$D$1:$U$501, テーブル定義_一覧!$D$1:$D$501=CD$1), CD$2, _xlfn.XMATCH($B3, テーブル定義_一覧!$D$1:$Z$1))&amp;""</f>
        <v>blood_type</v>
      </c>
      <c r="CE3" s="40" t="str" cm="1">
        <f t="array" aca="1" ref="CE3" ca="1">INDEX(_xlfn._xlws.FILTER(テーブル定義_一覧!$D$1:$U$501, テーブル定義_一覧!$D$1:$D$501=CE$1), CE$2, _xlfn.XMATCH($B3, テーブル定義_一覧!$D$1:$Z$1))&amp;""</f>
        <v>height</v>
      </c>
      <c r="CF3" s="40" t="str" cm="1">
        <f t="array" aca="1" ref="CF3" ca="1">INDEX(_xlfn._xlws.FILTER(テーブル定義_一覧!$D$1:$U$501, テーブル定義_一覧!$D$1:$D$501=CF$1), CF$2, _xlfn.XMATCH($B3, テーブル定義_一覧!$D$1:$Z$1))&amp;""</f>
        <v>mutter</v>
      </c>
      <c r="CG3" s="40" t="str" cm="1">
        <f t="array" aca="1" ref="CG3" ca="1">INDEX(_xlfn._xlws.FILTER(テーブル定義_一覧!$D$1:$U$501, テーブル定義_一覧!$D$1:$D$501=CG$1), CG$2, _xlfn.XMATCH($B3, テーブル定義_一覧!$D$1:$Z$1))&amp;""</f>
        <v>catchphrase</v>
      </c>
      <c r="CH3" s="40" t="str" cm="1">
        <f t="array" aca="1" ref="CH3" ca="1">INDEX(_xlfn._xlws.FILTER(テーブル定義_一覧!$D$1:$U$501, テーブル定義_一覧!$D$1:$D$501=CH$1), CH$2, _xlfn.XMATCH($B3, テーブル定義_一覧!$D$1:$Z$1))&amp;""</f>
        <v>favorite</v>
      </c>
      <c r="CI3" s="40" t="str" cm="1">
        <f t="array" aca="1" ref="CI3" ca="1">INDEX(_xlfn._xlws.FILTER(テーブル定義_一覧!$D$1:$U$501, テーブル定義_一覧!$D$1:$D$501=CI$1), CI$2, _xlfn.XMATCH($B3, テーブル定義_一覧!$D$1:$Z$1))&amp;""</f>
        <v>dis_favorite</v>
      </c>
      <c r="CJ3" s="40" t="str" cm="1">
        <f t="array" aca="1" ref="CJ3" ca="1">INDEX(_xlfn._xlws.FILTER(テーブル定義_一覧!$D$1:$U$501, テーブル定義_一覧!$D$1:$D$501=CJ$1), CJ$2, _xlfn.XMATCH($B3, テーブル定義_一覧!$D$1:$Z$1))&amp;""</f>
        <v>hobby</v>
      </c>
      <c r="CK3" s="40" t="str" cm="1">
        <f t="array" aca="1" ref="CK3" ca="1">INDEX(_xlfn._xlws.FILTER(テーブル定義_一覧!$D$1:$U$501, テーブル定義_一覧!$D$1:$D$501=CK$1), CK$2, _xlfn.XMATCH($B3, テーブル定義_一覧!$D$1:$Z$1))&amp;""</f>
        <v>dream</v>
      </c>
      <c r="CL3" s="40" t="str" cm="1">
        <f t="array" aca="1" ref="CL3" ca="1">INDEX(_xlfn._xlws.FILTER(テーブル定義_一覧!$D$1:$U$501, テーブル定義_一覧!$D$1:$D$501=CL$1), CL$2, _xlfn.XMATCH($B3, テーブル定義_一覧!$D$1:$Z$1))&amp;""</f>
        <v>messages</v>
      </c>
      <c r="CM3" s="40" t="str" cm="1">
        <f t="array" aca="1" ref="CM3" ca="1">INDEX(_xlfn._xlws.FILTER(テーブル定義_一覧!$D$1:$U$501, テーブル定義_一覧!$D$1:$D$501=CM$1), CM$2, _xlfn.XMATCH($B3, テーブル定義_一覧!$D$1:$Z$1))&amp;""</f>
        <v>profile_detail</v>
      </c>
      <c r="CN3" s="40" t="str" cm="1">
        <f t="array" aca="1" ref="CN3" ca="1">INDEX(_xlfn._xlws.FILTER(テーブル定義_一覧!$D$1:$U$501, テーブル定義_一覧!$D$1:$D$501=CN$1), CN$2, _xlfn.XMATCH($B3, テーブル定義_一覧!$D$1:$Z$1))&amp;""</f>
        <v>profile_tag_sequence_id</v>
      </c>
      <c r="CO3" s="40" t="str" cm="1">
        <f t="array" aca="1" ref="CO3" ca="1">INDEX(_xlfn._xlws.FILTER(テーブル定義_一覧!$D$1:$U$501, テーブル定義_一覧!$D$1:$D$501=CO$1), CO$2, _xlfn.XMATCH($B3, テーブル定義_一覧!$D$1:$Z$1))&amp;""</f>
        <v>vtuber_profiles_id</v>
      </c>
      <c r="CP3" s="40" t="str" cm="1">
        <f t="array" aca="1" ref="CP3" ca="1">INDEX(_xlfn._xlws.FILTER(テーブル定義_一覧!$D$1:$U$501, テーブル定義_一覧!$D$1:$D$501=CP$1), CP$2, _xlfn.XMATCH($B3, テーブル定義_一覧!$D$1:$Z$1))&amp;""</f>
        <v>tag</v>
      </c>
      <c r="CQ3" s="40" t="str" cm="1">
        <f t="array" aca="1" ref="CQ3" ca="1">INDEX(_xlfn._xlws.FILTER(テーブル定義_一覧!$D$1:$U$501, テーブル定義_一覧!$D$1:$D$501=CQ$1), CQ$2, _xlfn.XMATCH($B3, テーブル定義_一覧!$D$1:$Z$1))&amp;""</f>
        <v>profile_activity_sequence_id</v>
      </c>
      <c r="CR3" s="40" t="str" cm="1">
        <f t="array" aca="1" ref="CR3" ca="1">INDEX(_xlfn._xlws.FILTER(テーブル定義_一覧!$D$1:$U$501, テーブル定義_一覧!$D$1:$D$501=CR$1), CR$2, _xlfn.XMATCH($B3, テーブル定義_一覧!$D$1:$Z$1))&amp;""</f>
        <v>vtuber_profiles_id</v>
      </c>
      <c r="CS3" s="34" t="str" cm="1">
        <f t="array" aca="1" ref="CS3" ca="1">INDEX(_xlfn._xlws.FILTER(テーブル定義_一覧!$D$1:$U$501, テーブル定義_一覧!$D$1:$D$501=CS$1), CS$2, _xlfn.XMATCH($B3, テーブル定義_一覧!$D$1:$Z$1))&amp;""</f>
        <v>activity</v>
      </c>
    </row>
    <row r="4" spans="1:97" outlineLevel="1">
      <c r="A4" s="79"/>
      <c r="B4" s="25" t="s">
        <v>502</v>
      </c>
      <c r="C4" s="49" t="str" cm="1">
        <f t="array" aca="1" ref="C4" ca="1">INDEX(_xlfn._xlws.FILTER(テーブル定義_一覧!$D$1:$U$501, テーブル定義_一覧!$D$1:$D$501=C$1), C$2, _xlfn.XMATCH($B4, テーブル定義_一覧!$D$1:$Z$1))&amp;""</f>
        <v>VtuberプロフィールID</v>
      </c>
      <c r="D4" s="40" t="str" cm="1">
        <f t="array" aca="1" ref="D4" ca="1">INDEX(_xlfn._xlws.FILTER(テーブル定義_一覧!$D$1:$U$501, テーブル定義_一覧!$D$1:$D$501=D$1), D$2, _xlfn.XMATCH($B4, テーブル定義_一覧!$D$1:$Z$1))&amp;""</f>
        <v>VプロフィールID</v>
      </c>
      <c r="E4" s="40" t="str" cm="1">
        <f t="array" aca="1" ref="E4" ca="1">INDEX(_xlfn._xlws.FILTER(テーブル定義_一覧!$D$1:$U$501, テーブル定義_一覧!$D$1:$D$501=E$1), E$2, _xlfn.XMATCH($B4, テーブル定義_一覧!$D$1:$Z$1))&amp;""</f>
        <v>ユーザーID</v>
      </c>
      <c r="F4" s="40" t="str" cm="1">
        <f t="array" aca="1" ref="F4" ca="1">INDEX(_xlfn._xlws.FILTER(テーブル定義_一覧!$D$1:$U$501, テーブル定義_一覧!$D$1:$D$501=F$1), F$2, _xlfn.XMATCH($B4, テーブル定義_一覧!$D$1:$Z$1))&amp;""</f>
        <v>所属</v>
      </c>
      <c r="G4" s="40" t="str" cm="1">
        <f t="array" aca="1" ref="G4" ca="1">INDEX(_xlfn._xlws.FILTER(テーブル定義_一覧!$D$1:$U$501, テーブル定義_一覧!$D$1:$D$501=G$1), G$2, _xlfn.XMATCH($B4, テーブル定義_一覧!$D$1:$Z$1))&amp;""</f>
        <v>デビュー日</v>
      </c>
      <c r="H4" s="40" t="str" cm="1">
        <f t="array" aca="1" ref="H4" ca="1">INDEX(_xlfn._xlws.FILTER(テーブル定義_一覧!$D$1:$U$501, テーブル定義_一覧!$D$1:$D$501=H$1), H$2, _xlfn.XMATCH($B4, テーブル定義_一覧!$D$1:$Z$1))&amp;""</f>
        <v>活動状態</v>
      </c>
      <c r="I4" s="40" t="str" cm="1">
        <f t="array" aca="1" ref="I4" ca="1">INDEX(_xlfn._xlws.FILTER(テーブル定義_一覧!$D$1:$U$501, テーブル定義_一覧!$D$1:$D$501=I$1), I$2, _xlfn.XMATCH($B4, テーブル定義_一覧!$D$1:$Z$1))&amp;""</f>
        <v>所属ID</v>
      </c>
      <c r="J4" s="40" t="str" cm="1">
        <f t="array" aca="1" ref="J4" ca="1">INDEX(_xlfn._xlws.FILTER(テーブル定義_一覧!$D$1:$U$501, テーブル定義_一覧!$D$1:$D$501=J$1), J$2, _xlfn.XMATCH($B4, テーブル定義_一覧!$D$1:$Z$1))&amp;""</f>
        <v>所属名</v>
      </c>
      <c r="K4" s="40" t="str" cm="1">
        <f t="array" aca="1" ref="K4" ca="1">INDEX(_xlfn._xlws.FILTER(テーブル定義_一覧!$D$1:$U$501, テーブル定義_一覧!$D$1:$D$501=K$1), K$2, _xlfn.XMATCH($B4, テーブル定義_一覧!$D$1:$Z$1))&amp;""</f>
        <v>運営状態</v>
      </c>
      <c r="L4" s="40" t="str" cm="1">
        <f t="array" aca="1" ref="L4" ca="1">INDEX(_xlfn._xlws.FILTER(テーブル定義_一覧!$D$1:$U$501, テーブル定義_一覧!$D$1:$D$501=L$1), L$2, _xlfn.XMATCH($B4, テーブル定義_一覧!$D$1:$Z$1))&amp;""</f>
        <v>所属説明</v>
      </c>
      <c r="M4" s="40" t="str" cm="1">
        <f t="array" aca="1" ref="M4" ca="1">INDEX(_xlfn._xlws.FILTER(テーブル定義_一覧!$D$1:$U$501, テーブル定義_一覧!$D$1:$D$501=M$1), M$2, _xlfn.XMATCH($B4, テーブル定義_一覧!$D$1:$Z$1))&amp;""</f>
        <v>ユーザーID</v>
      </c>
      <c r="N4" s="40" t="str" cm="1">
        <f t="array" aca="1" ref="N4" ca="1">INDEX(_xlfn._xlws.FILTER(テーブル定義_一覧!$D$1:$U$501, テーブル定義_一覧!$D$1:$D$501=N$1), N$2, _xlfn.XMATCH($B4, テーブル定義_一覧!$D$1:$Z$1))&amp;""</f>
        <v>ユーザーID</v>
      </c>
      <c r="O4" s="40" t="str" cm="1">
        <f t="array" aca="1" ref="O4" ca="1">INDEX(_xlfn._xlws.FILTER(テーブル定義_一覧!$D$1:$U$501, テーブル定義_一覧!$D$1:$D$501=O$1), O$2, _xlfn.XMATCH($B4, テーブル定義_一覧!$D$1:$Z$1))&amp;""</f>
        <v>ユーザー名</v>
      </c>
      <c r="P4" s="40" t="str" cm="1">
        <f t="array" aca="1" ref="P4" ca="1">INDEX(_xlfn._xlws.FILTER(テーブル定義_一覧!$D$1:$U$501, テーブル定義_一覧!$D$1:$D$501=P$1), P$2, _xlfn.XMATCH($B4, テーブル定義_一覧!$D$1:$Z$1))&amp;""</f>
        <v>ユーザー権限(物理名)</v>
      </c>
      <c r="Q4" s="40" t="str" cm="1">
        <f t="array" aca="1" ref="Q4" ca="1">INDEX(_xlfn._xlws.FILTER(テーブル定義_一覧!$D$1:$U$501, テーブル定義_一覧!$D$1:$D$501=Q$1), Q$2, _xlfn.XMATCH($B4, テーブル定義_一覧!$D$1:$Z$1))&amp;""</f>
        <v>画面非表示フラグ</v>
      </c>
      <c r="R4" s="40" t="str" cm="1">
        <f t="array" aca="1" ref="R4" ca="1">INDEX(_xlfn._xlws.FILTER(テーブル定義_一覧!$D$1:$U$501, テーブル定義_一覧!$D$1:$D$501=R$1), R$2, _xlfn.XMATCH($B4, テーブル定義_一覧!$D$1:$Z$1))&amp;""</f>
        <v>ログインサービス</v>
      </c>
      <c r="S4" s="40" t="str" cm="1">
        <f t="array" aca="1" ref="S4" ca="1">INDEX(_xlfn._xlws.FILTER(テーブル定義_一覧!$D$1:$U$501, テーブル定義_一覧!$D$1:$D$501=S$1), S$2, _xlfn.XMATCH($B4, テーブル定義_一覧!$D$1:$Z$1))&amp;""</f>
        <v>登録日</v>
      </c>
      <c r="T4" s="40" t="str" cm="1">
        <f t="array" aca="1" ref="T4" ca="1">INDEX(_xlfn._xlws.FILTER(テーブル定義_一覧!$D$1:$U$501, テーブル定義_一覧!$D$1:$D$501=T$1), T$2, _xlfn.XMATCH($B4, テーブル定義_一覧!$D$1:$Z$1))&amp;""</f>
        <v>画面テーマ</v>
      </c>
      <c r="U4" s="40" t="str" cm="1">
        <f t="array" aca="1" ref="U4" ca="1">INDEX(_xlfn._xlws.FILTER(テーブル定義_一覧!$D$1:$U$501, テーブル定義_一覧!$D$1:$D$501=U$1), U$2, _xlfn.XMATCH($B4, テーブル定義_一覧!$D$1:$Z$1))&amp;""</f>
        <v>表示言語</v>
      </c>
      <c r="V4" s="40" t="str" cm="1">
        <f t="array" aca="1" ref="V4" ca="1">INDEX(_xlfn._xlws.FILTER(テーブル定義_一覧!$D$1:$U$501, テーブル定義_一覧!$D$1:$D$501=V$1), V$2, _xlfn.XMATCH($B4, テーブル定義_一覧!$D$1:$Z$1))&amp;""</f>
        <v>タグID</v>
      </c>
      <c r="W4" s="40" t="str" cm="1">
        <f t="array" aca="1" ref="W4" ca="1">INDEX(_xlfn._xlws.FILTER(テーブル定義_一覧!$D$1:$U$501, テーブル定義_一覧!$D$1:$D$501=W$1), W$2, _xlfn.XMATCH($B4, テーブル定義_一覧!$D$1:$Z$1))&amp;""</f>
        <v>タグ名</v>
      </c>
      <c r="X4" s="40" t="str" cm="1">
        <f t="array" aca="1" ref="X4" ca="1">INDEX(_xlfn._xlws.FILTER(テーブル定義_一覧!$D$1:$U$501, テーブル定義_一覧!$D$1:$D$501=X$1), X$2, _xlfn.XMATCH($B4, テーブル定義_一覧!$D$1:$Z$1))&amp;""</f>
        <v>SNSリンクID</v>
      </c>
      <c r="Y4" s="40" t="str" cm="1">
        <f t="array" aca="1" ref="Y4" ca="1">INDEX(_xlfn._xlws.FILTER(テーブル定義_一覧!$D$1:$U$501, テーブル定義_一覧!$D$1:$D$501=Y$1), Y$2, _xlfn.XMATCH($B4, テーブル定義_一覧!$D$1:$Z$1))&amp;""</f>
        <v>VプロフィールID</v>
      </c>
      <c r="Z4" s="40" t="str" cm="1">
        <f t="array" aca="1" ref="Z4" ca="1">INDEX(_xlfn._xlws.FILTER(テーブル定義_一覧!$D$1:$U$501, テーブル定義_一覧!$D$1:$D$501=Z$1), Z$2, _xlfn.XMATCH($B4, テーブル定義_一覧!$D$1:$Z$1))&amp;""</f>
        <v>SNSアイコン</v>
      </c>
      <c r="AA4" s="40" t="str" cm="1">
        <f t="array" aca="1" ref="AA4" ca="1">INDEX(_xlfn._xlws.FILTER(テーブル定義_一覧!$D$1:$U$501, テーブル定義_一覧!$D$1:$D$501=AA$1), AA$2, _xlfn.XMATCH($B4, テーブル定義_一覧!$D$1:$Z$1))&amp;""</f>
        <v>ラベル名</v>
      </c>
      <c r="AB4" s="40" t="str" cm="1">
        <f t="array" aca="1" ref="AB4" ca="1">INDEX(_xlfn._xlws.FILTER(テーブル定義_一覧!$D$1:$U$501, テーブル定義_一覧!$D$1:$D$501=AB$1), AB$2, _xlfn.XMATCH($B4, テーブル定義_一覧!$D$1:$Z$1))&amp;""</f>
        <v>URL</v>
      </c>
      <c r="AC4" s="40" t="str" cm="1">
        <f t="array" aca="1" ref="AC4" ca="1">INDEX(_xlfn._xlws.FILTER(テーブル定義_一覧!$D$1:$U$501, テーブル定義_一覧!$D$1:$D$501=AC$1), AC$2, _xlfn.XMATCH($B4, テーブル定義_一覧!$D$1:$Z$1))&amp;""</f>
        <v>BBSID</v>
      </c>
      <c r="AD4" s="40" t="str" cm="1">
        <f t="array" aca="1" ref="AD4" ca="1">INDEX(_xlfn._xlws.FILTER(テーブル定義_一覧!$D$1:$U$501, テーブル定義_一覧!$D$1:$D$501=AD$1), AD$2, _xlfn.XMATCH($B4, テーブル定義_一覧!$D$1:$Z$1))&amp;""</f>
        <v>VプロフィールID</v>
      </c>
      <c r="AE4" s="40" t="str" cm="1">
        <f t="array" aca="1" ref="AE4" ca="1">INDEX(_xlfn._xlws.FILTER(テーブル定義_一覧!$D$1:$U$501, テーブル定義_一覧!$D$1:$D$501=AE$1), AE$2, _xlfn.XMATCH($B4, テーブル定義_一覧!$D$1:$Z$1))&amp;""</f>
        <v>ユーザーID</v>
      </c>
      <c r="AF4" s="40" t="str" cm="1">
        <f t="array" aca="1" ref="AF4" ca="1">INDEX(_xlfn._xlws.FILTER(テーブル定義_一覧!$D$1:$U$501, テーブル定義_一覧!$D$1:$D$501=AF$1), AF$2, _xlfn.XMATCH($B4, テーブル定義_一覧!$D$1:$Z$1))&amp;""</f>
        <v>レス内容</v>
      </c>
      <c r="AG4" s="40" t="str" cm="1">
        <f t="array" aca="1" ref="AG4" ca="1">INDEX(_xlfn._xlws.FILTER(テーブル定義_一覧!$D$1:$U$501, テーブル定義_一覧!$D$1:$D$501=AG$1), AG$2, _xlfn.XMATCH($B4, テーブル定義_一覧!$D$1:$Z$1))&amp;""</f>
        <v>投稿日時時刻</v>
      </c>
      <c r="AH4" s="40" t="str" cm="1">
        <f t="array" aca="1" ref="AH4" ca="1">INDEX(_xlfn._xlws.FILTER(テーブル定義_一覧!$D$1:$U$501, テーブル定義_一覧!$D$1:$D$501=AH$1), AH$2, _xlfn.XMATCH($B4, テーブル定義_一覧!$D$1:$Z$1))&amp;""</f>
        <v>ページ編集者ID</v>
      </c>
      <c r="AI4" s="40" t="str" cm="1">
        <f t="array" aca="1" ref="AI4" ca="1">INDEX(_xlfn._xlws.FILTER(テーブル定義_一覧!$D$1:$U$501, テーブル定義_一覧!$D$1:$D$501=AI$1), AI$2, _xlfn.XMATCH($B4, テーブル定義_一覧!$D$1:$Z$1))&amp;""</f>
        <v>ユーザーID</v>
      </c>
      <c r="AJ4" s="40" t="str" cm="1">
        <f t="array" aca="1" ref="AJ4" ca="1">INDEX(_xlfn._xlws.FILTER(テーブル定義_一覧!$D$1:$U$501, テーブル定義_一覧!$D$1:$D$501=AJ$1), AJ$2, _xlfn.XMATCH($B4, テーブル定義_一覧!$D$1:$Z$1))&amp;""</f>
        <v>VプロフィールID</v>
      </c>
      <c r="AK4" s="40" t="str" cm="1">
        <f t="array" aca="1" ref="AK4" ca="1">INDEX(_xlfn._xlws.FILTER(テーブル定義_一覧!$D$1:$U$501, テーブル定義_一覧!$D$1:$D$501=AK$1), AK$2, _xlfn.XMATCH($B4, テーブル定義_一覧!$D$1:$Z$1))&amp;""</f>
        <v>修正項目</v>
      </c>
      <c r="AL4" s="40" t="str" cm="1">
        <f t="array" aca="1" ref="AL4" ca="1">INDEX(_xlfn._xlws.FILTER(テーブル定義_一覧!$D$1:$U$501, テーブル定義_一覧!$D$1:$D$501=AL$1), AL$2, _xlfn.XMATCH($B4, テーブル定義_一覧!$D$1:$Z$1))&amp;""</f>
        <v>修正前</v>
      </c>
      <c r="AM4" s="40" t="str" cm="1">
        <f t="array" aca="1" ref="AM4" ca="1">INDEX(_xlfn._xlws.FILTER(テーブル定義_一覧!$D$1:$U$501, テーブル定義_一覧!$D$1:$D$501=AM$1), AM$2, _xlfn.XMATCH($B4, テーブル定義_一覧!$D$1:$Z$1))&amp;""</f>
        <v>修正後</v>
      </c>
      <c r="AN4" s="40" t="str" cm="1">
        <f t="array" aca="1" ref="AN4" ca="1">INDEX(_xlfn._xlws.FILTER(テーブル定義_一覧!$D$1:$U$501, テーブル定義_一覧!$D$1:$D$501=AN$1), AN$2, _xlfn.XMATCH($B4, テーブル定義_一覧!$D$1:$Z$1))&amp;""</f>
        <v>修正日時</v>
      </c>
      <c r="AO4" s="40" t="str" cm="1">
        <f t="array" aca="1" ref="AO4" ca="1">INDEX(_xlfn._xlws.FILTER(テーブル定義_一覧!$D$1:$U$501, テーブル定義_一覧!$D$1:$D$501=AO$1), AO$2, _xlfn.XMATCH($B4, テーブル定義_一覧!$D$1:$Z$1))&amp;""</f>
        <v>通報数</v>
      </c>
      <c r="AP4" s="40" t="str" cm="1">
        <f t="array" aca="1" ref="AP4" ca="1">INDEX(_xlfn._xlws.FILTER(テーブル定義_一覧!$D$1:$U$501, テーブル定義_一覧!$D$1:$D$501=AP$1), AP$2, _xlfn.XMATCH($B4, テーブル定義_一覧!$D$1:$Z$1))&amp;""</f>
        <v>問い合わせID</v>
      </c>
      <c r="AQ4" s="40" t="str" cm="1">
        <f t="array" aca="1" ref="AQ4" ca="1">INDEX(_xlfn._xlws.FILTER(テーブル定義_一覧!$D$1:$U$501, テーブル定義_一覧!$D$1:$D$501=AQ$1), AQ$2, _xlfn.XMATCH($B4, テーブル定義_一覧!$D$1:$Z$1))&amp;""</f>
        <v>メールアドレス</v>
      </c>
      <c r="AR4" s="40" t="str" cm="1">
        <f t="array" aca="1" ref="AR4" ca="1">INDEX(_xlfn._xlws.FILTER(テーブル定義_一覧!$D$1:$U$501, テーブル定義_一覧!$D$1:$D$501=AR$1), AR$2, _xlfn.XMATCH($B4, テーブル定義_一覧!$D$1:$Z$1))&amp;""</f>
        <v>件名</v>
      </c>
      <c r="AS4" s="40" t="str" cm="1">
        <f t="array" aca="1" ref="AS4" ca="1">INDEX(_xlfn._xlws.FILTER(テーブル定義_一覧!$D$1:$U$501, テーブル定義_一覧!$D$1:$D$501=AS$1), AS$2, _xlfn.XMATCH($B4, テーブル定義_一覧!$D$1:$Z$1))&amp;""</f>
        <v>問い合わせ内容</v>
      </c>
      <c r="AT4" s="40" t="str" cm="1">
        <f t="array" aca="1" ref="AT4" ca="1">INDEX(_xlfn._xlws.FILTER(テーブル定義_一覧!$D$1:$U$501, テーブル定義_一覧!$D$1:$D$501=AT$1), AT$2, _xlfn.XMATCH($B4, テーブル定義_一覧!$D$1:$Z$1))&amp;""</f>
        <v>優先度(物理名)</v>
      </c>
      <c r="AU4" s="40" t="str" cm="1">
        <f t="array" aca="1" ref="AU4" ca="1">INDEX(_xlfn._xlws.FILTER(テーブル定義_一覧!$D$1:$U$501, テーブル定義_一覧!$D$1:$D$501=AU$1), AU$2, _xlfn.XMATCH($B4, テーブル定義_一覧!$D$1:$Z$1))&amp;""</f>
        <v>対応状況(物理名)</v>
      </c>
      <c r="AV4" s="40" t="str" cm="1">
        <f t="array" aca="1" ref="AV4" ca="1">INDEX(_xlfn._xlws.FILTER(テーブル定義_一覧!$D$1:$U$501, テーブル定義_一覧!$D$1:$D$501=AV$1), AV$2, _xlfn.XMATCH($B4, テーブル定義_一覧!$D$1:$Z$1))&amp;""</f>
        <v>プロフィール通報ID</v>
      </c>
      <c r="AW4" s="40" t="str" cm="1">
        <f t="array" aca="1" ref="AW4" ca="1">INDEX(_xlfn._xlws.FILTER(テーブル定義_一覧!$D$1:$U$501, テーブル定義_一覧!$D$1:$D$501=AW$1), AW$2, _xlfn.XMATCH($B4, テーブル定義_一覧!$D$1:$Z$1))&amp;""</f>
        <v>ユーザーID</v>
      </c>
      <c r="AX4" s="40" t="str" cm="1">
        <f t="array" aca="1" ref="AX4" ca="1">INDEX(_xlfn._xlws.FILTER(テーブル定義_一覧!$D$1:$U$501, テーブル定義_一覧!$D$1:$D$501=AX$1), AX$2, _xlfn.XMATCH($B4, テーブル定義_一覧!$D$1:$Z$1))&amp;""</f>
        <v>VプロフィールID</v>
      </c>
      <c r="AY4" s="40" t="str" cm="1">
        <f t="array" aca="1" ref="AY4" ca="1">INDEX(_xlfn._xlws.FILTER(テーブル定義_一覧!$D$1:$U$501, テーブル定義_一覧!$D$1:$D$501=AY$1), AY$2, _xlfn.XMATCH($B4, テーブル定義_一覧!$D$1:$Z$1))&amp;""</f>
        <v>通報理由(物理名)</v>
      </c>
      <c r="AZ4" s="40" t="str" cm="1">
        <f t="array" aca="1" ref="AZ4" ca="1">INDEX(_xlfn._xlws.FILTER(テーブル定義_一覧!$D$1:$U$501, テーブル定義_一覧!$D$1:$D$501=AZ$1), AZ$2, _xlfn.XMATCH($B4, テーブル定義_一覧!$D$1:$Z$1))&amp;""</f>
        <v>詳細</v>
      </c>
      <c r="BA4" s="40" t="str" cm="1">
        <f t="array" aca="1" ref="BA4" ca="1">INDEX(_xlfn._xlws.FILTER(テーブル定義_一覧!$D$1:$U$501, テーブル定義_一覧!$D$1:$D$501=BA$1), BA$2, _xlfn.XMATCH($B4, テーブル定義_一覧!$D$1:$Z$1))&amp;""</f>
        <v>通報日時</v>
      </c>
      <c r="BB4" s="40" t="str" cm="1">
        <f t="array" aca="1" ref="BB4" ca="1">INDEX(_xlfn._xlws.FILTER(テーブル定義_一覧!$D$1:$U$501, テーブル定義_一覧!$D$1:$D$501=BB$1), BB$2, _xlfn.XMATCH($B4, テーブル定義_一覧!$D$1:$Z$1))&amp;""</f>
        <v>画像(ユーザー投稿)ID</v>
      </c>
      <c r="BC4" s="40" t="str" cm="1">
        <f t="array" aca="1" ref="BC4" ca="1">INDEX(_xlfn._xlws.FILTER(テーブル定義_一覧!$D$1:$U$501, テーブル定義_一覧!$D$1:$D$501=BC$1), BC$2, _xlfn.XMATCH($B4, テーブル定義_一覧!$D$1:$Z$1))&amp;""</f>
        <v>ユーザーID</v>
      </c>
      <c r="BD4" s="40" t="str" cm="1">
        <f t="array" aca="1" ref="BD4" ca="1">INDEX(_xlfn._xlws.FILTER(テーブル定義_一覧!$D$1:$U$501, テーブル定義_一覧!$D$1:$D$501=BD$1), BD$2, _xlfn.XMATCH($B4, テーブル定義_一覧!$D$1:$Z$1))&amp;""</f>
        <v>バケット名</v>
      </c>
      <c r="BE4" s="40" t="str" cm="1">
        <f t="array" aca="1" ref="BE4" ca="1">INDEX(_xlfn._xlws.FILTER(テーブル定義_一覧!$D$1:$U$501, テーブル定義_一覧!$D$1:$D$501=BE$1), BE$2, _xlfn.XMATCH($B4, テーブル定義_一覧!$D$1:$Z$1))&amp;""</f>
        <v>オブジェクトパス</v>
      </c>
      <c r="BF4" s="40" t="str" cm="1">
        <f t="array" aca="1" ref="BF4" ca="1">INDEX(_xlfn._xlws.FILTER(テーブル定義_一覧!$D$1:$U$501, テーブル定義_一覧!$D$1:$D$501=BF$1), BF$2, _xlfn.XMATCH($B4, テーブル定義_一覧!$D$1:$Z$1))&amp;""</f>
        <v>CDNのURL</v>
      </c>
      <c r="BG4" s="40" t="str" cm="1">
        <f t="array" aca="1" ref="BG4" ca="1">INDEX(_xlfn._xlws.FILTER(テーブル定義_一覧!$D$1:$U$501, テーブル定義_一覧!$D$1:$D$501=BG$1), BG$2, _xlfn.XMATCH($B4, テーブル定義_一覧!$D$1:$Z$1))&amp;""</f>
        <v>コンテンツタイプ(拡張子等)</v>
      </c>
      <c r="BH4" s="40" t="str" cm="1">
        <f t="array" aca="1" ref="BH4" ca="1">INDEX(_xlfn._xlws.FILTER(テーブル定義_一覧!$D$1:$U$501, テーブル定義_一覧!$D$1:$D$501=BH$1), BH$2, _xlfn.XMATCH($B4, テーブル定義_一覧!$D$1:$Z$1))&amp;""</f>
        <v>画像幅</v>
      </c>
      <c r="BI4" s="40" t="str" cm="1">
        <f t="array" aca="1" ref="BI4" ca="1">INDEX(_xlfn._xlws.FILTER(テーブル定義_一覧!$D$1:$U$501, テーブル定義_一覧!$D$1:$D$501=BI$1), BI$2, _xlfn.XMATCH($B4, テーブル定義_一覧!$D$1:$Z$1))&amp;""</f>
        <v>画像高</v>
      </c>
      <c r="BJ4" s="40" t="str" cm="1">
        <f t="array" aca="1" ref="BJ4" ca="1">INDEX(_xlfn._xlws.FILTER(テーブル定義_一覧!$D$1:$U$501, テーブル定義_一覧!$D$1:$D$501=BJ$1), BJ$2, _xlfn.XMATCH($B4, テーブル定義_一覧!$D$1:$Z$1))&amp;""</f>
        <v>ファイルサイズ</v>
      </c>
      <c r="BK4" s="40" t="str" cm="1">
        <f t="array" aca="1" ref="BK4" ca="1">INDEX(_xlfn._xlws.FILTER(テーブル定義_一覧!$D$1:$U$501, テーブル定義_一覧!$D$1:$D$501=BK$1), BK$2, _xlfn.XMATCH($B4, テーブル定義_一覧!$D$1:$Z$1))&amp;""</f>
        <v>付加テキスト</v>
      </c>
      <c r="BL4" s="40" t="str" cm="1">
        <f t="array" aca="1" ref="BL4" ca="1">INDEX(_xlfn._xlws.FILTER(テーブル定義_一覧!$D$1:$U$501, テーブル定義_一覧!$D$1:$D$501=BL$1), BL$2, _xlfn.XMATCH($B4, テーブル定義_一覧!$D$1:$Z$1))&amp;""</f>
        <v>いいねID</v>
      </c>
      <c r="BM4" s="40" t="str" cm="1">
        <f t="array" aca="1" ref="BM4" ca="1">INDEX(_xlfn._xlws.FILTER(テーブル定義_一覧!$D$1:$U$501, テーブル定義_一覧!$D$1:$D$501=BM$1), BM$2, _xlfn.XMATCH($B4, テーブル定義_一覧!$D$1:$Z$1))&amp;""</f>
        <v>いいねした人</v>
      </c>
      <c r="BN4" s="40" t="str" cm="1">
        <f t="array" aca="1" ref="BN4" ca="1">INDEX(_xlfn._xlws.FILTER(テーブル定義_一覧!$D$1:$U$501, テーブル定義_一覧!$D$1:$D$501=BN$1), BN$2, _xlfn.XMATCH($B4, テーブル定義_一覧!$D$1:$Z$1))&amp;""</f>
        <v>いいねされた人</v>
      </c>
      <c r="BO4" s="40" t="str" cm="1">
        <f t="array" aca="1" ref="BO4" ca="1">INDEX(_xlfn._xlws.FILTER(テーブル定義_一覧!$D$1:$U$501, テーブル定義_一覧!$D$1:$D$501=BO$1), BO$2, _xlfn.XMATCH($B4, テーブル定義_一覧!$D$1:$Z$1))&amp;""</f>
        <v>いいね種別</v>
      </c>
      <c r="BP4" s="40" t="str" cm="1">
        <f t="array" aca="1" ref="BP4" ca="1">INDEX(_xlfn._xlws.FILTER(テーブル定義_一覧!$D$1:$U$501, テーブル定義_一覧!$D$1:$D$501=BP$1), BP$2, _xlfn.XMATCH($B4, テーブル定義_一覧!$D$1:$Z$1))&amp;""</f>
        <v>いいねした日</v>
      </c>
      <c r="BQ4" s="40" t="str" cm="1">
        <f t="array" aca="1" ref="BQ4" ca="1">INDEX(_xlfn._xlws.FILTER(テーブル定義_一覧!$D$1:$U$501, テーブル定義_一覧!$D$1:$D$501=BQ$1), BQ$2, _xlfn.XMATCH($B4, テーブル定義_一覧!$D$1:$Z$1))&amp;""</f>
        <v>動画リンクID</v>
      </c>
      <c r="BR4" s="40" t="str" cm="1">
        <f t="array" aca="1" ref="BR4" ca="1">INDEX(_xlfn._xlws.FILTER(テーブル定義_一覧!$D$1:$U$501, テーブル定義_一覧!$D$1:$D$501=BR$1), BR$2, _xlfn.XMATCH($B4, テーブル定義_一覧!$D$1:$Z$1))&amp;""</f>
        <v>VプロフィールID</v>
      </c>
      <c r="BS4" s="40" t="str" cm="1">
        <f t="array" aca="1" ref="BS4" ca="1">INDEX(_xlfn._xlws.FILTER(テーブル定義_一覧!$D$1:$U$501, テーブル定義_一覧!$D$1:$D$501=BS$1), BS$2, _xlfn.XMATCH($B4, テーブル定義_一覧!$D$1:$Z$1))&amp;""</f>
        <v>動画URL</v>
      </c>
      <c r="BT4" s="40" t="str" cm="1">
        <f t="array" aca="1" ref="BT4" ca="1">INDEX(_xlfn._xlws.FILTER(テーブル定義_一覧!$D$1:$U$501, テーブル定義_一覧!$D$1:$D$501=BT$1), BT$2, _xlfn.XMATCH($B4, テーブル定義_一覧!$D$1:$Z$1))&amp;""</f>
        <v>関係値ID</v>
      </c>
      <c r="BU4" s="40" t="str" cm="1">
        <f t="array" aca="1" ref="BU4" ca="1">INDEX(_xlfn._xlws.FILTER(テーブル定義_一覧!$D$1:$U$501, テーブル定義_一覧!$D$1:$D$501=BU$1), BU$2, _xlfn.XMATCH($B4, テーブル定義_一覧!$D$1:$Z$1))&amp;""</f>
        <v>ノード元</v>
      </c>
      <c r="BV4" s="40" t="str" cm="1">
        <f t="array" aca="1" ref="BV4" ca="1">INDEX(_xlfn._xlws.FILTER(テーブル定義_一覧!$D$1:$U$501, テーブル定義_一覧!$D$1:$D$501=BV$1), BV$2, _xlfn.XMATCH($B4, テーブル定義_一覧!$D$1:$Z$1))&amp;""</f>
        <v>ノード先</v>
      </c>
      <c r="BW4" s="40" t="str" cm="1">
        <f t="array" aca="1" ref="BW4" ca="1">INDEX(_xlfn._xlws.FILTER(テーブル定義_一覧!$D$1:$U$501, テーブル定義_一覧!$D$1:$D$501=BW$1), BW$2, _xlfn.XMATCH($B4, テーブル定義_一覧!$D$1:$Z$1))&amp;""</f>
        <v>関係名</v>
      </c>
      <c r="BX4" s="40" t="str" cm="1">
        <f t="array" aca="1" ref="BX4" ca="1">INDEX(_xlfn._xlws.FILTER(テーブル定義_一覧!$D$1:$U$501, テーブル定義_一覧!$D$1:$D$501=BX$1), BX$2, _xlfn.XMATCH($B4, テーブル定義_一覧!$D$1:$Z$1))&amp;""</f>
        <v>Vtuberプロフィール(各言語)ID</v>
      </c>
      <c r="BY4" s="40" t="str" cm="1">
        <f t="array" aca="1" ref="BY4" ca="1">INDEX(_xlfn._xlws.FILTER(テーブル定義_一覧!$D$1:$U$501, テーブル定義_一覧!$D$1:$D$501=BY$1), BY$2, _xlfn.XMATCH($B4, テーブル定義_一覧!$D$1:$Z$1))&amp;""</f>
        <v>VプロフィールID</v>
      </c>
      <c r="BZ4" s="40" t="str" cm="1">
        <f t="array" aca="1" ref="BZ4" ca="1">INDEX(_xlfn._xlws.FILTER(テーブル定義_一覧!$D$1:$U$501, テーブル定義_一覧!$D$1:$D$501=BZ$1), BZ$2, _xlfn.XMATCH($B4, テーブル定義_一覧!$D$1:$Z$1))&amp;""</f>
        <v>言語</v>
      </c>
      <c r="CA4" s="40" t="str" cm="1">
        <f t="array" aca="1" ref="CA4" ca="1">INDEX(_xlfn._xlws.FILTER(テーブル定義_一覧!$D$1:$U$501, テーブル定義_一覧!$D$1:$D$501=CA$1), CA$2, _xlfn.XMATCH($B4, テーブル定義_一覧!$D$1:$Z$1))&amp;""</f>
        <v>名前</v>
      </c>
      <c r="CB4" s="40" t="str" cm="1">
        <f t="array" aca="1" ref="CB4" ca="1">INDEX(_xlfn._xlws.FILTER(テーブル定義_一覧!$D$1:$U$501, テーブル定義_一覧!$D$1:$D$501=CB$1), CB$2, _xlfn.XMATCH($B4, テーブル定義_一覧!$D$1:$Z$1))&amp;""</f>
        <v>ニックネーム</v>
      </c>
      <c r="CC4" s="40" t="str" cm="1">
        <f t="array" aca="1" ref="CC4" ca="1">INDEX(_xlfn._xlws.FILTER(テーブル定義_一覧!$D$1:$U$501, テーブル定義_一覧!$D$1:$D$501=CC$1), CC$2, _xlfn.XMATCH($B4, テーブル定義_一覧!$D$1:$Z$1))&amp;""</f>
        <v>誕生日</v>
      </c>
      <c r="CD4" s="40" t="str" cm="1">
        <f t="array" aca="1" ref="CD4" ca="1">INDEX(_xlfn._xlws.FILTER(テーブル定義_一覧!$D$1:$U$501, テーブル定義_一覧!$D$1:$D$501=CD$1), CD$2, _xlfn.XMATCH($B4, テーブル定義_一覧!$D$1:$Z$1))&amp;""</f>
        <v>血液型</v>
      </c>
      <c r="CE4" s="40" t="str" cm="1">
        <f t="array" aca="1" ref="CE4" ca="1">INDEX(_xlfn._xlws.FILTER(テーブル定義_一覧!$D$1:$U$501, テーブル定義_一覧!$D$1:$D$501=CE$1), CE$2, _xlfn.XMATCH($B4, テーブル定義_一覧!$D$1:$Z$1))&amp;""</f>
        <v>身長</v>
      </c>
      <c r="CF4" s="40" t="str" cm="1">
        <f t="array" aca="1" ref="CF4" ca="1">INDEX(_xlfn._xlws.FILTER(テーブル定義_一覧!$D$1:$U$501, テーブル定義_一覧!$D$1:$D$501=CF$1), CF$2, _xlfn.XMATCH($B4, テーブル定義_一覧!$D$1:$Z$1))&amp;""</f>
        <v>ひとこと</v>
      </c>
      <c r="CG4" s="40" t="str" cm="1">
        <f t="array" aca="1" ref="CG4" ca="1">INDEX(_xlfn._xlws.FILTER(テーブル定義_一覧!$D$1:$U$501, テーブル定義_一覧!$D$1:$D$501=CG$1), CG$2, _xlfn.XMATCH($B4, テーブル定義_一覧!$D$1:$Z$1))&amp;""</f>
        <v>キャッチフレーズ</v>
      </c>
      <c r="CH4" s="40" t="str" cm="1">
        <f t="array" aca="1" ref="CH4" ca="1">INDEX(_xlfn._xlws.FILTER(テーブル定義_一覧!$D$1:$U$501, テーブル定義_一覧!$D$1:$D$501=CH$1), CH$2, _xlfn.XMATCH($B4, テーブル定義_一覧!$D$1:$Z$1))&amp;""</f>
        <v>好きなもの</v>
      </c>
      <c r="CI4" s="40" t="str" cm="1">
        <f t="array" aca="1" ref="CI4" ca="1">INDEX(_xlfn._xlws.FILTER(テーブル定義_一覧!$D$1:$U$501, テーブル定義_一覧!$D$1:$D$501=CI$1), CI$2, _xlfn.XMATCH($B4, テーブル定義_一覧!$D$1:$Z$1))&amp;""</f>
        <v>苦手なもの</v>
      </c>
      <c r="CJ4" s="40" t="str" cm="1">
        <f t="array" aca="1" ref="CJ4" ca="1">INDEX(_xlfn._xlws.FILTER(テーブル定義_一覧!$D$1:$U$501, テーブル定義_一覧!$D$1:$D$501=CJ$1), CJ$2, _xlfn.XMATCH($B4, テーブル定義_一覧!$D$1:$Z$1))&amp;""</f>
        <v>趣味・特技</v>
      </c>
      <c r="CK4" s="40" t="str" cm="1">
        <f t="array" aca="1" ref="CK4" ca="1">INDEX(_xlfn._xlws.FILTER(テーブル定義_一覧!$D$1:$U$501, テーブル定義_一覧!$D$1:$D$501=CK$1), CK$2, _xlfn.XMATCH($B4, テーブル定義_一覧!$D$1:$Z$1))&amp;""</f>
        <v>将来の夢</v>
      </c>
      <c r="CL4" s="40" t="str" cm="1">
        <f t="array" aca="1" ref="CL4" ca="1">INDEX(_xlfn._xlws.FILTER(テーブル定義_一覧!$D$1:$U$501, テーブル定義_一覧!$D$1:$D$501=CL$1), CL$2, _xlfn.XMATCH($B4, テーブル定義_一覧!$D$1:$Z$1))&amp;""</f>
        <v>メッセージ</v>
      </c>
      <c r="CM4" s="40" t="str" cm="1">
        <f t="array" aca="1" ref="CM4" ca="1">INDEX(_xlfn._xlws.FILTER(テーブル定義_一覧!$D$1:$U$501, テーブル定義_一覧!$D$1:$D$501=CM$1), CM$2, _xlfn.XMATCH($B4, テーブル定義_一覧!$D$1:$Z$1))&amp;""</f>
        <v>プロフィール詳細</v>
      </c>
      <c r="CN4" s="40" t="str" cm="1">
        <f t="array" aca="1" ref="CN4" ca="1">INDEX(_xlfn._xlws.FILTER(テーブル定義_一覧!$D$1:$U$501, テーブル定義_一覧!$D$1:$D$501=CN$1), CN$2, _xlfn.XMATCH($B4, テーブル定義_一覧!$D$1:$Z$1))&amp;""</f>
        <v>プロフィールのタグID</v>
      </c>
      <c r="CO4" s="40" t="str" cm="1">
        <f t="array" aca="1" ref="CO4" ca="1">INDEX(_xlfn._xlws.FILTER(テーブル定義_一覧!$D$1:$U$501, テーブル定義_一覧!$D$1:$D$501=CO$1), CO$2, _xlfn.XMATCH($B4, テーブル定義_一覧!$D$1:$Z$1))&amp;""</f>
        <v>VプロフィールID</v>
      </c>
      <c r="CP4" s="40" t="str" cm="1">
        <f t="array" aca="1" ref="CP4" ca="1">INDEX(_xlfn._xlws.FILTER(テーブル定義_一覧!$D$1:$U$501, テーブル定義_一覧!$D$1:$D$501=CP$1), CP$2, _xlfn.XMATCH($B4, テーブル定義_一覧!$D$1:$Z$1))&amp;""</f>
        <v>タグ名</v>
      </c>
      <c r="CQ4" s="40" t="str" cm="1">
        <f t="array" aca="1" ref="CQ4" ca="1">INDEX(_xlfn._xlws.FILTER(テーブル定義_一覧!$D$1:$U$501, テーブル定義_一覧!$D$1:$D$501=CQ$1), CQ$2, _xlfn.XMATCH($B4, テーブル定義_一覧!$D$1:$Z$1))&amp;""</f>
        <v>プロフィールの活動ジャンルID</v>
      </c>
      <c r="CR4" s="40" t="str" cm="1">
        <f t="array" aca="1" ref="CR4" ca="1">INDEX(_xlfn._xlws.FILTER(テーブル定義_一覧!$D$1:$U$501, テーブル定義_一覧!$D$1:$D$501=CR$1), CR$2, _xlfn.XMATCH($B4, テーブル定義_一覧!$D$1:$Z$1))&amp;""</f>
        <v>VプロフィールID</v>
      </c>
      <c r="CS4" s="34" t="str" cm="1">
        <f t="array" aca="1" ref="CS4" ca="1">INDEX(_xlfn._xlws.FILTER(テーブル定義_一覧!$D$1:$U$501, テーブル定義_一覧!$D$1:$D$501=CS$1), CS$2, _xlfn.XMATCH($B4, テーブル定義_一覧!$D$1:$Z$1))&amp;""</f>
        <v>活動ジャンル</v>
      </c>
    </row>
    <row r="5" spans="1:97" outlineLevel="2">
      <c r="A5" s="79"/>
      <c r="B5" s="22" t="s">
        <v>499</v>
      </c>
      <c r="C5" s="49" t="str" cm="1">
        <f t="array" aca="1" ref="C5" ca="1">INDEX(_xlfn._xlws.FILTER(テーブル定義_一覧!$D$1:$U$501, テーブル定義_一覧!$D$1:$D$501=C$1), C$2, _xlfn.XMATCH($B5, テーブル定義_一覧!$D$1:$Z$1))&amp;""</f>
        <v>serial</v>
      </c>
      <c r="D5" s="40" t="str" cm="1">
        <f t="array" aca="1" ref="D5" ca="1">INDEX(_xlfn._xlws.FILTER(テーブル定義_一覧!$D$1:$U$501, テーブル定義_一覧!$D$1:$D$501=D$1), D$2, _xlfn.XMATCH($B5, テーブル定義_一覧!$D$1:$Z$1))&amp;""</f>
        <v>varchar(8)</v>
      </c>
      <c r="E5" s="40" t="str" cm="1">
        <f t="array" aca="1" ref="E5" ca="1">INDEX(_xlfn._xlws.FILTER(テーブル定義_一覧!$D$1:$U$501, テーブル定義_一覧!$D$1:$D$501=E$1), E$2, _xlfn.XMATCH($B5, テーブル定義_一覧!$D$1:$Z$1))&amp;""</f>
        <v>integer</v>
      </c>
      <c r="F5" s="40" t="str" cm="1">
        <f t="array" aca="1" ref="F5" ca="1">INDEX(_xlfn._xlws.FILTER(テーブル定義_一覧!$D$1:$U$501, テーブル定義_一覧!$D$1:$D$501=F$1), F$2, _xlfn.XMATCH($B5, テーブル定義_一覧!$D$1:$Z$1))&amp;""</f>
        <v>integer</v>
      </c>
      <c r="G5" s="40" t="str" cm="1">
        <f t="array" aca="1" ref="G5" ca="1">INDEX(_xlfn._xlws.FILTER(テーブル定義_一覧!$D$1:$U$501, テーブル定義_一覧!$D$1:$D$501=G$1), G$2, _xlfn.XMATCH($B5, テーブル定義_一覧!$D$1:$Z$1))&amp;""</f>
        <v>timestamptz</v>
      </c>
      <c r="H5" s="40" t="str" cm="1">
        <f t="array" aca="1" ref="H5" ca="1">INDEX(_xlfn._xlws.FILTER(テーブル定義_一覧!$D$1:$U$501, テーブル定義_一覧!$D$1:$D$501=H$1), H$2, _xlfn.XMATCH($B5, テーブル定義_一覧!$D$1:$Z$1))&amp;""</f>
        <v>integer</v>
      </c>
      <c r="I5" s="40" t="str" cm="1">
        <f t="array" aca="1" ref="I5" ca="1">INDEX(_xlfn._xlws.FILTER(テーブル定義_一覧!$D$1:$U$501, テーブル定義_一覧!$D$1:$D$501=I$1), I$2, _xlfn.XMATCH($B5, テーブル定義_一覧!$D$1:$Z$1))&amp;""</f>
        <v>serial</v>
      </c>
      <c r="J5" s="40" t="str" cm="1">
        <f t="array" aca="1" ref="J5" ca="1">INDEX(_xlfn._xlws.FILTER(テーブル定義_一覧!$D$1:$U$501, テーブル定義_一覧!$D$1:$D$501=J$1), J$2, _xlfn.XMATCH($B5, テーブル定義_一覧!$D$1:$Z$1))&amp;""</f>
        <v>varchar(64)</v>
      </c>
      <c r="K5" s="40" t="str" cm="1">
        <f t="array" aca="1" ref="K5" ca="1">INDEX(_xlfn._xlws.FILTER(テーブル定義_一覧!$D$1:$U$501, テーブル定義_一覧!$D$1:$D$501=K$1), K$2, _xlfn.XMATCH($B5, テーブル定義_一覧!$D$1:$Z$1))&amp;""</f>
        <v>integer</v>
      </c>
      <c r="L5" s="40" t="str" cm="1">
        <f t="array" aca="1" ref="L5" ca="1">INDEX(_xlfn._xlws.FILTER(テーブル定義_一覧!$D$1:$U$501, テーブル定義_一覧!$D$1:$D$501=L$1), L$2, _xlfn.XMATCH($B5, テーブル定義_一覧!$D$1:$Z$1))&amp;""</f>
        <v>text</v>
      </c>
      <c r="M5" s="40" t="str" cm="1">
        <f t="array" aca="1" ref="M5" ca="1">INDEX(_xlfn._xlws.FILTER(テーブル定義_一覧!$D$1:$U$501, テーブル定義_一覧!$D$1:$D$501=M$1), M$2, _xlfn.XMATCH($B5, テーブル定義_一覧!$D$1:$Z$1))&amp;""</f>
        <v>serial</v>
      </c>
      <c r="N5" s="40" t="str" cm="1">
        <f t="array" aca="1" ref="N5" ca="1">INDEX(_xlfn._xlws.FILTER(テーブル定義_一覧!$D$1:$U$501, テーブル定義_一覧!$D$1:$D$501=N$1), N$2, _xlfn.XMATCH($B5, テーブル定義_一覧!$D$1:$Z$1))&amp;""</f>
        <v>varchar(8)</v>
      </c>
      <c r="O5" s="40" t="str" cm="1">
        <f t="array" aca="1" ref="O5" ca="1">INDEX(_xlfn._xlws.FILTER(テーブル定義_一覧!$D$1:$U$501, テーブル定義_一覧!$D$1:$D$501=O$1), O$2, _xlfn.XMATCH($B5, テーブル定義_一覧!$D$1:$Z$1))&amp;""</f>
        <v>varchar(64)</v>
      </c>
      <c r="P5" s="40" t="str" cm="1">
        <f t="array" aca="1" ref="P5" ca="1">INDEX(_xlfn._xlws.FILTER(テーブル定義_一覧!$D$1:$U$501, テーブル定義_一覧!$D$1:$D$501=P$1), P$2, _xlfn.XMATCH($B5, テーブル定義_一覧!$D$1:$Z$1))&amp;""</f>
        <v>integer</v>
      </c>
      <c r="Q5" s="40" t="str" cm="1">
        <f t="array" aca="1" ref="Q5" ca="1">INDEX(_xlfn._xlws.FILTER(テーブル定義_一覧!$D$1:$U$501, テーブル定義_一覧!$D$1:$D$501=Q$1), Q$2, _xlfn.XMATCH($B5, テーブル定義_一覧!$D$1:$Z$1))&amp;""</f>
        <v>boolean</v>
      </c>
      <c r="R5" s="40" t="str" cm="1">
        <f t="array" aca="1" ref="R5" ca="1">INDEX(_xlfn._xlws.FILTER(テーブル定義_一覧!$D$1:$U$501, テーブル定義_一覧!$D$1:$D$501=R$1), R$2, _xlfn.XMATCH($B5, テーブル定義_一覧!$D$1:$Z$1))&amp;""</f>
        <v>integer</v>
      </c>
      <c r="S5" s="40" t="str" cm="1">
        <f t="array" aca="1" ref="S5" ca="1">INDEX(_xlfn._xlws.FILTER(テーブル定義_一覧!$D$1:$U$501, テーブル定義_一覧!$D$1:$D$501=S$1), S$2, _xlfn.XMATCH($B5, テーブル定義_一覧!$D$1:$Z$1))&amp;""</f>
        <v>timestamptz</v>
      </c>
      <c r="T5" s="40" t="str" cm="1">
        <f t="array" aca="1" ref="T5" ca="1">INDEX(_xlfn._xlws.FILTER(テーブル定義_一覧!$D$1:$U$501, テーブル定義_一覧!$D$1:$D$501=T$1), T$2, _xlfn.XMATCH($B5, テーブル定義_一覧!$D$1:$Z$1))&amp;""</f>
        <v>integer</v>
      </c>
      <c r="U5" s="40" t="str" cm="1">
        <f t="array" aca="1" ref="U5" ca="1">INDEX(_xlfn._xlws.FILTER(テーブル定義_一覧!$D$1:$U$501, テーブル定義_一覧!$D$1:$D$501=U$1), U$2, _xlfn.XMATCH($B5, テーブル定義_一覧!$D$1:$Z$1))&amp;""</f>
        <v>integer</v>
      </c>
      <c r="V5" s="40" t="str" cm="1">
        <f t="array" aca="1" ref="V5" ca="1">INDEX(_xlfn._xlws.FILTER(テーブル定義_一覧!$D$1:$U$501, テーブル定義_一覧!$D$1:$D$501=V$1), V$2, _xlfn.XMATCH($B5, テーブル定義_一覧!$D$1:$Z$1))&amp;""</f>
        <v>serial</v>
      </c>
      <c r="W5" s="40" t="str" cm="1">
        <f t="array" aca="1" ref="W5" ca="1">INDEX(_xlfn._xlws.FILTER(テーブル定義_一覧!$D$1:$U$501, テーブル定義_一覧!$D$1:$D$501=W$1), W$2, _xlfn.XMATCH($B5, テーブル定義_一覧!$D$1:$Z$1))&amp;""</f>
        <v>text</v>
      </c>
      <c r="X5" s="40" t="str" cm="1">
        <f t="array" aca="1" ref="X5" ca="1">INDEX(_xlfn._xlws.FILTER(テーブル定義_一覧!$D$1:$U$501, テーブル定義_一覧!$D$1:$D$501=X$1), X$2, _xlfn.XMATCH($B5, テーブル定義_一覧!$D$1:$Z$1))&amp;""</f>
        <v>serial</v>
      </c>
      <c r="Y5" s="40" t="str" cm="1">
        <f t="array" aca="1" ref="Y5" ca="1">INDEX(_xlfn._xlws.FILTER(テーブル定義_一覧!$D$1:$U$501, テーブル定義_一覧!$D$1:$D$501=Y$1), Y$2, _xlfn.XMATCH($B5, テーブル定義_一覧!$D$1:$Z$1))&amp;""</f>
        <v>integer</v>
      </c>
      <c r="Z5" s="40" t="str" cm="1">
        <f t="array" aca="1" ref="Z5" ca="1">INDEX(_xlfn._xlws.FILTER(テーブル定義_一覧!$D$1:$U$501, テーブル定義_一覧!$D$1:$D$501=Z$1), Z$2, _xlfn.XMATCH($B5, テーブル定義_一覧!$D$1:$Z$1))&amp;""</f>
        <v>integer</v>
      </c>
      <c r="AA5" s="40" t="str" cm="1">
        <f t="array" aca="1" ref="AA5" ca="1">INDEX(_xlfn._xlws.FILTER(テーブル定義_一覧!$D$1:$U$501, テーブル定義_一覧!$D$1:$D$501=AA$1), AA$2, _xlfn.XMATCH($B5, テーブル定義_一覧!$D$1:$Z$1))&amp;""</f>
        <v>varchar(32)</v>
      </c>
      <c r="AB5" s="40" t="str" cm="1">
        <f t="array" aca="1" ref="AB5" ca="1">INDEX(_xlfn._xlws.FILTER(テーブル定義_一覧!$D$1:$U$501, テーブル定義_一覧!$D$1:$D$501=AB$1), AB$2, _xlfn.XMATCH($B5, テーブル定義_一覧!$D$1:$Z$1))&amp;""</f>
        <v>text</v>
      </c>
      <c r="AC5" s="40" t="str" cm="1">
        <f t="array" aca="1" ref="AC5" ca="1">INDEX(_xlfn._xlws.FILTER(テーブル定義_一覧!$D$1:$U$501, テーブル定義_一覧!$D$1:$D$501=AC$1), AC$2, _xlfn.XMATCH($B5, テーブル定義_一覧!$D$1:$Z$1))&amp;""</f>
        <v>serial</v>
      </c>
      <c r="AD5" s="40" t="str" cm="1">
        <f t="array" aca="1" ref="AD5" ca="1">INDEX(_xlfn._xlws.FILTER(テーブル定義_一覧!$D$1:$U$501, テーブル定義_一覧!$D$1:$D$501=AD$1), AD$2, _xlfn.XMATCH($B5, テーブル定義_一覧!$D$1:$Z$1))&amp;""</f>
        <v>integer</v>
      </c>
      <c r="AE5" s="40" t="str" cm="1">
        <f t="array" aca="1" ref="AE5" ca="1">INDEX(_xlfn._xlws.FILTER(テーブル定義_一覧!$D$1:$U$501, テーブル定義_一覧!$D$1:$D$501=AE$1), AE$2, _xlfn.XMATCH($B5, テーブル定義_一覧!$D$1:$Z$1))&amp;""</f>
        <v>integer</v>
      </c>
      <c r="AF5" s="40" t="str" cm="1">
        <f t="array" aca="1" ref="AF5" ca="1">INDEX(_xlfn._xlws.FILTER(テーブル定義_一覧!$D$1:$U$501, テーブル定義_一覧!$D$1:$D$501=AF$1), AF$2, _xlfn.XMATCH($B5, テーブル定義_一覧!$D$1:$Z$1))&amp;""</f>
        <v>text</v>
      </c>
      <c r="AG5" s="40" t="str" cm="1">
        <f t="array" aca="1" ref="AG5" ca="1">INDEX(_xlfn._xlws.FILTER(テーブル定義_一覧!$D$1:$U$501, テーブル定義_一覧!$D$1:$D$501=AG$1), AG$2, _xlfn.XMATCH($B5, テーブル定義_一覧!$D$1:$Z$1))&amp;""</f>
        <v>timestamptz</v>
      </c>
      <c r="AH5" s="40" t="str" cm="1">
        <f t="array" aca="1" ref="AH5" ca="1">INDEX(_xlfn._xlws.FILTER(テーブル定義_一覧!$D$1:$U$501, テーブル定義_一覧!$D$1:$D$501=AH$1), AH$2, _xlfn.XMATCH($B5, テーブル定義_一覧!$D$1:$Z$1))&amp;""</f>
        <v>serial</v>
      </c>
      <c r="AI5" s="40" t="str" cm="1">
        <f t="array" aca="1" ref="AI5" ca="1">INDEX(_xlfn._xlws.FILTER(テーブル定義_一覧!$D$1:$U$501, テーブル定義_一覧!$D$1:$D$501=AI$1), AI$2, _xlfn.XMATCH($B5, テーブル定義_一覧!$D$1:$Z$1))&amp;""</f>
        <v>integer</v>
      </c>
      <c r="AJ5" s="40" t="str" cm="1">
        <f t="array" aca="1" ref="AJ5" ca="1">INDEX(_xlfn._xlws.FILTER(テーブル定義_一覧!$D$1:$U$501, テーブル定義_一覧!$D$1:$D$501=AJ$1), AJ$2, _xlfn.XMATCH($B5, テーブル定義_一覧!$D$1:$Z$1))&amp;""</f>
        <v>integer</v>
      </c>
      <c r="AK5" s="40" t="str" cm="1">
        <f t="array" aca="1" ref="AK5" ca="1">INDEX(_xlfn._xlws.FILTER(テーブル定義_一覧!$D$1:$U$501, テーブル定義_一覧!$D$1:$D$501=AK$1), AK$2, _xlfn.XMATCH($B5, テーブル定義_一覧!$D$1:$Z$1))&amp;""</f>
        <v>integer</v>
      </c>
      <c r="AL5" s="40" t="str" cm="1">
        <f t="array" aca="1" ref="AL5" ca="1">INDEX(_xlfn._xlws.FILTER(テーブル定義_一覧!$D$1:$U$501, テーブル定義_一覧!$D$1:$D$501=AL$1), AL$2, _xlfn.XMATCH($B5, テーブル定義_一覧!$D$1:$Z$1))&amp;""</f>
        <v>text</v>
      </c>
      <c r="AM5" s="40" t="str" cm="1">
        <f t="array" aca="1" ref="AM5" ca="1">INDEX(_xlfn._xlws.FILTER(テーブル定義_一覧!$D$1:$U$501, テーブル定義_一覧!$D$1:$D$501=AM$1), AM$2, _xlfn.XMATCH($B5, テーブル定義_一覧!$D$1:$Z$1))&amp;""</f>
        <v>text</v>
      </c>
      <c r="AN5" s="40" t="str" cm="1">
        <f t="array" aca="1" ref="AN5" ca="1">INDEX(_xlfn._xlws.FILTER(テーブル定義_一覧!$D$1:$U$501, テーブル定義_一覧!$D$1:$D$501=AN$1), AN$2, _xlfn.XMATCH($B5, テーブル定義_一覧!$D$1:$Z$1))&amp;""</f>
        <v>timestamptz</v>
      </c>
      <c r="AO5" s="40" t="str" cm="1">
        <f t="array" aca="1" ref="AO5" ca="1">INDEX(_xlfn._xlws.FILTER(テーブル定義_一覧!$D$1:$U$501, テーブル定義_一覧!$D$1:$D$501=AO$1), AO$2, _xlfn.XMATCH($B5, テーブル定義_一覧!$D$1:$Z$1))&amp;""</f>
        <v>integer</v>
      </c>
      <c r="AP5" s="40" t="str" cm="1">
        <f t="array" aca="1" ref="AP5" ca="1">INDEX(_xlfn._xlws.FILTER(テーブル定義_一覧!$D$1:$U$501, テーブル定義_一覧!$D$1:$D$501=AP$1), AP$2, _xlfn.XMATCH($B5, テーブル定義_一覧!$D$1:$Z$1))&amp;""</f>
        <v>serial</v>
      </c>
      <c r="AQ5" s="40" t="str" cm="1">
        <f t="array" aca="1" ref="AQ5" ca="1">INDEX(_xlfn._xlws.FILTER(テーブル定義_一覧!$D$1:$U$501, テーブル定義_一覧!$D$1:$D$501=AQ$1), AQ$2, _xlfn.XMATCH($B5, テーブル定義_一覧!$D$1:$Z$1))&amp;""</f>
        <v>varchar(255)</v>
      </c>
      <c r="AR5" s="40" t="str" cm="1">
        <f t="array" aca="1" ref="AR5" ca="1">INDEX(_xlfn._xlws.FILTER(テーブル定義_一覧!$D$1:$U$501, テーブル定義_一覧!$D$1:$D$501=AR$1), AR$2, _xlfn.XMATCH($B5, テーブル定義_一覧!$D$1:$Z$1))&amp;""</f>
        <v>varchar(255)</v>
      </c>
      <c r="AS5" s="40" t="str" cm="1">
        <f t="array" aca="1" ref="AS5" ca="1">INDEX(_xlfn._xlws.FILTER(テーブル定義_一覧!$D$1:$U$501, テーブル定義_一覧!$D$1:$D$501=AS$1), AS$2, _xlfn.XMATCH($B5, テーブル定義_一覧!$D$1:$Z$1))&amp;""</f>
        <v>text</v>
      </c>
      <c r="AT5" s="40" t="str" cm="1">
        <f t="array" aca="1" ref="AT5" ca="1">INDEX(_xlfn._xlws.FILTER(テーブル定義_一覧!$D$1:$U$501, テーブル定義_一覧!$D$1:$D$501=AT$1), AT$2, _xlfn.XMATCH($B5, テーブル定義_一覧!$D$1:$Z$1))&amp;""</f>
        <v>integer</v>
      </c>
      <c r="AU5" s="40" t="str" cm="1">
        <f t="array" aca="1" ref="AU5" ca="1">INDEX(_xlfn._xlws.FILTER(テーブル定義_一覧!$D$1:$U$501, テーブル定義_一覧!$D$1:$D$501=AU$1), AU$2, _xlfn.XMATCH($B5, テーブル定義_一覧!$D$1:$Z$1))&amp;""</f>
        <v>integer</v>
      </c>
      <c r="AV5" s="40" t="str" cm="1">
        <f t="array" aca="1" ref="AV5" ca="1">INDEX(_xlfn._xlws.FILTER(テーブル定義_一覧!$D$1:$U$501, テーブル定義_一覧!$D$1:$D$501=AV$1), AV$2, _xlfn.XMATCH($B5, テーブル定義_一覧!$D$1:$Z$1))&amp;""</f>
        <v>serial</v>
      </c>
      <c r="AW5" s="40" t="str" cm="1">
        <f t="array" aca="1" ref="AW5" ca="1">INDEX(_xlfn._xlws.FILTER(テーブル定義_一覧!$D$1:$U$501, テーブル定義_一覧!$D$1:$D$501=AW$1), AW$2, _xlfn.XMATCH($B5, テーブル定義_一覧!$D$1:$Z$1))&amp;""</f>
        <v>integer</v>
      </c>
      <c r="AX5" s="40" t="str" cm="1">
        <f t="array" aca="1" ref="AX5" ca="1">INDEX(_xlfn._xlws.FILTER(テーブル定義_一覧!$D$1:$U$501, テーブル定義_一覧!$D$1:$D$501=AX$1), AX$2, _xlfn.XMATCH($B5, テーブル定義_一覧!$D$1:$Z$1))&amp;""</f>
        <v>integer</v>
      </c>
      <c r="AY5" s="40" t="str" cm="1">
        <f t="array" aca="1" ref="AY5" ca="1">INDEX(_xlfn._xlws.FILTER(テーブル定義_一覧!$D$1:$U$501, テーブル定義_一覧!$D$1:$D$501=AY$1), AY$2, _xlfn.XMATCH($B5, テーブル定義_一覧!$D$1:$Z$1))&amp;""</f>
        <v>integer</v>
      </c>
      <c r="AZ5" s="40" t="str" cm="1">
        <f t="array" aca="1" ref="AZ5" ca="1">INDEX(_xlfn._xlws.FILTER(テーブル定義_一覧!$D$1:$U$501, テーブル定義_一覧!$D$1:$D$501=AZ$1), AZ$2, _xlfn.XMATCH($B5, テーブル定義_一覧!$D$1:$Z$1))&amp;""</f>
        <v>text</v>
      </c>
      <c r="BA5" s="40" t="str" cm="1">
        <f t="array" aca="1" ref="BA5" ca="1">INDEX(_xlfn._xlws.FILTER(テーブル定義_一覧!$D$1:$U$501, テーブル定義_一覧!$D$1:$D$501=BA$1), BA$2, _xlfn.XMATCH($B5, テーブル定義_一覧!$D$1:$Z$1))&amp;""</f>
        <v>timestamptz</v>
      </c>
      <c r="BB5" s="40" t="str" cm="1">
        <f t="array" aca="1" ref="BB5" ca="1">INDEX(_xlfn._xlws.FILTER(テーブル定義_一覧!$D$1:$U$501, テーブル定義_一覧!$D$1:$D$501=BB$1), BB$2, _xlfn.XMATCH($B5, テーブル定義_一覧!$D$1:$Z$1))&amp;""</f>
        <v>serial</v>
      </c>
      <c r="BC5" s="40" t="str" cm="1">
        <f t="array" aca="1" ref="BC5" ca="1">INDEX(_xlfn._xlws.FILTER(テーブル定義_一覧!$D$1:$U$501, テーブル定義_一覧!$D$1:$D$501=BC$1), BC$2, _xlfn.XMATCH($B5, テーブル定義_一覧!$D$1:$Z$1))&amp;""</f>
        <v>integer</v>
      </c>
      <c r="BD5" s="40" t="str" cm="1">
        <f t="array" aca="1" ref="BD5" ca="1">INDEX(_xlfn._xlws.FILTER(テーブル定義_一覧!$D$1:$U$501, テーブル定義_一覧!$D$1:$D$501=BD$1), BD$2, _xlfn.XMATCH($B5, テーブル定義_一覧!$D$1:$Z$1))&amp;""</f>
        <v>varchar(100)</v>
      </c>
      <c r="BE5" s="40" t="str" cm="1">
        <f t="array" aca="1" ref="BE5" ca="1">INDEX(_xlfn._xlws.FILTER(テーブル定義_一覧!$D$1:$U$501, テーブル定義_一覧!$D$1:$D$501=BE$1), BE$2, _xlfn.XMATCH($B5, テーブル定義_一覧!$D$1:$Z$1))&amp;""</f>
        <v>varchar(512)</v>
      </c>
      <c r="BF5" s="40" t="str" cm="1">
        <f t="array" aca="1" ref="BF5" ca="1">INDEX(_xlfn._xlws.FILTER(テーブル定義_一覧!$D$1:$U$501, テーブル定義_一覧!$D$1:$D$501=BF$1), BF$2, _xlfn.XMATCH($B5, テーブル定義_一覧!$D$1:$Z$1))&amp;""</f>
        <v>varchar(512)</v>
      </c>
      <c r="BG5" s="40" t="str" cm="1">
        <f t="array" aca="1" ref="BG5" ca="1">INDEX(_xlfn._xlws.FILTER(テーブル定義_一覧!$D$1:$U$501, テーブル定義_一覧!$D$1:$D$501=BG$1), BG$2, _xlfn.XMATCH($B5, テーブル定義_一覧!$D$1:$Z$1))&amp;""</f>
        <v>varchar(50)</v>
      </c>
      <c r="BH5" s="40" t="str" cm="1">
        <f t="array" aca="1" ref="BH5" ca="1">INDEX(_xlfn._xlws.FILTER(テーブル定義_一覧!$D$1:$U$501, テーブル定義_一覧!$D$1:$D$501=BH$1), BH$2, _xlfn.XMATCH($B5, テーブル定義_一覧!$D$1:$Z$1))&amp;""</f>
        <v>integer</v>
      </c>
      <c r="BI5" s="40" t="str" cm="1">
        <f t="array" aca="1" ref="BI5" ca="1">INDEX(_xlfn._xlws.FILTER(テーブル定義_一覧!$D$1:$U$501, テーブル定義_一覧!$D$1:$D$501=BI$1), BI$2, _xlfn.XMATCH($B5, テーブル定義_一覧!$D$1:$Z$1))&amp;""</f>
        <v>integer</v>
      </c>
      <c r="BJ5" s="40" t="str" cm="1">
        <f t="array" aca="1" ref="BJ5" ca="1">INDEX(_xlfn._xlws.FILTER(テーブル定義_一覧!$D$1:$U$501, テーブル定義_一覧!$D$1:$D$501=BJ$1), BJ$2, _xlfn.XMATCH($B5, テーブル定義_一覧!$D$1:$Z$1))&amp;""</f>
        <v>integer</v>
      </c>
      <c r="BK5" s="40" t="str" cm="1">
        <f t="array" aca="1" ref="BK5" ca="1">INDEX(_xlfn._xlws.FILTER(テーブル定義_一覧!$D$1:$U$501, テーブル定義_一覧!$D$1:$D$501=BK$1), BK$2, _xlfn.XMATCH($B5, テーブル定義_一覧!$D$1:$Z$1))&amp;""</f>
        <v>varchar(255)</v>
      </c>
      <c r="BL5" s="40" t="str" cm="1">
        <f t="array" aca="1" ref="BL5" ca="1">INDEX(_xlfn._xlws.FILTER(テーブル定義_一覧!$D$1:$U$501, テーブル定義_一覧!$D$1:$D$501=BL$1), BL$2, _xlfn.XMATCH($B5, テーブル定義_一覧!$D$1:$Z$1))&amp;""</f>
        <v>serial</v>
      </c>
      <c r="BM5" s="40" t="str" cm="1">
        <f t="array" aca="1" ref="BM5" ca="1">INDEX(_xlfn._xlws.FILTER(テーブル定義_一覧!$D$1:$U$501, テーブル定義_一覧!$D$1:$D$501=BM$1), BM$2, _xlfn.XMATCH($B5, テーブル定義_一覧!$D$1:$Z$1))&amp;""</f>
        <v>integer</v>
      </c>
      <c r="BN5" s="40" t="str" cm="1">
        <f t="array" aca="1" ref="BN5" ca="1">INDEX(_xlfn._xlws.FILTER(テーブル定義_一覧!$D$1:$U$501, テーブル定義_一覧!$D$1:$D$501=BN$1), BN$2, _xlfn.XMATCH($B5, テーブル定義_一覧!$D$1:$Z$1))&amp;""</f>
        <v>integer</v>
      </c>
      <c r="BO5" s="40" t="str" cm="1">
        <f t="array" aca="1" ref="BO5" ca="1">INDEX(_xlfn._xlws.FILTER(テーブル定義_一覧!$D$1:$U$501, テーブル定義_一覧!$D$1:$D$501=BO$1), BO$2, _xlfn.XMATCH($B5, テーブル定義_一覧!$D$1:$Z$1))&amp;""</f>
        <v>enum</v>
      </c>
      <c r="BP5" s="40" t="str" cm="1">
        <f t="array" aca="1" ref="BP5" ca="1">INDEX(_xlfn._xlws.FILTER(テーブル定義_一覧!$D$1:$U$501, テーブル定義_一覧!$D$1:$D$501=BP$1), BP$2, _xlfn.XMATCH($B5, テーブル定義_一覧!$D$1:$Z$1))&amp;""</f>
        <v>timestamptz</v>
      </c>
      <c r="BQ5" s="40" t="str" cm="1">
        <f t="array" aca="1" ref="BQ5" ca="1">INDEX(_xlfn._xlws.FILTER(テーブル定義_一覧!$D$1:$U$501, テーブル定義_一覧!$D$1:$D$501=BQ$1), BQ$2, _xlfn.XMATCH($B5, テーブル定義_一覧!$D$1:$Z$1))&amp;""</f>
        <v>serial</v>
      </c>
      <c r="BR5" s="40" t="str" cm="1">
        <f t="array" aca="1" ref="BR5" ca="1">INDEX(_xlfn._xlws.FILTER(テーブル定義_一覧!$D$1:$U$501, テーブル定義_一覧!$D$1:$D$501=BR$1), BR$2, _xlfn.XMATCH($B5, テーブル定義_一覧!$D$1:$Z$1))&amp;""</f>
        <v>integer</v>
      </c>
      <c r="BS5" s="40" t="str" cm="1">
        <f t="array" aca="1" ref="BS5" ca="1">INDEX(_xlfn._xlws.FILTER(テーブル定義_一覧!$D$1:$U$501, テーブル定義_一覧!$D$1:$D$501=BS$1), BS$2, _xlfn.XMATCH($B5, テーブル定義_一覧!$D$1:$Z$1))&amp;""</f>
        <v>text</v>
      </c>
      <c r="BT5" s="40" t="str" cm="1">
        <f t="array" aca="1" ref="BT5" ca="1">INDEX(_xlfn._xlws.FILTER(テーブル定義_一覧!$D$1:$U$501, テーブル定義_一覧!$D$1:$D$501=BT$1), BT$2, _xlfn.XMATCH($B5, テーブル定義_一覧!$D$1:$Z$1))&amp;""</f>
        <v>serial</v>
      </c>
      <c r="BU5" s="40" t="str" cm="1">
        <f t="array" aca="1" ref="BU5" ca="1">INDEX(_xlfn._xlws.FILTER(テーブル定義_一覧!$D$1:$U$501, テーブル定義_一覧!$D$1:$D$501=BU$1), BU$2, _xlfn.XMATCH($B5, テーブル定義_一覧!$D$1:$Z$1))&amp;""</f>
        <v>integer</v>
      </c>
      <c r="BV5" s="40" t="str" cm="1">
        <f t="array" aca="1" ref="BV5" ca="1">INDEX(_xlfn._xlws.FILTER(テーブル定義_一覧!$D$1:$U$501, テーブル定義_一覧!$D$1:$D$501=BV$1), BV$2, _xlfn.XMATCH($B5, テーブル定義_一覧!$D$1:$Z$1))&amp;""</f>
        <v>integer</v>
      </c>
      <c r="BW5" s="40" t="str" cm="1">
        <f t="array" aca="1" ref="BW5" ca="1">INDEX(_xlfn._xlws.FILTER(テーブル定義_一覧!$D$1:$U$501, テーブル定義_一覧!$D$1:$D$501=BW$1), BW$2, _xlfn.XMATCH($B5, テーブル定義_一覧!$D$1:$Z$1))&amp;""</f>
        <v>varchar(32)</v>
      </c>
      <c r="BX5" s="40" t="str" cm="1">
        <f t="array" aca="1" ref="BX5" ca="1">INDEX(_xlfn._xlws.FILTER(テーブル定義_一覧!$D$1:$U$501, テーブル定義_一覧!$D$1:$D$501=BX$1), BX$2, _xlfn.XMATCH($B5, テーブル定義_一覧!$D$1:$Z$1))&amp;""</f>
        <v>serial</v>
      </c>
      <c r="BY5" s="40" t="str" cm="1">
        <f t="array" aca="1" ref="BY5" ca="1">INDEX(_xlfn._xlws.FILTER(テーブル定義_一覧!$D$1:$U$501, テーブル定義_一覧!$D$1:$D$501=BY$1), BY$2, _xlfn.XMATCH($B5, テーブル定義_一覧!$D$1:$Z$1))&amp;""</f>
        <v>integer</v>
      </c>
      <c r="BZ5" s="40" t="str" cm="1">
        <f t="array" aca="1" ref="BZ5" ca="1">INDEX(_xlfn._xlws.FILTER(テーブル定義_一覧!$D$1:$U$501, テーブル定義_一覧!$D$1:$D$501=BZ$1), BZ$2, _xlfn.XMATCH($B5, テーブル定義_一覧!$D$1:$Z$1))&amp;""</f>
        <v>integer</v>
      </c>
      <c r="CA5" s="40" t="str" cm="1">
        <f t="array" aca="1" ref="CA5" ca="1">INDEX(_xlfn._xlws.FILTER(テーブル定義_一覧!$D$1:$U$501, テーブル定義_一覧!$D$1:$D$501=CA$1), CA$2, _xlfn.XMATCH($B5, テーブル定義_一覧!$D$1:$Z$1))&amp;""</f>
        <v>varchar(128)</v>
      </c>
      <c r="CB5" s="40" t="str" cm="1">
        <f t="array" aca="1" ref="CB5" ca="1">INDEX(_xlfn._xlws.FILTER(テーブル定義_一覧!$D$1:$U$501, テーブル定義_一覧!$D$1:$D$501=CB$1), CB$2, _xlfn.XMATCH($B5, テーブル定義_一覧!$D$1:$Z$1))&amp;""</f>
        <v>varchar(128)</v>
      </c>
      <c r="CC5" s="40" t="str" cm="1">
        <f t="array" aca="1" ref="CC5" ca="1">INDEX(_xlfn._xlws.FILTER(テーブル定義_一覧!$D$1:$U$501, テーブル定義_一覧!$D$1:$D$501=CC$1), CC$2, _xlfn.XMATCH($B5, テーブル定義_一覧!$D$1:$Z$1))&amp;""</f>
        <v>varchar(32)</v>
      </c>
      <c r="CD5" s="40" t="str" cm="1">
        <f t="array" aca="1" ref="CD5" ca="1">INDEX(_xlfn._xlws.FILTER(テーブル定義_一覧!$D$1:$U$501, テーブル定義_一覧!$D$1:$D$501=CD$1), CD$2, _xlfn.XMATCH($B5, テーブル定義_一覧!$D$1:$Z$1))&amp;""</f>
        <v>varchar(16)</v>
      </c>
      <c r="CE5" s="40" t="str" cm="1">
        <f t="array" aca="1" ref="CE5" ca="1">INDEX(_xlfn._xlws.FILTER(テーブル定義_一覧!$D$1:$U$501, テーブル定義_一覧!$D$1:$D$501=CE$1), CE$2, _xlfn.XMATCH($B5, テーブル定義_一覧!$D$1:$Z$1))&amp;""</f>
        <v>varchar(16)</v>
      </c>
      <c r="CF5" s="40" t="str" cm="1">
        <f t="array" aca="1" ref="CF5" ca="1">INDEX(_xlfn._xlws.FILTER(テーブル定義_一覧!$D$1:$U$501, テーブル定義_一覧!$D$1:$D$501=CF$1), CF$2, _xlfn.XMATCH($B5, テーブル定義_一覧!$D$1:$Z$1))&amp;""</f>
        <v>text</v>
      </c>
      <c r="CG5" s="40" t="str" cm="1">
        <f t="array" aca="1" ref="CG5" ca="1">INDEX(_xlfn._xlws.FILTER(テーブル定義_一覧!$D$1:$U$501, テーブル定義_一覧!$D$1:$D$501=CG$1), CG$2, _xlfn.XMATCH($B5, テーブル定義_一覧!$D$1:$Z$1))&amp;""</f>
        <v>varchar(64)</v>
      </c>
      <c r="CH5" s="40" t="str" cm="1">
        <f t="array" aca="1" ref="CH5" ca="1">INDEX(_xlfn._xlws.FILTER(テーブル定義_一覧!$D$1:$U$501, テーブル定義_一覧!$D$1:$D$501=CH$1), CH$2, _xlfn.XMATCH($B5, テーブル定義_一覧!$D$1:$Z$1))&amp;""</f>
        <v>varchar(64)</v>
      </c>
      <c r="CI5" s="40" t="str" cm="1">
        <f t="array" aca="1" ref="CI5" ca="1">INDEX(_xlfn._xlws.FILTER(テーブル定義_一覧!$D$1:$U$501, テーブル定義_一覧!$D$1:$D$501=CI$1), CI$2, _xlfn.XMATCH($B5, テーブル定義_一覧!$D$1:$Z$1))&amp;""</f>
        <v>varchar(64)</v>
      </c>
      <c r="CJ5" s="40" t="str" cm="1">
        <f t="array" aca="1" ref="CJ5" ca="1">INDEX(_xlfn._xlws.FILTER(テーブル定義_一覧!$D$1:$U$501, テーブル定義_一覧!$D$1:$D$501=CJ$1), CJ$2, _xlfn.XMATCH($B5, テーブル定義_一覧!$D$1:$Z$1))&amp;""</f>
        <v>varchar(64)</v>
      </c>
      <c r="CK5" s="40" t="str" cm="1">
        <f t="array" aca="1" ref="CK5" ca="1">INDEX(_xlfn._xlws.FILTER(テーブル定義_一覧!$D$1:$U$501, テーブル定義_一覧!$D$1:$D$501=CK$1), CK$2, _xlfn.XMATCH($B5, テーブル定義_一覧!$D$1:$Z$1))&amp;""</f>
        <v>varchar(64)</v>
      </c>
      <c r="CL5" s="40" t="str" cm="1">
        <f t="array" aca="1" ref="CL5" ca="1">INDEX(_xlfn._xlws.FILTER(テーブル定義_一覧!$D$1:$U$501, テーブル定義_一覧!$D$1:$D$501=CL$1), CL$2, _xlfn.XMATCH($B5, テーブル定義_一覧!$D$1:$Z$1))&amp;""</f>
        <v>text</v>
      </c>
      <c r="CM5" s="40" t="str" cm="1">
        <f t="array" aca="1" ref="CM5" ca="1">INDEX(_xlfn._xlws.FILTER(テーブル定義_一覧!$D$1:$U$501, テーブル定義_一覧!$D$1:$D$501=CM$1), CM$2, _xlfn.XMATCH($B5, テーブル定義_一覧!$D$1:$Z$1))&amp;""</f>
        <v>text</v>
      </c>
      <c r="CN5" s="40" t="str" cm="1">
        <f t="array" aca="1" ref="CN5" ca="1">INDEX(_xlfn._xlws.FILTER(テーブル定義_一覧!$D$1:$U$501, テーブル定義_一覧!$D$1:$D$501=CN$1), CN$2, _xlfn.XMATCH($B5, テーブル定義_一覧!$D$1:$Z$1))&amp;""</f>
        <v>serial</v>
      </c>
      <c r="CO5" s="40" t="str" cm="1">
        <f t="array" aca="1" ref="CO5" ca="1">INDEX(_xlfn._xlws.FILTER(テーブル定義_一覧!$D$1:$U$501, テーブル定義_一覧!$D$1:$D$501=CO$1), CO$2, _xlfn.XMATCH($B5, テーブル定義_一覧!$D$1:$Z$1))&amp;""</f>
        <v>integer</v>
      </c>
      <c r="CP5" s="40" t="str" cm="1">
        <f t="array" aca="1" ref="CP5" ca="1">INDEX(_xlfn._xlws.FILTER(テーブル定義_一覧!$D$1:$U$501, テーブル定義_一覧!$D$1:$D$501=CP$1), CP$2, _xlfn.XMATCH($B5, テーブル定義_一覧!$D$1:$Z$1))&amp;""</f>
        <v>integer</v>
      </c>
      <c r="CQ5" s="40" t="str" cm="1">
        <f t="array" aca="1" ref="CQ5" ca="1">INDEX(_xlfn._xlws.FILTER(テーブル定義_一覧!$D$1:$U$501, テーブル定義_一覧!$D$1:$D$501=CQ$1), CQ$2, _xlfn.XMATCH($B5, テーブル定義_一覧!$D$1:$Z$1))&amp;""</f>
        <v>serial</v>
      </c>
      <c r="CR5" s="40" t="str" cm="1">
        <f t="array" aca="1" ref="CR5" ca="1">INDEX(_xlfn._xlws.FILTER(テーブル定義_一覧!$D$1:$U$501, テーブル定義_一覧!$D$1:$D$501=CR$1), CR$2, _xlfn.XMATCH($B5, テーブル定義_一覧!$D$1:$Z$1))&amp;""</f>
        <v>integer</v>
      </c>
      <c r="CS5" s="34" t="str" cm="1">
        <f t="array" aca="1" ref="CS5" ca="1">INDEX(_xlfn._xlws.FILTER(テーブル定義_一覧!$D$1:$U$501, テーブル定義_一覧!$D$1:$D$501=CS$1), CS$2, _xlfn.XMATCH($B5, テーブル定義_一覧!$D$1:$Z$1))&amp;""</f>
        <v>varchar(16)</v>
      </c>
    </row>
    <row r="6" spans="1:97" outlineLevel="2">
      <c r="A6" s="79"/>
      <c r="B6" s="22" t="s">
        <v>520</v>
      </c>
      <c r="C6" s="49" t="str" cm="1">
        <f t="array" aca="1" ref="C6" ca="1">INDEX(_xlfn._xlws.FILTER(テーブル定義_一覧!$D$1:$U$501, テーブル定義_一覧!$D$1:$D$501=C$1), C$2, _xlfn.XMATCH($B6, テーブル定義_一覧!$D$1:$Z$1))&amp;""</f>
        <v>x</v>
      </c>
      <c r="D6" s="40" t="str" cm="1">
        <f t="array" aca="1" ref="D6" ca="1">INDEX(_xlfn._xlws.FILTER(テーブル定義_一覧!$D$1:$U$501, テーブル定義_一覧!$D$1:$D$501=D$1), D$2, _xlfn.XMATCH($B6, テーブル定義_一覧!$D$1:$Z$1))&amp;""</f>
        <v/>
      </c>
      <c r="E6" s="40" t="str" cm="1">
        <f t="array" aca="1" ref="E6" ca="1">INDEX(_xlfn._xlws.FILTER(テーブル定義_一覧!$D$1:$U$501, テーブル定義_一覧!$D$1:$D$501=E$1), E$2, _xlfn.XMATCH($B6, テーブル定義_一覧!$D$1:$Z$1))&amp;""</f>
        <v/>
      </c>
      <c r="F6" s="40" t="str" cm="1">
        <f t="array" aca="1" ref="F6" ca="1">INDEX(_xlfn._xlws.FILTER(テーブル定義_一覧!$D$1:$U$501, テーブル定義_一覧!$D$1:$D$501=F$1), F$2, _xlfn.XMATCH($B6, テーブル定義_一覧!$D$1:$Z$1))&amp;""</f>
        <v/>
      </c>
      <c r="G6" s="40" t="str" cm="1">
        <f t="array" aca="1" ref="G6" ca="1">INDEX(_xlfn._xlws.FILTER(テーブル定義_一覧!$D$1:$U$501, テーブル定義_一覧!$D$1:$D$501=G$1), G$2, _xlfn.XMATCH($B6, テーブル定義_一覧!$D$1:$Z$1))&amp;""</f>
        <v/>
      </c>
      <c r="H6" s="40" t="str" cm="1">
        <f t="array" aca="1" ref="H6" ca="1">INDEX(_xlfn._xlws.FILTER(テーブル定義_一覧!$D$1:$U$501, テーブル定義_一覧!$D$1:$D$501=H$1), H$2, _xlfn.XMATCH($B6, テーブル定義_一覧!$D$1:$Z$1))&amp;""</f>
        <v/>
      </c>
      <c r="I6" s="40" t="str" cm="1">
        <f t="array" aca="1" ref="I6" ca="1">INDEX(_xlfn._xlws.FILTER(テーブル定義_一覧!$D$1:$U$501, テーブル定義_一覧!$D$1:$D$501=I$1), I$2, _xlfn.XMATCH($B6, テーブル定義_一覧!$D$1:$Z$1))&amp;""</f>
        <v>x</v>
      </c>
      <c r="J6" s="40" t="str" cm="1">
        <f t="array" aca="1" ref="J6" ca="1">INDEX(_xlfn._xlws.FILTER(テーブル定義_一覧!$D$1:$U$501, テーブル定義_一覧!$D$1:$D$501=J$1), J$2, _xlfn.XMATCH($B6, テーブル定義_一覧!$D$1:$Z$1))&amp;""</f>
        <v/>
      </c>
      <c r="K6" s="40" t="str" cm="1">
        <f t="array" aca="1" ref="K6" ca="1">INDEX(_xlfn._xlws.FILTER(テーブル定義_一覧!$D$1:$U$501, テーブル定義_一覧!$D$1:$D$501=K$1), K$2, _xlfn.XMATCH($B6, テーブル定義_一覧!$D$1:$Z$1))&amp;""</f>
        <v/>
      </c>
      <c r="L6" s="40" t="str" cm="1">
        <f t="array" aca="1" ref="L6" ca="1">INDEX(_xlfn._xlws.FILTER(テーブル定義_一覧!$D$1:$U$501, テーブル定義_一覧!$D$1:$D$501=L$1), L$2, _xlfn.XMATCH($B6, テーブル定義_一覧!$D$1:$Z$1))&amp;""</f>
        <v/>
      </c>
      <c r="M6" s="40" t="str" cm="1">
        <f t="array" aca="1" ref="M6" ca="1">INDEX(_xlfn._xlws.FILTER(テーブル定義_一覧!$D$1:$U$501, テーブル定義_一覧!$D$1:$D$501=M$1), M$2, _xlfn.XMATCH($B6, テーブル定義_一覧!$D$1:$Z$1))&amp;""</f>
        <v>x</v>
      </c>
      <c r="N6" s="40" t="str" cm="1">
        <f t="array" aca="1" ref="N6" ca="1">INDEX(_xlfn._xlws.FILTER(テーブル定義_一覧!$D$1:$U$501, テーブル定義_一覧!$D$1:$D$501=N$1), N$2, _xlfn.XMATCH($B6, テーブル定義_一覧!$D$1:$Z$1))&amp;""</f>
        <v/>
      </c>
      <c r="O6" s="40" t="str" cm="1">
        <f t="array" aca="1" ref="O6" ca="1">INDEX(_xlfn._xlws.FILTER(テーブル定義_一覧!$D$1:$U$501, テーブル定義_一覧!$D$1:$D$501=O$1), O$2, _xlfn.XMATCH($B6, テーブル定義_一覧!$D$1:$Z$1))&amp;""</f>
        <v/>
      </c>
      <c r="P6" s="40" t="str" cm="1">
        <f t="array" aca="1" ref="P6" ca="1">INDEX(_xlfn._xlws.FILTER(テーブル定義_一覧!$D$1:$U$501, テーブル定義_一覧!$D$1:$D$501=P$1), P$2, _xlfn.XMATCH($B6, テーブル定義_一覧!$D$1:$Z$1))&amp;""</f>
        <v/>
      </c>
      <c r="Q6" s="40" t="str" cm="1">
        <f t="array" aca="1" ref="Q6" ca="1">INDEX(_xlfn._xlws.FILTER(テーブル定義_一覧!$D$1:$U$501, テーブル定義_一覧!$D$1:$D$501=Q$1), Q$2, _xlfn.XMATCH($B6, テーブル定義_一覧!$D$1:$Z$1))&amp;""</f>
        <v/>
      </c>
      <c r="R6" s="40" t="str" cm="1">
        <f t="array" aca="1" ref="R6" ca="1">INDEX(_xlfn._xlws.FILTER(テーブル定義_一覧!$D$1:$U$501, テーブル定義_一覧!$D$1:$D$501=R$1), R$2, _xlfn.XMATCH($B6, テーブル定義_一覧!$D$1:$Z$1))&amp;""</f>
        <v/>
      </c>
      <c r="S6" s="40" t="str" cm="1">
        <f t="array" aca="1" ref="S6" ca="1">INDEX(_xlfn._xlws.FILTER(テーブル定義_一覧!$D$1:$U$501, テーブル定義_一覧!$D$1:$D$501=S$1), S$2, _xlfn.XMATCH($B6, テーブル定義_一覧!$D$1:$Z$1))&amp;""</f>
        <v/>
      </c>
      <c r="T6" s="40" t="str" cm="1">
        <f t="array" aca="1" ref="T6" ca="1">INDEX(_xlfn._xlws.FILTER(テーブル定義_一覧!$D$1:$U$501, テーブル定義_一覧!$D$1:$D$501=T$1), T$2, _xlfn.XMATCH($B6, テーブル定義_一覧!$D$1:$Z$1))&amp;""</f>
        <v/>
      </c>
      <c r="U6" s="40" t="str" cm="1">
        <f t="array" aca="1" ref="U6" ca="1">INDEX(_xlfn._xlws.FILTER(テーブル定義_一覧!$D$1:$U$501, テーブル定義_一覧!$D$1:$D$501=U$1), U$2, _xlfn.XMATCH($B6, テーブル定義_一覧!$D$1:$Z$1))&amp;""</f>
        <v/>
      </c>
      <c r="V6" s="40" t="str" cm="1">
        <f t="array" aca="1" ref="V6" ca="1">INDEX(_xlfn._xlws.FILTER(テーブル定義_一覧!$D$1:$U$501, テーブル定義_一覧!$D$1:$D$501=V$1), V$2, _xlfn.XMATCH($B6, テーブル定義_一覧!$D$1:$Z$1))&amp;""</f>
        <v>x</v>
      </c>
      <c r="W6" s="40" t="str" cm="1">
        <f t="array" aca="1" ref="W6" ca="1">INDEX(_xlfn._xlws.FILTER(テーブル定義_一覧!$D$1:$U$501, テーブル定義_一覧!$D$1:$D$501=W$1), W$2, _xlfn.XMATCH($B6, テーブル定義_一覧!$D$1:$Z$1))&amp;""</f>
        <v/>
      </c>
      <c r="X6" s="40" t="str" cm="1">
        <f t="array" aca="1" ref="X6" ca="1">INDEX(_xlfn._xlws.FILTER(テーブル定義_一覧!$D$1:$U$501, テーブル定義_一覧!$D$1:$D$501=X$1), X$2, _xlfn.XMATCH($B6, テーブル定義_一覧!$D$1:$Z$1))&amp;""</f>
        <v>x</v>
      </c>
      <c r="Y6" s="40" t="str" cm="1">
        <f t="array" aca="1" ref="Y6" ca="1">INDEX(_xlfn._xlws.FILTER(テーブル定義_一覧!$D$1:$U$501, テーブル定義_一覧!$D$1:$D$501=Y$1), Y$2, _xlfn.XMATCH($B6, テーブル定義_一覧!$D$1:$Z$1))&amp;""</f>
        <v/>
      </c>
      <c r="Z6" s="40" t="str" cm="1">
        <f t="array" aca="1" ref="Z6" ca="1">INDEX(_xlfn._xlws.FILTER(テーブル定義_一覧!$D$1:$U$501, テーブル定義_一覧!$D$1:$D$501=Z$1), Z$2, _xlfn.XMATCH($B6, テーブル定義_一覧!$D$1:$Z$1))&amp;""</f>
        <v/>
      </c>
      <c r="AA6" s="40" t="str" cm="1">
        <f t="array" aca="1" ref="AA6" ca="1">INDEX(_xlfn._xlws.FILTER(テーブル定義_一覧!$D$1:$U$501, テーブル定義_一覧!$D$1:$D$501=AA$1), AA$2, _xlfn.XMATCH($B6, テーブル定義_一覧!$D$1:$Z$1))&amp;""</f>
        <v/>
      </c>
      <c r="AB6" s="40" t="str" cm="1">
        <f t="array" aca="1" ref="AB6" ca="1">INDEX(_xlfn._xlws.FILTER(テーブル定義_一覧!$D$1:$U$501, テーブル定義_一覧!$D$1:$D$501=AB$1), AB$2, _xlfn.XMATCH($B6, テーブル定義_一覧!$D$1:$Z$1))&amp;""</f>
        <v/>
      </c>
      <c r="AC6" s="40" t="str" cm="1">
        <f t="array" aca="1" ref="AC6" ca="1">INDEX(_xlfn._xlws.FILTER(テーブル定義_一覧!$D$1:$U$501, テーブル定義_一覧!$D$1:$D$501=AC$1), AC$2, _xlfn.XMATCH($B6, テーブル定義_一覧!$D$1:$Z$1))&amp;""</f>
        <v>x</v>
      </c>
      <c r="AD6" s="40" t="str" cm="1">
        <f t="array" aca="1" ref="AD6" ca="1">INDEX(_xlfn._xlws.FILTER(テーブル定義_一覧!$D$1:$U$501, テーブル定義_一覧!$D$1:$D$501=AD$1), AD$2, _xlfn.XMATCH($B6, テーブル定義_一覧!$D$1:$Z$1))&amp;""</f>
        <v/>
      </c>
      <c r="AE6" s="40" t="str" cm="1">
        <f t="array" aca="1" ref="AE6" ca="1">INDEX(_xlfn._xlws.FILTER(テーブル定義_一覧!$D$1:$U$501, テーブル定義_一覧!$D$1:$D$501=AE$1), AE$2, _xlfn.XMATCH($B6, テーブル定義_一覧!$D$1:$Z$1))&amp;""</f>
        <v/>
      </c>
      <c r="AF6" s="40" t="str" cm="1">
        <f t="array" aca="1" ref="AF6" ca="1">INDEX(_xlfn._xlws.FILTER(テーブル定義_一覧!$D$1:$U$501, テーブル定義_一覧!$D$1:$D$501=AF$1), AF$2, _xlfn.XMATCH($B6, テーブル定義_一覧!$D$1:$Z$1))&amp;""</f>
        <v/>
      </c>
      <c r="AG6" s="40" t="str" cm="1">
        <f t="array" aca="1" ref="AG6" ca="1">INDEX(_xlfn._xlws.FILTER(テーブル定義_一覧!$D$1:$U$501, テーブル定義_一覧!$D$1:$D$501=AG$1), AG$2, _xlfn.XMATCH($B6, テーブル定義_一覧!$D$1:$Z$1))&amp;""</f>
        <v/>
      </c>
      <c r="AH6" s="40" t="str" cm="1">
        <f t="array" aca="1" ref="AH6" ca="1">INDEX(_xlfn._xlws.FILTER(テーブル定義_一覧!$D$1:$U$501, テーブル定義_一覧!$D$1:$D$501=AH$1), AH$2, _xlfn.XMATCH($B6, テーブル定義_一覧!$D$1:$Z$1))&amp;""</f>
        <v>x</v>
      </c>
      <c r="AI6" s="40" t="str" cm="1">
        <f t="array" aca="1" ref="AI6" ca="1">INDEX(_xlfn._xlws.FILTER(テーブル定義_一覧!$D$1:$U$501, テーブル定義_一覧!$D$1:$D$501=AI$1), AI$2, _xlfn.XMATCH($B6, テーブル定義_一覧!$D$1:$Z$1))&amp;""</f>
        <v/>
      </c>
      <c r="AJ6" s="40" t="str" cm="1">
        <f t="array" aca="1" ref="AJ6" ca="1">INDEX(_xlfn._xlws.FILTER(テーブル定義_一覧!$D$1:$U$501, テーブル定義_一覧!$D$1:$D$501=AJ$1), AJ$2, _xlfn.XMATCH($B6, テーブル定義_一覧!$D$1:$Z$1))&amp;""</f>
        <v/>
      </c>
      <c r="AK6" s="40" t="str" cm="1">
        <f t="array" aca="1" ref="AK6" ca="1">INDEX(_xlfn._xlws.FILTER(テーブル定義_一覧!$D$1:$U$501, テーブル定義_一覧!$D$1:$D$501=AK$1), AK$2, _xlfn.XMATCH($B6, テーブル定義_一覧!$D$1:$Z$1))&amp;""</f>
        <v/>
      </c>
      <c r="AL6" s="40" t="str" cm="1">
        <f t="array" aca="1" ref="AL6" ca="1">INDEX(_xlfn._xlws.FILTER(テーブル定義_一覧!$D$1:$U$501, テーブル定義_一覧!$D$1:$D$501=AL$1), AL$2, _xlfn.XMATCH($B6, テーブル定義_一覧!$D$1:$Z$1))&amp;""</f>
        <v/>
      </c>
      <c r="AM6" s="40" t="str" cm="1">
        <f t="array" aca="1" ref="AM6" ca="1">INDEX(_xlfn._xlws.FILTER(テーブル定義_一覧!$D$1:$U$501, テーブル定義_一覧!$D$1:$D$501=AM$1), AM$2, _xlfn.XMATCH($B6, テーブル定義_一覧!$D$1:$Z$1))&amp;""</f>
        <v/>
      </c>
      <c r="AN6" s="40" t="str" cm="1">
        <f t="array" aca="1" ref="AN6" ca="1">INDEX(_xlfn._xlws.FILTER(テーブル定義_一覧!$D$1:$U$501, テーブル定義_一覧!$D$1:$D$501=AN$1), AN$2, _xlfn.XMATCH($B6, テーブル定義_一覧!$D$1:$Z$1))&amp;""</f>
        <v/>
      </c>
      <c r="AO6" s="40" t="str" cm="1">
        <f t="array" aca="1" ref="AO6" ca="1">INDEX(_xlfn._xlws.FILTER(テーブル定義_一覧!$D$1:$U$501, テーブル定義_一覧!$D$1:$D$501=AO$1), AO$2, _xlfn.XMATCH($B6, テーブル定義_一覧!$D$1:$Z$1))&amp;""</f>
        <v/>
      </c>
      <c r="AP6" s="40" t="str" cm="1">
        <f t="array" aca="1" ref="AP6" ca="1">INDEX(_xlfn._xlws.FILTER(テーブル定義_一覧!$D$1:$U$501, テーブル定義_一覧!$D$1:$D$501=AP$1), AP$2, _xlfn.XMATCH($B6, テーブル定義_一覧!$D$1:$Z$1))&amp;""</f>
        <v>x</v>
      </c>
      <c r="AQ6" s="40" t="str" cm="1">
        <f t="array" aca="1" ref="AQ6" ca="1">INDEX(_xlfn._xlws.FILTER(テーブル定義_一覧!$D$1:$U$501, テーブル定義_一覧!$D$1:$D$501=AQ$1), AQ$2, _xlfn.XMATCH($B6, テーブル定義_一覧!$D$1:$Z$1))&amp;""</f>
        <v/>
      </c>
      <c r="AR6" s="40" t="str" cm="1">
        <f t="array" aca="1" ref="AR6" ca="1">INDEX(_xlfn._xlws.FILTER(テーブル定義_一覧!$D$1:$U$501, テーブル定義_一覧!$D$1:$D$501=AR$1), AR$2, _xlfn.XMATCH($B6, テーブル定義_一覧!$D$1:$Z$1))&amp;""</f>
        <v/>
      </c>
      <c r="AS6" s="40" t="str" cm="1">
        <f t="array" aca="1" ref="AS6" ca="1">INDEX(_xlfn._xlws.FILTER(テーブル定義_一覧!$D$1:$U$501, テーブル定義_一覧!$D$1:$D$501=AS$1), AS$2, _xlfn.XMATCH($B6, テーブル定義_一覧!$D$1:$Z$1))&amp;""</f>
        <v/>
      </c>
      <c r="AT6" s="40" t="str" cm="1">
        <f t="array" aca="1" ref="AT6" ca="1">INDEX(_xlfn._xlws.FILTER(テーブル定義_一覧!$D$1:$U$501, テーブル定義_一覧!$D$1:$D$501=AT$1), AT$2, _xlfn.XMATCH($B6, テーブル定義_一覧!$D$1:$Z$1))&amp;""</f>
        <v/>
      </c>
      <c r="AU6" s="40" t="str" cm="1">
        <f t="array" aca="1" ref="AU6" ca="1">INDEX(_xlfn._xlws.FILTER(テーブル定義_一覧!$D$1:$U$501, テーブル定義_一覧!$D$1:$D$501=AU$1), AU$2, _xlfn.XMATCH($B6, テーブル定義_一覧!$D$1:$Z$1))&amp;""</f>
        <v/>
      </c>
      <c r="AV6" s="40" t="str" cm="1">
        <f t="array" aca="1" ref="AV6" ca="1">INDEX(_xlfn._xlws.FILTER(テーブル定義_一覧!$D$1:$U$501, テーブル定義_一覧!$D$1:$D$501=AV$1), AV$2, _xlfn.XMATCH($B6, テーブル定義_一覧!$D$1:$Z$1))&amp;""</f>
        <v>x</v>
      </c>
      <c r="AW6" s="40" t="str" cm="1">
        <f t="array" aca="1" ref="AW6" ca="1">INDEX(_xlfn._xlws.FILTER(テーブル定義_一覧!$D$1:$U$501, テーブル定義_一覧!$D$1:$D$501=AW$1), AW$2, _xlfn.XMATCH($B6, テーブル定義_一覧!$D$1:$Z$1))&amp;""</f>
        <v/>
      </c>
      <c r="AX6" s="40" t="str" cm="1">
        <f t="array" aca="1" ref="AX6" ca="1">INDEX(_xlfn._xlws.FILTER(テーブル定義_一覧!$D$1:$U$501, テーブル定義_一覧!$D$1:$D$501=AX$1), AX$2, _xlfn.XMATCH($B6, テーブル定義_一覧!$D$1:$Z$1))&amp;""</f>
        <v/>
      </c>
      <c r="AY6" s="40" t="str" cm="1">
        <f t="array" aca="1" ref="AY6" ca="1">INDEX(_xlfn._xlws.FILTER(テーブル定義_一覧!$D$1:$U$501, テーブル定義_一覧!$D$1:$D$501=AY$1), AY$2, _xlfn.XMATCH($B6, テーブル定義_一覧!$D$1:$Z$1))&amp;""</f>
        <v/>
      </c>
      <c r="AZ6" s="40" t="str" cm="1">
        <f t="array" aca="1" ref="AZ6" ca="1">INDEX(_xlfn._xlws.FILTER(テーブル定義_一覧!$D$1:$U$501, テーブル定義_一覧!$D$1:$D$501=AZ$1), AZ$2, _xlfn.XMATCH($B6, テーブル定義_一覧!$D$1:$Z$1))&amp;""</f>
        <v/>
      </c>
      <c r="BA6" s="40" t="str" cm="1">
        <f t="array" aca="1" ref="BA6" ca="1">INDEX(_xlfn._xlws.FILTER(テーブル定義_一覧!$D$1:$U$501, テーブル定義_一覧!$D$1:$D$501=BA$1), BA$2, _xlfn.XMATCH($B6, テーブル定義_一覧!$D$1:$Z$1))&amp;""</f>
        <v/>
      </c>
      <c r="BB6" s="40" t="str" cm="1">
        <f t="array" aca="1" ref="BB6" ca="1">INDEX(_xlfn._xlws.FILTER(テーブル定義_一覧!$D$1:$U$501, テーブル定義_一覧!$D$1:$D$501=BB$1), BB$2, _xlfn.XMATCH($B6, テーブル定義_一覧!$D$1:$Z$1))&amp;""</f>
        <v>x</v>
      </c>
      <c r="BC6" s="40" t="str" cm="1">
        <f t="array" aca="1" ref="BC6" ca="1">INDEX(_xlfn._xlws.FILTER(テーブル定義_一覧!$D$1:$U$501, テーブル定義_一覧!$D$1:$D$501=BC$1), BC$2, _xlfn.XMATCH($B6, テーブル定義_一覧!$D$1:$Z$1))&amp;""</f>
        <v/>
      </c>
      <c r="BD6" s="40" t="str" cm="1">
        <f t="array" aca="1" ref="BD6" ca="1">INDEX(_xlfn._xlws.FILTER(テーブル定義_一覧!$D$1:$U$501, テーブル定義_一覧!$D$1:$D$501=BD$1), BD$2, _xlfn.XMATCH($B6, テーブル定義_一覧!$D$1:$Z$1))&amp;""</f>
        <v/>
      </c>
      <c r="BE6" s="40" t="str" cm="1">
        <f t="array" aca="1" ref="BE6" ca="1">INDEX(_xlfn._xlws.FILTER(テーブル定義_一覧!$D$1:$U$501, テーブル定義_一覧!$D$1:$D$501=BE$1), BE$2, _xlfn.XMATCH($B6, テーブル定義_一覧!$D$1:$Z$1))&amp;""</f>
        <v/>
      </c>
      <c r="BF6" s="40" t="str" cm="1">
        <f t="array" aca="1" ref="BF6" ca="1">INDEX(_xlfn._xlws.FILTER(テーブル定義_一覧!$D$1:$U$501, テーブル定義_一覧!$D$1:$D$501=BF$1), BF$2, _xlfn.XMATCH($B6, テーブル定義_一覧!$D$1:$Z$1))&amp;""</f>
        <v/>
      </c>
      <c r="BG6" s="40" t="str" cm="1">
        <f t="array" aca="1" ref="BG6" ca="1">INDEX(_xlfn._xlws.FILTER(テーブル定義_一覧!$D$1:$U$501, テーブル定義_一覧!$D$1:$D$501=BG$1), BG$2, _xlfn.XMATCH($B6, テーブル定義_一覧!$D$1:$Z$1))&amp;""</f>
        <v/>
      </c>
      <c r="BH6" s="40" t="str" cm="1">
        <f t="array" aca="1" ref="BH6" ca="1">INDEX(_xlfn._xlws.FILTER(テーブル定義_一覧!$D$1:$U$501, テーブル定義_一覧!$D$1:$D$501=BH$1), BH$2, _xlfn.XMATCH($B6, テーブル定義_一覧!$D$1:$Z$1))&amp;""</f>
        <v/>
      </c>
      <c r="BI6" s="40" t="str" cm="1">
        <f t="array" aca="1" ref="BI6" ca="1">INDEX(_xlfn._xlws.FILTER(テーブル定義_一覧!$D$1:$U$501, テーブル定義_一覧!$D$1:$D$501=BI$1), BI$2, _xlfn.XMATCH($B6, テーブル定義_一覧!$D$1:$Z$1))&amp;""</f>
        <v/>
      </c>
      <c r="BJ6" s="40" t="str" cm="1">
        <f t="array" aca="1" ref="BJ6" ca="1">INDEX(_xlfn._xlws.FILTER(テーブル定義_一覧!$D$1:$U$501, テーブル定義_一覧!$D$1:$D$501=BJ$1), BJ$2, _xlfn.XMATCH($B6, テーブル定義_一覧!$D$1:$Z$1))&amp;""</f>
        <v/>
      </c>
      <c r="BK6" s="40" t="str" cm="1">
        <f t="array" aca="1" ref="BK6" ca="1">INDEX(_xlfn._xlws.FILTER(テーブル定義_一覧!$D$1:$U$501, テーブル定義_一覧!$D$1:$D$501=BK$1), BK$2, _xlfn.XMATCH($B6, テーブル定義_一覧!$D$1:$Z$1))&amp;""</f>
        <v/>
      </c>
      <c r="BL6" s="40" t="str" cm="1">
        <f t="array" aca="1" ref="BL6" ca="1">INDEX(_xlfn._xlws.FILTER(テーブル定義_一覧!$D$1:$U$501, テーブル定義_一覧!$D$1:$D$501=BL$1), BL$2, _xlfn.XMATCH($B6, テーブル定義_一覧!$D$1:$Z$1))&amp;""</f>
        <v>x</v>
      </c>
      <c r="BM6" s="40" t="str" cm="1">
        <f t="array" aca="1" ref="BM6" ca="1">INDEX(_xlfn._xlws.FILTER(テーブル定義_一覧!$D$1:$U$501, テーブル定義_一覧!$D$1:$D$501=BM$1), BM$2, _xlfn.XMATCH($B6, テーブル定義_一覧!$D$1:$Z$1))&amp;""</f>
        <v/>
      </c>
      <c r="BN6" s="40" t="str" cm="1">
        <f t="array" aca="1" ref="BN6" ca="1">INDEX(_xlfn._xlws.FILTER(テーブル定義_一覧!$D$1:$U$501, テーブル定義_一覧!$D$1:$D$501=BN$1), BN$2, _xlfn.XMATCH($B6, テーブル定義_一覧!$D$1:$Z$1))&amp;""</f>
        <v/>
      </c>
      <c r="BO6" s="40" t="str" cm="1">
        <f t="array" aca="1" ref="BO6" ca="1">INDEX(_xlfn._xlws.FILTER(テーブル定義_一覧!$D$1:$U$501, テーブル定義_一覧!$D$1:$D$501=BO$1), BO$2, _xlfn.XMATCH($B6, テーブル定義_一覧!$D$1:$Z$1))&amp;""</f>
        <v/>
      </c>
      <c r="BP6" s="40" t="str" cm="1">
        <f t="array" aca="1" ref="BP6" ca="1">INDEX(_xlfn._xlws.FILTER(テーブル定義_一覧!$D$1:$U$501, テーブル定義_一覧!$D$1:$D$501=BP$1), BP$2, _xlfn.XMATCH($B6, テーブル定義_一覧!$D$1:$Z$1))&amp;""</f>
        <v/>
      </c>
      <c r="BQ6" s="40" t="str" cm="1">
        <f t="array" aca="1" ref="BQ6" ca="1">INDEX(_xlfn._xlws.FILTER(テーブル定義_一覧!$D$1:$U$501, テーブル定義_一覧!$D$1:$D$501=BQ$1), BQ$2, _xlfn.XMATCH($B6, テーブル定義_一覧!$D$1:$Z$1))&amp;""</f>
        <v>x</v>
      </c>
      <c r="BR6" s="40" t="str" cm="1">
        <f t="array" aca="1" ref="BR6" ca="1">INDEX(_xlfn._xlws.FILTER(テーブル定義_一覧!$D$1:$U$501, テーブル定義_一覧!$D$1:$D$501=BR$1), BR$2, _xlfn.XMATCH($B6, テーブル定義_一覧!$D$1:$Z$1))&amp;""</f>
        <v/>
      </c>
      <c r="BS6" s="40" t="str" cm="1">
        <f t="array" aca="1" ref="BS6" ca="1">INDEX(_xlfn._xlws.FILTER(テーブル定義_一覧!$D$1:$U$501, テーブル定義_一覧!$D$1:$D$501=BS$1), BS$2, _xlfn.XMATCH($B6, テーブル定義_一覧!$D$1:$Z$1))&amp;""</f>
        <v/>
      </c>
      <c r="BT6" s="40" t="str" cm="1">
        <f t="array" aca="1" ref="BT6" ca="1">INDEX(_xlfn._xlws.FILTER(テーブル定義_一覧!$D$1:$U$501, テーブル定義_一覧!$D$1:$D$501=BT$1), BT$2, _xlfn.XMATCH($B6, テーブル定義_一覧!$D$1:$Z$1))&amp;""</f>
        <v>x</v>
      </c>
      <c r="BU6" s="40" t="str" cm="1">
        <f t="array" aca="1" ref="BU6" ca="1">INDEX(_xlfn._xlws.FILTER(テーブル定義_一覧!$D$1:$U$501, テーブル定義_一覧!$D$1:$D$501=BU$1), BU$2, _xlfn.XMATCH($B6, テーブル定義_一覧!$D$1:$Z$1))&amp;""</f>
        <v/>
      </c>
      <c r="BV6" s="40" t="str" cm="1">
        <f t="array" aca="1" ref="BV6" ca="1">INDEX(_xlfn._xlws.FILTER(テーブル定義_一覧!$D$1:$U$501, テーブル定義_一覧!$D$1:$D$501=BV$1), BV$2, _xlfn.XMATCH($B6, テーブル定義_一覧!$D$1:$Z$1))&amp;""</f>
        <v/>
      </c>
      <c r="BW6" s="40" t="str" cm="1">
        <f t="array" aca="1" ref="BW6" ca="1">INDEX(_xlfn._xlws.FILTER(テーブル定義_一覧!$D$1:$U$501, テーブル定義_一覧!$D$1:$D$501=BW$1), BW$2, _xlfn.XMATCH($B6, テーブル定義_一覧!$D$1:$Z$1))&amp;""</f>
        <v/>
      </c>
      <c r="BX6" s="40" t="str" cm="1">
        <f t="array" aca="1" ref="BX6" ca="1">INDEX(_xlfn._xlws.FILTER(テーブル定義_一覧!$D$1:$U$501, テーブル定義_一覧!$D$1:$D$501=BX$1), BX$2, _xlfn.XMATCH($B6, テーブル定義_一覧!$D$1:$Z$1))&amp;""</f>
        <v>x</v>
      </c>
      <c r="BY6" s="40" t="str" cm="1">
        <f t="array" aca="1" ref="BY6" ca="1">INDEX(_xlfn._xlws.FILTER(テーブル定義_一覧!$D$1:$U$501, テーブル定義_一覧!$D$1:$D$501=BY$1), BY$2, _xlfn.XMATCH($B6, テーブル定義_一覧!$D$1:$Z$1))&amp;""</f>
        <v/>
      </c>
      <c r="BZ6" s="40" t="str" cm="1">
        <f t="array" aca="1" ref="BZ6" ca="1">INDEX(_xlfn._xlws.FILTER(テーブル定義_一覧!$D$1:$U$501, テーブル定義_一覧!$D$1:$D$501=BZ$1), BZ$2, _xlfn.XMATCH($B6, テーブル定義_一覧!$D$1:$Z$1))&amp;""</f>
        <v/>
      </c>
      <c r="CA6" s="40" t="str" cm="1">
        <f t="array" aca="1" ref="CA6" ca="1">INDEX(_xlfn._xlws.FILTER(テーブル定義_一覧!$D$1:$U$501, テーブル定義_一覧!$D$1:$D$501=CA$1), CA$2, _xlfn.XMATCH($B6, テーブル定義_一覧!$D$1:$Z$1))&amp;""</f>
        <v/>
      </c>
      <c r="CB6" s="40" t="str" cm="1">
        <f t="array" aca="1" ref="CB6" ca="1">INDEX(_xlfn._xlws.FILTER(テーブル定義_一覧!$D$1:$U$501, テーブル定義_一覧!$D$1:$D$501=CB$1), CB$2, _xlfn.XMATCH($B6, テーブル定義_一覧!$D$1:$Z$1))&amp;""</f>
        <v/>
      </c>
      <c r="CC6" s="40" t="str" cm="1">
        <f t="array" aca="1" ref="CC6" ca="1">INDEX(_xlfn._xlws.FILTER(テーブル定義_一覧!$D$1:$U$501, テーブル定義_一覧!$D$1:$D$501=CC$1), CC$2, _xlfn.XMATCH($B6, テーブル定義_一覧!$D$1:$Z$1))&amp;""</f>
        <v/>
      </c>
      <c r="CD6" s="40" t="str" cm="1">
        <f t="array" aca="1" ref="CD6" ca="1">INDEX(_xlfn._xlws.FILTER(テーブル定義_一覧!$D$1:$U$501, テーブル定義_一覧!$D$1:$D$501=CD$1), CD$2, _xlfn.XMATCH($B6, テーブル定義_一覧!$D$1:$Z$1))&amp;""</f>
        <v/>
      </c>
      <c r="CE6" s="40" t="str" cm="1">
        <f t="array" aca="1" ref="CE6" ca="1">INDEX(_xlfn._xlws.FILTER(テーブル定義_一覧!$D$1:$U$501, テーブル定義_一覧!$D$1:$D$501=CE$1), CE$2, _xlfn.XMATCH($B6, テーブル定義_一覧!$D$1:$Z$1))&amp;""</f>
        <v/>
      </c>
      <c r="CF6" s="40" t="str" cm="1">
        <f t="array" aca="1" ref="CF6" ca="1">INDEX(_xlfn._xlws.FILTER(テーブル定義_一覧!$D$1:$U$501, テーブル定義_一覧!$D$1:$D$501=CF$1), CF$2, _xlfn.XMATCH($B6, テーブル定義_一覧!$D$1:$Z$1))&amp;""</f>
        <v/>
      </c>
      <c r="CG6" s="40" t="str" cm="1">
        <f t="array" aca="1" ref="CG6" ca="1">INDEX(_xlfn._xlws.FILTER(テーブル定義_一覧!$D$1:$U$501, テーブル定義_一覧!$D$1:$D$501=CG$1), CG$2, _xlfn.XMATCH($B6, テーブル定義_一覧!$D$1:$Z$1))&amp;""</f>
        <v/>
      </c>
      <c r="CH6" s="40" t="str" cm="1">
        <f t="array" aca="1" ref="CH6" ca="1">INDEX(_xlfn._xlws.FILTER(テーブル定義_一覧!$D$1:$U$501, テーブル定義_一覧!$D$1:$D$501=CH$1), CH$2, _xlfn.XMATCH($B6, テーブル定義_一覧!$D$1:$Z$1))&amp;""</f>
        <v/>
      </c>
      <c r="CI6" s="40" t="str" cm="1">
        <f t="array" aca="1" ref="CI6" ca="1">INDEX(_xlfn._xlws.FILTER(テーブル定義_一覧!$D$1:$U$501, テーブル定義_一覧!$D$1:$D$501=CI$1), CI$2, _xlfn.XMATCH($B6, テーブル定義_一覧!$D$1:$Z$1))&amp;""</f>
        <v/>
      </c>
      <c r="CJ6" s="40" t="str" cm="1">
        <f t="array" aca="1" ref="CJ6" ca="1">INDEX(_xlfn._xlws.FILTER(テーブル定義_一覧!$D$1:$U$501, テーブル定義_一覧!$D$1:$D$501=CJ$1), CJ$2, _xlfn.XMATCH($B6, テーブル定義_一覧!$D$1:$Z$1))&amp;""</f>
        <v/>
      </c>
      <c r="CK6" s="40" t="str" cm="1">
        <f t="array" aca="1" ref="CK6" ca="1">INDEX(_xlfn._xlws.FILTER(テーブル定義_一覧!$D$1:$U$501, テーブル定義_一覧!$D$1:$D$501=CK$1), CK$2, _xlfn.XMATCH($B6, テーブル定義_一覧!$D$1:$Z$1))&amp;""</f>
        <v/>
      </c>
      <c r="CL6" s="40" t="str" cm="1">
        <f t="array" aca="1" ref="CL6" ca="1">INDEX(_xlfn._xlws.FILTER(テーブル定義_一覧!$D$1:$U$501, テーブル定義_一覧!$D$1:$D$501=CL$1), CL$2, _xlfn.XMATCH($B6, テーブル定義_一覧!$D$1:$Z$1))&amp;""</f>
        <v/>
      </c>
      <c r="CM6" s="40" t="str" cm="1">
        <f t="array" aca="1" ref="CM6" ca="1">INDEX(_xlfn._xlws.FILTER(テーブル定義_一覧!$D$1:$U$501, テーブル定義_一覧!$D$1:$D$501=CM$1), CM$2, _xlfn.XMATCH($B6, テーブル定義_一覧!$D$1:$Z$1))&amp;""</f>
        <v/>
      </c>
      <c r="CN6" s="40" t="str" cm="1">
        <f t="array" aca="1" ref="CN6" ca="1">INDEX(_xlfn._xlws.FILTER(テーブル定義_一覧!$D$1:$U$501, テーブル定義_一覧!$D$1:$D$501=CN$1), CN$2, _xlfn.XMATCH($B6, テーブル定義_一覧!$D$1:$Z$1))&amp;""</f>
        <v>x</v>
      </c>
      <c r="CO6" s="40" t="str" cm="1">
        <f t="array" aca="1" ref="CO6" ca="1">INDEX(_xlfn._xlws.FILTER(テーブル定義_一覧!$D$1:$U$501, テーブル定義_一覧!$D$1:$D$501=CO$1), CO$2, _xlfn.XMATCH($B6, テーブル定義_一覧!$D$1:$Z$1))&amp;""</f>
        <v/>
      </c>
      <c r="CP6" s="40" t="str" cm="1">
        <f t="array" aca="1" ref="CP6" ca="1">INDEX(_xlfn._xlws.FILTER(テーブル定義_一覧!$D$1:$U$501, テーブル定義_一覧!$D$1:$D$501=CP$1), CP$2, _xlfn.XMATCH($B6, テーブル定義_一覧!$D$1:$Z$1))&amp;""</f>
        <v/>
      </c>
      <c r="CQ6" s="40" t="str" cm="1">
        <f t="array" aca="1" ref="CQ6" ca="1">INDEX(_xlfn._xlws.FILTER(テーブル定義_一覧!$D$1:$U$501, テーブル定義_一覧!$D$1:$D$501=CQ$1), CQ$2, _xlfn.XMATCH($B6, テーブル定義_一覧!$D$1:$Z$1))&amp;""</f>
        <v>x</v>
      </c>
      <c r="CR6" s="40" t="str" cm="1">
        <f t="array" aca="1" ref="CR6" ca="1">INDEX(_xlfn._xlws.FILTER(テーブル定義_一覧!$D$1:$U$501, テーブル定義_一覧!$D$1:$D$501=CR$1), CR$2, _xlfn.XMATCH($B6, テーブル定義_一覧!$D$1:$Z$1))&amp;""</f>
        <v/>
      </c>
      <c r="CS6" s="34" t="str" cm="1">
        <f t="array" aca="1" ref="CS6" ca="1">INDEX(_xlfn._xlws.FILTER(テーブル定義_一覧!$D$1:$U$501, テーブル定義_一覧!$D$1:$D$501=CS$1), CS$2, _xlfn.XMATCH($B6, テーブル定義_一覧!$D$1:$Z$1))&amp;""</f>
        <v/>
      </c>
    </row>
    <row r="7" spans="1:97" outlineLevel="2">
      <c r="A7" s="79"/>
      <c r="B7" s="22" t="s">
        <v>519</v>
      </c>
      <c r="C7" s="49" t="str" cm="1">
        <f t="array" aca="1" ref="C7" ca="1">INDEX(_xlfn._xlws.FILTER(テーブル定義_一覧!$D$1:$U$501, テーブル定義_一覧!$D$1:$D$501=C$1), C$2, _xlfn.XMATCH($B7, テーブル定義_一覧!$D$1:$Z$1))&amp;""</f>
        <v/>
      </c>
      <c r="D7" s="40" t="str" cm="1">
        <f t="array" aca="1" ref="D7" ca="1">INDEX(_xlfn._xlws.FILTER(テーブル定義_一覧!$D$1:$U$501, テーブル定義_一覧!$D$1:$D$501=D$1), D$2, _xlfn.XMATCH($B7, テーブル定義_一覧!$D$1:$Z$1))&amp;""</f>
        <v/>
      </c>
      <c r="E7" s="40" t="str" cm="1">
        <f t="array" aca="1" ref="E7" ca="1">INDEX(_xlfn._xlws.FILTER(テーブル定義_一覧!$D$1:$U$501, テーブル定義_一覧!$D$1:$D$501=E$1), E$2, _xlfn.XMATCH($B7, テーブル定義_一覧!$D$1:$Z$1))&amp;""</f>
        <v>x</v>
      </c>
      <c r="F7" s="40" t="str" cm="1">
        <f t="array" aca="1" ref="F7" ca="1">INDEX(_xlfn._xlws.FILTER(テーブル定義_一覧!$D$1:$U$501, テーブル定義_一覧!$D$1:$D$501=F$1), F$2, _xlfn.XMATCH($B7, テーブル定義_一覧!$D$1:$Z$1))&amp;""</f>
        <v>x</v>
      </c>
      <c r="G7" s="40" t="str" cm="1">
        <f t="array" aca="1" ref="G7" ca="1">INDEX(_xlfn._xlws.FILTER(テーブル定義_一覧!$D$1:$U$501, テーブル定義_一覧!$D$1:$D$501=G$1), G$2, _xlfn.XMATCH($B7, テーブル定義_一覧!$D$1:$Z$1))&amp;""</f>
        <v/>
      </c>
      <c r="H7" s="40" t="str" cm="1">
        <f t="array" aca="1" ref="H7" ca="1">INDEX(_xlfn._xlws.FILTER(テーブル定義_一覧!$D$1:$U$501, テーブル定義_一覧!$D$1:$D$501=H$1), H$2, _xlfn.XMATCH($B7, テーブル定義_一覧!$D$1:$Z$1))&amp;""</f>
        <v>x</v>
      </c>
      <c r="I7" s="40" t="str" cm="1">
        <f t="array" aca="1" ref="I7" ca="1">INDEX(_xlfn._xlws.FILTER(テーブル定義_一覧!$D$1:$U$501, テーブル定義_一覧!$D$1:$D$501=I$1), I$2, _xlfn.XMATCH($B7, テーブル定義_一覧!$D$1:$Z$1))&amp;""</f>
        <v/>
      </c>
      <c r="J7" s="40" t="str" cm="1">
        <f t="array" aca="1" ref="J7" ca="1">INDEX(_xlfn._xlws.FILTER(テーブル定義_一覧!$D$1:$U$501, テーブル定義_一覧!$D$1:$D$501=J$1), J$2, _xlfn.XMATCH($B7, テーブル定義_一覧!$D$1:$Z$1))&amp;""</f>
        <v/>
      </c>
      <c r="K7" s="40" t="str" cm="1">
        <f t="array" aca="1" ref="K7" ca="1">INDEX(_xlfn._xlws.FILTER(テーブル定義_一覧!$D$1:$U$501, テーブル定義_一覧!$D$1:$D$501=K$1), K$2, _xlfn.XMATCH($B7, テーブル定義_一覧!$D$1:$Z$1))&amp;""</f>
        <v>x</v>
      </c>
      <c r="L7" s="40" t="str" cm="1">
        <f t="array" aca="1" ref="L7" ca="1">INDEX(_xlfn._xlws.FILTER(テーブル定義_一覧!$D$1:$U$501, テーブル定義_一覧!$D$1:$D$501=L$1), L$2, _xlfn.XMATCH($B7, テーブル定義_一覧!$D$1:$Z$1))&amp;""</f>
        <v/>
      </c>
      <c r="M7" s="40" t="str" cm="1">
        <f t="array" aca="1" ref="M7" ca="1">INDEX(_xlfn._xlws.FILTER(テーブル定義_一覧!$D$1:$U$501, テーブル定義_一覧!$D$1:$D$501=M$1), M$2, _xlfn.XMATCH($B7, テーブル定義_一覧!$D$1:$Z$1))&amp;""</f>
        <v/>
      </c>
      <c r="N7" s="40" t="str" cm="1">
        <f t="array" aca="1" ref="N7" ca="1">INDEX(_xlfn._xlws.FILTER(テーブル定義_一覧!$D$1:$U$501, テーブル定義_一覧!$D$1:$D$501=N$1), N$2, _xlfn.XMATCH($B7, テーブル定義_一覧!$D$1:$Z$1))&amp;""</f>
        <v/>
      </c>
      <c r="O7" s="40" t="str" cm="1">
        <f t="array" aca="1" ref="O7" ca="1">INDEX(_xlfn._xlws.FILTER(テーブル定義_一覧!$D$1:$U$501, テーブル定義_一覧!$D$1:$D$501=O$1), O$2, _xlfn.XMATCH($B7, テーブル定義_一覧!$D$1:$Z$1))&amp;""</f>
        <v/>
      </c>
      <c r="P7" s="40" t="str" cm="1">
        <f t="array" aca="1" ref="P7" ca="1">INDEX(_xlfn._xlws.FILTER(テーブル定義_一覧!$D$1:$U$501, テーブル定義_一覧!$D$1:$D$501=P$1), P$2, _xlfn.XMATCH($B7, テーブル定義_一覧!$D$1:$Z$1))&amp;""</f>
        <v>x</v>
      </c>
      <c r="Q7" s="40" t="str" cm="1">
        <f t="array" aca="1" ref="Q7" ca="1">INDEX(_xlfn._xlws.FILTER(テーブル定義_一覧!$D$1:$U$501, テーブル定義_一覧!$D$1:$D$501=Q$1), Q$2, _xlfn.XMATCH($B7, テーブル定義_一覧!$D$1:$Z$1))&amp;""</f>
        <v/>
      </c>
      <c r="R7" s="40" t="str" cm="1">
        <f t="array" aca="1" ref="R7" ca="1">INDEX(_xlfn._xlws.FILTER(テーブル定義_一覧!$D$1:$U$501, テーブル定義_一覧!$D$1:$D$501=R$1), R$2, _xlfn.XMATCH($B7, テーブル定義_一覧!$D$1:$Z$1))&amp;""</f>
        <v>x</v>
      </c>
      <c r="S7" s="40" t="str" cm="1">
        <f t="array" aca="1" ref="S7" ca="1">INDEX(_xlfn._xlws.FILTER(テーブル定義_一覧!$D$1:$U$501, テーブル定義_一覧!$D$1:$D$501=S$1), S$2, _xlfn.XMATCH($B7, テーブル定義_一覧!$D$1:$Z$1))&amp;""</f>
        <v/>
      </c>
      <c r="T7" s="40" t="str" cm="1">
        <f t="array" aca="1" ref="T7" ca="1">INDEX(_xlfn._xlws.FILTER(テーブル定義_一覧!$D$1:$U$501, テーブル定義_一覧!$D$1:$D$501=T$1), T$2, _xlfn.XMATCH($B7, テーブル定義_一覧!$D$1:$Z$1))&amp;""</f>
        <v>x</v>
      </c>
      <c r="U7" s="40" t="str" cm="1">
        <f t="array" aca="1" ref="U7" ca="1">INDEX(_xlfn._xlws.FILTER(テーブル定義_一覧!$D$1:$U$501, テーブル定義_一覧!$D$1:$D$501=U$1), U$2, _xlfn.XMATCH($B7, テーブル定義_一覧!$D$1:$Z$1))&amp;""</f>
        <v>x</v>
      </c>
      <c r="V7" s="40" t="str" cm="1">
        <f t="array" aca="1" ref="V7" ca="1">INDEX(_xlfn._xlws.FILTER(テーブル定義_一覧!$D$1:$U$501, テーブル定義_一覧!$D$1:$D$501=V$1), V$2, _xlfn.XMATCH($B7, テーブル定義_一覧!$D$1:$Z$1))&amp;""</f>
        <v/>
      </c>
      <c r="W7" s="40" t="str" cm="1">
        <f t="array" aca="1" ref="W7" ca="1">INDEX(_xlfn._xlws.FILTER(テーブル定義_一覧!$D$1:$U$501, テーブル定義_一覧!$D$1:$D$501=W$1), W$2, _xlfn.XMATCH($B7, テーブル定義_一覧!$D$1:$Z$1))&amp;""</f>
        <v/>
      </c>
      <c r="X7" s="40" t="str" cm="1">
        <f t="array" aca="1" ref="X7" ca="1">INDEX(_xlfn._xlws.FILTER(テーブル定義_一覧!$D$1:$U$501, テーブル定義_一覧!$D$1:$D$501=X$1), X$2, _xlfn.XMATCH($B7, テーブル定義_一覧!$D$1:$Z$1))&amp;""</f>
        <v/>
      </c>
      <c r="Y7" s="40" t="str" cm="1">
        <f t="array" aca="1" ref="Y7" ca="1">INDEX(_xlfn._xlws.FILTER(テーブル定義_一覧!$D$1:$U$501, テーブル定義_一覧!$D$1:$D$501=Y$1), Y$2, _xlfn.XMATCH($B7, テーブル定義_一覧!$D$1:$Z$1))&amp;""</f>
        <v>x</v>
      </c>
      <c r="Z7" s="40" t="str" cm="1">
        <f t="array" aca="1" ref="Z7" ca="1">INDEX(_xlfn._xlws.FILTER(テーブル定義_一覧!$D$1:$U$501, テーブル定義_一覧!$D$1:$D$501=Z$1), Z$2, _xlfn.XMATCH($B7, テーブル定義_一覧!$D$1:$Z$1))&amp;""</f>
        <v>x</v>
      </c>
      <c r="AA7" s="40" t="str" cm="1">
        <f t="array" aca="1" ref="AA7" ca="1">INDEX(_xlfn._xlws.FILTER(テーブル定義_一覧!$D$1:$U$501, テーブル定義_一覧!$D$1:$D$501=AA$1), AA$2, _xlfn.XMATCH($B7, テーブル定義_一覧!$D$1:$Z$1))&amp;""</f>
        <v/>
      </c>
      <c r="AB7" s="40" t="str" cm="1">
        <f t="array" aca="1" ref="AB7" ca="1">INDEX(_xlfn._xlws.FILTER(テーブル定義_一覧!$D$1:$U$501, テーブル定義_一覧!$D$1:$D$501=AB$1), AB$2, _xlfn.XMATCH($B7, テーブル定義_一覧!$D$1:$Z$1))&amp;""</f>
        <v/>
      </c>
      <c r="AC7" s="40" t="str" cm="1">
        <f t="array" aca="1" ref="AC7" ca="1">INDEX(_xlfn._xlws.FILTER(テーブル定義_一覧!$D$1:$U$501, テーブル定義_一覧!$D$1:$D$501=AC$1), AC$2, _xlfn.XMATCH($B7, テーブル定義_一覧!$D$1:$Z$1))&amp;""</f>
        <v/>
      </c>
      <c r="AD7" s="40" t="str" cm="1">
        <f t="array" aca="1" ref="AD7" ca="1">INDEX(_xlfn._xlws.FILTER(テーブル定義_一覧!$D$1:$U$501, テーブル定義_一覧!$D$1:$D$501=AD$1), AD$2, _xlfn.XMATCH($B7, テーブル定義_一覧!$D$1:$Z$1))&amp;""</f>
        <v>x</v>
      </c>
      <c r="AE7" s="40" t="str" cm="1">
        <f t="array" aca="1" ref="AE7" ca="1">INDEX(_xlfn._xlws.FILTER(テーブル定義_一覧!$D$1:$U$501, テーブル定義_一覧!$D$1:$D$501=AE$1), AE$2, _xlfn.XMATCH($B7, テーブル定義_一覧!$D$1:$Z$1))&amp;""</f>
        <v>x</v>
      </c>
      <c r="AF7" s="40" t="str" cm="1">
        <f t="array" aca="1" ref="AF7" ca="1">INDEX(_xlfn._xlws.FILTER(テーブル定義_一覧!$D$1:$U$501, テーブル定義_一覧!$D$1:$D$501=AF$1), AF$2, _xlfn.XMATCH($B7, テーブル定義_一覧!$D$1:$Z$1))&amp;""</f>
        <v/>
      </c>
      <c r="AG7" s="40" t="str" cm="1">
        <f t="array" aca="1" ref="AG7" ca="1">INDEX(_xlfn._xlws.FILTER(テーブル定義_一覧!$D$1:$U$501, テーブル定義_一覧!$D$1:$D$501=AG$1), AG$2, _xlfn.XMATCH($B7, テーブル定義_一覧!$D$1:$Z$1))&amp;""</f>
        <v/>
      </c>
      <c r="AH7" s="40" t="str" cm="1">
        <f t="array" aca="1" ref="AH7" ca="1">INDEX(_xlfn._xlws.FILTER(テーブル定義_一覧!$D$1:$U$501, テーブル定義_一覧!$D$1:$D$501=AH$1), AH$2, _xlfn.XMATCH($B7, テーブル定義_一覧!$D$1:$Z$1))&amp;""</f>
        <v/>
      </c>
      <c r="AI7" s="40" t="str" cm="1">
        <f t="array" aca="1" ref="AI7" ca="1">INDEX(_xlfn._xlws.FILTER(テーブル定義_一覧!$D$1:$U$501, テーブル定義_一覧!$D$1:$D$501=AI$1), AI$2, _xlfn.XMATCH($B7, テーブル定義_一覧!$D$1:$Z$1))&amp;""</f>
        <v>x</v>
      </c>
      <c r="AJ7" s="40" t="str" cm="1">
        <f t="array" aca="1" ref="AJ7" ca="1">INDEX(_xlfn._xlws.FILTER(テーブル定義_一覧!$D$1:$U$501, テーブル定義_一覧!$D$1:$D$501=AJ$1), AJ$2, _xlfn.XMATCH($B7, テーブル定義_一覧!$D$1:$Z$1))&amp;""</f>
        <v>x</v>
      </c>
      <c r="AK7" s="40" t="str" cm="1">
        <f t="array" aca="1" ref="AK7" ca="1">INDEX(_xlfn._xlws.FILTER(テーブル定義_一覧!$D$1:$U$501, テーブル定義_一覧!$D$1:$D$501=AK$1), AK$2, _xlfn.XMATCH($B7, テーブル定義_一覧!$D$1:$Z$1))&amp;""</f>
        <v>x</v>
      </c>
      <c r="AL7" s="40" t="str" cm="1">
        <f t="array" aca="1" ref="AL7" ca="1">INDEX(_xlfn._xlws.FILTER(テーブル定義_一覧!$D$1:$U$501, テーブル定義_一覧!$D$1:$D$501=AL$1), AL$2, _xlfn.XMATCH($B7, テーブル定義_一覧!$D$1:$Z$1))&amp;""</f>
        <v/>
      </c>
      <c r="AM7" s="40" t="str" cm="1">
        <f t="array" aca="1" ref="AM7" ca="1">INDEX(_xlfn._xlws.FILTER(テーブル定義_一覧!$D$1:$U$501, テーブル定義_一覧!$D$1:$D$501=AM$1), AM$2, _xlfn.XMATCH($B7, テーブル定義_一覧!$D$1:$Z$1))&amp;""</f>
        <v/>
      </c>
      <c r="AN7" s="40" t="str" cm="1">
        <f t="array" aca="1" ref="AN7" ca="1">INDEX(_xlfn._xlws.FILTER(テーブル定義_一覧!$D$1:$U$501, テーブル定義_一覧!$D$1:$D$501=AN$1), AN$2, _xlfn.XMATCH($B7, テーブル定義_一覧!$D$1:$Z$1))&amp;""</f>
        <v/>
      </c>
      <c r="AO7" s="40" t="str" cm="1">
        <f t="array" aca="1" ref="AO7" ca="1">INDEX(_xlfn._xlws.FILTER(テーブル定義_一覧!$D$1:$U$501, テーブル定義_一覧!$D$1:$D$501=AO$1), AO$2, _xlfn.XMATCH($B7, テーブル定義_一覧!$D$1:$Z$1))&amp;""</f>
        <v/>
      </c>
      <c r="AP7" s="40" t="str" cm="1">
        <f t="array" aca="1" ref="AP7" ca="1">INDEX(_xlfn._xlws.FILTER(テーブル定義_一覧!$D$1:$U$501, テーブル定義_一覧!$D$1:$D$501=AP$1), AP$2, _xlfn.XMATCH($B7, テーブル定義_一覧!$D$1:$Z$1))&amp;""</f>
        <v/>
      </c>
      <c r="AQ7" s="40" t="str" cm="1">
        <f t="array" aca="1" ref="AQ7" ca="1">INDEX(_xlfn._xlws.FILTER(テーブル定義_一覧!$D$1:$U$501, テーブル定義_一覧!$D$1:$D$501=AQ$1), AQ$2, _xlfn.XMATCH($B7, テーブル定義_一覧!$D$1:$Z$1))&amp;""</f>
        <v/>
      </c>
      <c r="AR7" s="40" t="str" cm="1">
        <f t="array" aca="1" ref="AR7" ca="1">INDEX(_xlfn._xlws.FILTER(テーブル定義_一覧!$D$1:$U$501, テーブル定義_一覧!$D$1:$D$501=AR$1), AR$2, _xlfn.XMATCH($B7, テーブル定義_一覧!$D$1:$Z$1))&amp;""</f>
        <v/>
      </c>
      <c r="AS7" s="40" t="str" cm="1">
        <f t="array" aca="1" ref="AS7" ca="1">INDEX(_xlfn._xlws.FILTER(テーブル定義_一覧!$D$1:$U$501, テーブル定義_一覧!$D$1:$D$501=AS$1), AS$2, _xlfn.XMATCH($B7, テーブル定義_一覧!$D$1:$Z$1))&amp;""</f>
        <v/>
      </c>
      <c r="AT7" s="40" t="str" cm="1">
        <f t="array" aca="1" ref="AT7" ca="1">INDEX(_xlfn._xlws.FILTER(テーブル定義_一覧!$D$1:$U$501, テーブル定義_一覧!$D$1:$D$501=AT$1), AT$2, _xlfn.XMATCH($B7, テーブル定義_一覧!$D$1:$Z$1))&amp;""</f>
        <v>x</v>
      </c>
      <c r="AU7" s="40" t="str" cm="1">
        <f t="array" aca="1" ref="AU7" ca="1">INDEX(_xlfn._xlws.FILTER(テーブル定義_一覧!$D$1:$U$501, テーブル定義_一覧!$D$1:$D$501=AU$1), AU$2, _xlfn.XMATCH($B7, テーブル定義_一覧!$D$1:$Z$1))&amp;""</f>
        <v>x</v>
      </c>
      <c r="AV7" s="40" t="str" cm="1">
        <f t="array" aca="1" ref="AV7" ca="1">INDEX(_xlfn._xlws.FILTER(テーブル定義_一覧!$D$1:$U$501, テーブル定義_一覧!$D$1:$D$501=AV$1), AV$2, _xlfn.XMATCH($B7, テーブル定義_一覧!$D$1:$Z$1))&amp;""</f>
        <v/>
      </c>
      <c r="AW7" s="40" t="str" cm="1">
        <f t="array" aca="1" ref="AW7" ca="1">INDEX(_xlfn._xlws.FILTER(テーブル定義_一覧!$D$1:$U$501, テーブル定義_一覧!$D$1:$D$501=AW$1), AW$2, _xlfn.XMATCH($B7, テーブル定義_一覧!$D$1:$Z$1))&amp;""</f>
        <v>x</v>
      </c>
      <c r="AX7" s="40" t="str" cm="1">
        <f t="array" aca="1" ref="AX7" ca="1">INDEX(_xlfn._xlws.FILTER(テーブル定義_一覧!$D$1:$U$501, テーブル定義_一覧!$D$1:$D$501=AX$1), AX$2, _xlfn.XMATCH($B7, テーブル定義_一覧!$D$1:$Z$1))&amp;""</f>
        <v>x</v>
      </c>
      <c r="AY7" s="40" t="str" cm="1">
        <f t="array" aca="1" ref="AY7" ca="1">INDEX(_xlfn._xlws.FILTER(テーブル定義_一覧!$D$1:$U$501, テーブル定義_一覧!$D$1:$D$501=AY$1), AY$2, _xlfn.XMATCH($B7, テーブル定義_一覧!$D$1:$Z$1))&amp;""</f>
        <v>x</v>
      </c>
      <c r="AZ7" s="40" t="str" cm="1">
        <f t="array" aca="1" ref="AZ7" ca="1">INDEX(_xlfn._xlws.FILTER(テーブル定義_一覧!$D$1:$U$501, テーブル定義_一覧!$D$1:$D$501=AZ$1), AZ$2, _xlfn.XMATCH($B7, テーブル定義_一覧!$D$1:$Z$1))&amp;""</f>
        <v/>
      </c>
      <c r="BA7" s="40" t="str" cm="1">
        <f t="array" aca="1" ref="BA7" ca="1">INDEX(_xlfn._xlws.FILTER(テーブル定義_一覧!$D$1:$U$501, テーブル定義_一覧!$D$1:$D$501=BA$1), BA$2, _xlfn.XMATCH($B7, テーブル定義_一覧!$D$1:$Z$1))&amp;""</f>
        <v/>
      </c>
      <c r="BB7" s="40" t="str" cm="1">
        <f t="array" aca="1" ref="BB7" ca="1">INDEX(_xlfn._xlws.FILTER(テーブル定義_一覧!$D$1:$U$501, テーブル定義_一覧!$D$1:$D$501=BB$1), BB$2, _xlfn.XMATCH($B7, テーブル定義_一覧!$D$1:$Z$1))&amp;""</f>
        <v/>
      </c>
      <c r="BC7" s="40" t="str" cm="1">
        <f t="array" aca="1" ref="BC7" ca="1">INDEX(_xlfn._xlws.FILTER(テーブル定義_一覧!$D$1:$U$501, テーブル定義_一覧!$D$1:$D$501=BC$1), BC$2, _xlfn.XMATCH($B7, テーブル定義_一覧!$D$1:$Z$1))&amp;""</f>
        <v>x</v>
      </c>
      <c r="BD7" s="40" t="str" cm="1">
        <f t="array" aca="1" ref="BD7" ca="1">INDEX(_xlfn._xlws.FILTER(テーブル定義_一覧!$D$1:$U$501, テーブル定義_一覧!$D$1:$D$501=BD$1), BD$2, _xlfn.XMATCH($B7, テーブル定義_一覧!$D$1:$Z$1))&amp;""</f>
        <v/>
      </c>
      <c r="BE7" s="40" t="str" cm="1">
        <f t="array" aca="1" ref="BE7" ca="1">INDEX(_xlfn._xlws.FILTER(テーブル定義_一覧!$D$1:$U$501, テーブル定義_一覧!$D$1:$D$501=BE$1), BE$2, _xlfn.XMATCH($B7, テーブル定義_一覧!$D$1:$Z$1))&amp;""</f>
        <v/>
      </c>
      <c r="BF7" s="40" t="str" cm="1">
        <f t="array" aca="1" ref="BF7" ca="1">INDEX(_xlfn._xlws.FILTER(テーブル定義_一覧!$D$1:$U$501, テーブル定義_一覧!$D$1:$D$501=BF$1), BF$2, _xlfn.XMATCH($B7, テーブル定義_一覧!$D$1:$Z$1))&amp;""</f>
        <v/>
      </c>
      <c r="BG7" s="40" t="str" cm="1">
        <f t="array" aca="1" ref="BG7" ca="1">INDEX(_xlfn._xlws.FILTER(テーブル定義_一覧!$D$1:$U$501, テーブル定義_一覧!$D$1:$D$501=BG$1), BG$2, _xlfn.XMATCH($B7, テーブル定義_一覧!$D$1:$Z$1))&amp;""</f>
        <v/>
      </c>
      <c r="BH7" s="40" t="str" cm="1">
        <f t="array" aca="1" ref="BH7" ca="1">INDEX(_xlfn._xlws.FILTER(テーブル定義_一覧!$D$1:$U$501, テーブル定義_一覧!$D$1:$D$501=BH$1), BH$2, _xlfn.XMATCH($B7, テーブル定義_一覧!$D$1:$Z$1))&amp;""</f>
        <v/>
      </c>
      <c r="BI7" s="40" t="str" cm="1">
        <f t="array" aca="1" ref="BI7" ca="1">INDEX(_xlfn._xlws.FILTER(テーブル定義_一覧!$D$1:$U$501, テーブル定義_一覧!$D$1:$D$501=BI$1), BI$2, _xlfn.XMATCH($B7, テーブル定義_一覧!$D$1:$Z$1))&amp;""</f>
        <v/>
      </c>
      <c r="BJ7" s="40" t="str" cm="1">
        <f t="array" aca="1" ref="BJ7" ca="1">INDEX(_xlfn._xlws.FILTER(テーブル定義_一覧!$D$1:$U$501, テーブル定義_一覧!$D$1:$D$501=BJ$1), BJ$2, _xlfn.XMATCH($B7, テーブル定義_一覧!$D$1:$Z$1))&amp;""</f>
        <v/>
      </c>
      <c r="BK7" s="40" t="str" cm="1">
        <f t="array" aca="1" ref="BK7" ca="1">INDEX(_xlfn._xlws.FILTER(テーブル定義_一覧!$D$1:$U$501, テーブル定義_一覧!$D$1:$D$501=BK$1), BK$2, _xlfn.XMATCH($B7, テーブル定義_一覧!$D$1:$Z$1))&amp;""</f>
        <v/>
      </c>
      <c r="BL7" s="40" t="str" cm="1">
        <f t="array" aca="1" ref="BL7" ca="1">INDEX(_xlfn._xlws.FILTER(テーブル定義_一覧!$D$1:$U$501, テーブル定義_一覧!$D$1:$D$501=BL$1), BL$2, _xlfn.XMATCH($B7, テーブル定義_一覧!$D$1:$Z$1))&amp;""</f>
        <v/>
      </c>
      <c r="BM7" s="40" t="str" cm="1">
        <f t="array" aca="1" ref="BM7" ca="1">INDEX(_xlfn._xlws.FILTER(テーブル定義_一覧!$D$1:$U$501, テーブル定義_一覧!$D$1:$D$501=BM$1), BM$2, _xlfn.XMATCH($B7, テーブル定義_一覧!$D$1:$Z$1))&amp;""</f>
        <v>x</v>
      </c>
      <c r="BN7" s="40" t="str" cm="1">
        <f t="array" aca="1" ref="BN7" ca="1">INDEX(_xlfn._xlws.FILTER(テーブル定義_一覧!$D$1:$U$501, テーブル定義_一覧!$D$1:$D$501=BN$1), BN$2, _xlfn.XMATCH($B7, テーブル定義_一覧!$D$1:$Z$1))&amp;""</f>
        <v>x</v>
      </c>
      <c r="BO7" s="40" t="str" cm="1">
        <f t="array" aca="1" ref="BO7" ca="1">INDEX(_xlfn._xlws.FILTER(テーブル定義_一覧!$D$1:$U$501, テーブル定義_一覧!$D$1:$D$501=BO$1), BO$2, _xlfn.XMATCH($B7, テーブル定義_一覧!$D$1:$Z$1))&amp;""</f>
        <v/>
      </c>
      <c r="BP7" s="40" t="str" cm="1">
        <f t="array" aca="1" ref="BP7" ca="1">INDEX(_xlfn._xlws.FILTER(テーブル定義_一覧!$D$1:$U$501, テーブル定義_一覧!$D$1:$D$501=BP$1), BP$2, _xlfn.XMATCH($B7, テーブル定義_一覧!$D$1:$Z$1))&amp;""</f>
        <v/>
      </c>
      <c r="BQ7" s="40" t="str" cm="1">
        <f t="array" aca="1" ref="BQ7" ca="1">INDEX(_xlfn._xlws.FILTER(テーブル定義_一覧!$D$1:$U$501, テーブル定義_一覧!$D$1:$D$501=BQ$1), BQ$2, _xlfn.XMATCH($B7, テーブル定義_一覧!$D$1:$Z$1))&amp;""</f>
        <v/>
      </c>
      <c r="BR7" s="40" t="str" cm="1">
        <f t="array" aca="1" ref="BR7" ca="1">INDEX(_xlfn._xlws.FILTER(テーブル定義_一覧!$D$1:$U$501, テーブル定義_一覧!$D$1:$D$501=BR$1), BR$2, _xlfn.XMATCH($B7, テーブル定義_一覧!$D$1:$Z$1))&amp;""</f>
        <v>x</v>
      </c>
      <c r="BS7" s="40" t="str" cm="1">
        <f t="array" aca="1" ref="BS7" ca="1">INDEX(_xlfn._xlws.FILTER(テーブル定義_一覧!$D$1:$U$501, テーブル定義_一覧!$D$1:$D$501=BS$1), BS$2, _xlfn.XMATCH($B7, テーブル定義_一覧!$D$1:$Z$1))&amp;""</f>
        <v/>
      </c>
      <c r="BT7" s="40" t="str" cm="1">
        <f t="array" aca="1" ref="BT7" ca="1">INDEX(_xlfn._xlws.FILTER(テーブル定義_一覧!$D$1:$U$501, テーブル定義_一覧!$D$1:$D$501=BT$1), BT$2, _xlfn.XMATCH($B7, テーブル定義_一覧!$D$1:$Z$1))&amp;""</f>
        <v/>
      </c>
      <c r="BU7" s="40" t="str" cm="1">
        <f t="array" aca="1" ref="BU7" ca="1">INDEX(_xlfn._xlws.FILTER(テーブル定義_一覧!$D$1:$U$501, テーブル定義_一覧!$D$1:$D$501=BU$1), BU$2, _xlfn.XMATCH($B7, テーブル定義_一覧!$D$1:$Z$1))&amp;""</f>
        <v>x</v>
      </c>
      <c r="BV7" s="40" t="str" cm="1">
        <f t="array" aca="1" ref="BV7" ca="1">INDEX(_xlfn._xlws.FILTER(テーブル定義_一覧!$D$1:$U$501, テーブル定義_一覧!$D$1:$D$501=BV$1), BV$2, _xlfn.XMATCH($B7, テーブル定義_一覧!$D$1:$Z$1))&amp;""</f>
        <v>x</v>
      </c>
      <c r="BW7" s="40" t="str" cm="1">
        <f t="array" aca="1" ref="BW7" ca="1">INDEX(_xlfn._xlws.FILTER(テーブル定義_一覧!$D$1:$U$501, テーブル定義_一覧!$D$1:$D$501=BW$1), BW$2, _xlfn.XMATCH($B7, テーブル定義_一覧!$D$1:$Z$1))&amp;""</f>
        <v/>
      </c>
      <c r="BX7" s="40" t="str" cm="1">
        <f t="array" aca="1" ref="BX7" ca="1">INDEX(_xlfn._xlws.FILTER(テーブル定義_一覧!$D$1:$U$501, テーブル定義_一覧!$D$1:$D$501=BX$1), BX$2, _xlfn.XMATCH($B7, テーブル定義_一覧!$D$1:$Z$1))&amp;""</f>
        <v/>
      </c>
      <c r="BY7" s="40" t="str" cm="1">
        <f t="array" aca="1" ref="BY7" ca="1">INDEX(_xlfn._xlws.FILTER(テーブル定義_一覧!$D$1:$U$501, テーブル定義_一覧!$D$1:$D$501=BY$1), BY$2, _xlfn.XMATCH($B7, テーブル定義_一覧!$D$1:$Z$1))&amp;""</f>
        <v>x</v>
      </c>
      <c r="BZ7" s="40" t="str" cm="1">
        <f t="array" aca="1" ref="BZ7" ca="1">INDEX(_xlfn._xlws.FILTER(テーブル定義_一覧!$D$1:$U$501, テーブル定義_一覧!$D$1:$D$501=BZ$1), BZ$2, _xlfn.XMATCH($B7, テーブル定義_一覧!$D$1:$Z$1))&amp;""</f>
        <v>x</v>
      </c>
      <c r="CA7" s="40" t="str" cm="1">
        <f t="array" aca="1" ref="CA7" ca="1">INDEX(_xlfn._xlws.FILTER(テーブル定義_一覧!$D$1:$U$501, テーブル定義_一覧!$D$1:$D$501=CA$1), CA$2, _xlfn.XMATCH($B7, テーブル定義_一覧!$D$1:$Z$1))&amp;""</f>
        <v/>
      </c>
      <c r="CB7" s="40" t="str" cm="1">
        <f t="array" aca="1" ref="CB7" ca="1">INDEX(_xlfn._xlws.FILTER(テーブル定義_一覧!$D$1:$U$501, テーブル定義_一覧!$D$1:$D$501=CB$1), CB$2, _xlfn.XMATCH($B7, テーブル定義_一覧!$D$1:$Z$1))&amp;""</f>
        <v/>
      </c>
      <c r="CC7" s="40" t="str" cm="1">
        <f t="array" aca="1" ref="CC7" ca="1">INDEX(_xlfn._xlws.FILTER(テーブル定義_一覧!$D$1:$U$501, テーブル定義_一覧!$D$1:$D$501=CC$1), CC$2, _xlfn.XMATCH($B7, テーブル定義_一覧!$D$1:$Z$1))&amp;""</f>
        <v/>
      </c>
      <c r="CD7" s="40" t="str" cm="1">
        <f t="array" aca="1" ref="CD7" ca="1">INDEX(_xlfn._xlws.FILTER(テーブル定義_一覧!$D$1:$U$501, テーブル定義_一覧!$D$1:$D$501=CD$1), CD$2, _xlfn.XMATCH($B7, テーブル定義_一覧!$D$1:$Z$1))&amp;""</f>
        <v/>
      </c>
      <c r="CE7" s="40" t="str" cm="1">
        <f t="array" aca="1" ref="CE7" ca="1">INDEX(_xlfn._xlws.FILTER(テーブル定義_一覧!$D$1:$U$501, テーブル定義_一覧!$D$1:$D$501=CE$1), CE$2, _xlfn.XMATCH($B7, テーブル定義_一覧!$D$1:$Z$1))&amp;""</f>
        <v/>
      </c>
      <c r="CF7" s="40" t="str" cm="1">
        <f t="array" aca="1" ref="CF7" ca="1">INDEX(_xlfn._xlws.FILTER(テーブル定義_一覧!$D$1:$U$501, テーブル定義_一覧!$D$1:$D$501=CF$1), CF$2, _xlfn.XMATCH($B7, テーブル定義_一覧!$D$1:$Z$1))&amp;""</f>
        <v/>
      </c>
      <c r="CG7" s="40" t="str" cm="1">
        <f t="array" aca="1" ref="CG7" ca="1">INDEX(_xlfn._xlws.FILTER(テーブル定義_一覧!$D$1:$U$501, テーブル定義_一覧!$D$1:$D$501=CG$1), CG$2, _xlfn.XMATCH($B7, テーブル定義_一覧!$D$1:$Z$1))&amp;""</f>
        <v/>
      </c>
      <c r="CH7" s="40" t="str" cm="1">
        <f t="array" aca="1" ref="CH7" ca="1">INDEX(_xlfn._xlws.FILTER(テーブル定義_一覧!$D$1:$U$501, テーブル定義_一覧!$D$1:$D$501=CH$1), CH$2, _xlfn.XMATCH($B7, テーブル定義_一覧!$D$1:$Z$1))&amp;""</f>
        <v/>
      </c>
      <c r="CI7" s="40" t="str" cm="1">
        <f t="array" aca="1" ref="CI7" ca="1">INDEX(_xlfn._xlws.FILTER(テーブル定義_一覧!$D$1:$U$501, テーブル定義_一覧!$D$1:$D$501=CI$1), CI$2, _xlfn.XMATCH($B7, テーブル定義_一覧!$D$1:$Z$1))&amp;""</f>
        <v/>
      </c>
      <c r="CJ7" s="40" t="str" cm="1">
        <f t="array" aca="1" ref="CJ7" ca="1">INDEX(_xlfn._xlws.FILTER(テーブル定義_一覧!$D$1:$U$501, テーブル定義_一覧!$D$1:$D$501=CJ$1), CJ$2, _xlfn.XMATCH($B7, テーブル定義_一覧!$D$1:$Z$1))&amp;""</f>
        <v/>
      </c>
      <c r="CK7" s="40" t="str" cm="1">
        <f t="array" aca="1" ref="CK7" ca="1">INDEX(_xlfn._xlws.FILTER(テーブル定義_一覧!$D$1:$U$501, テーブル定義_一覧!$D$1:$D$501=CK$1), CK$2, _xlfn.XMATCH($B7, テーブル定義_一覧!$D$1:$Z$1))&amp;""</f>
        <v/>
      </c>
      <c r="CL7" s="40" t="str" cm="1">
        <f t="array" aca="1" ref="CL7" ca="1">INDEX(_xlfn._xlws.FILTER(テーブル定義_一覧!$D$1:$U$501, テーブル定義_一覧!$D$1:$D$501=CL$1), CL$2, _xlfn.XMATCH($B7, テーブル定義_一覧!$D$1:$Z$1))&amp;""</f>
        <v/>
      </c>
      <c r="CM7" s="40" t="str" cm="1">
        <f t="array" aca="1" ref="CM7" ca="1">INDEX(_xlfn._xlws.FILTER(テーブル定義_一覧!$D$1:$U$501, テーブル定義_一覧!$D$1:$D$501=CM$1), CM$2, _xlfn.XMATCH($B7, テーブル定義_一覧!$D$1:$Z$1))&amp;""</f>
        <v/>
      </c>
      <c r="CN7" s="40" t="str" cm="1">
        <f t="array" aca="1" ref="CN7" ca="1">INDEX(_xlfn._xlws.FILTER(テーブル定義_一覧!$D$1:$U$501, テーブル定義_一覧!$D$1:$D$501=CN$1), CN$2, _xlfn.XMATCH($B7, テーブル定義_一覧!$D$1:$Z$1))&amp;""</f>
        <v/>
      </c>
      <c r="CO7" s="40" t="str" cm="1">
        <f t="array" aca="1" ref="CO7" ca="1">INDEX(_xlfn._xlws.FILTER(テーブル定義_一覧!$D$1:$U$501, テーブル定義_一覧!$D$1:$D$501=CO$1), CO$2, _xlfn.XMATCH($B7, テーブル定義_一覧!$D$1:$Z$1))&amp;""</f>
        <v>x</v>
      </c>
      <c r="CP7" s="40" t="str" cm="1">
        <f t="array" aca="1" ref="CP7" ca="1">INDEX(_xlfn._xlws.FILTER(テーブル定義_一覧!$D$1:$U$501, テーブル定義_一覧!$D$1:$D$501=CP$1), CP$2, _xlfn.XMATCH($B7, テーブル定義_一覧!$D$1:$Z$1))&amp;""</f>
        <v>x</v>
      </c>
      <c r="CQ7" s="40" t="str" cm="1">
        <f t="array" aca="1" ref="CQ7" ca="1">INDEX(_xlfn._xlws.FILTER(テーブル定義_一覧!$D$1:$U$501, テーブル定義_一覧!$D$1:$D$501=CQ$1), CQ$2, _xlfn.XMATCH($B7, テーブル定義_一覧!$D$1:$Z$1))&amp;""</f>
        <v/>
      </c>
      <c r="CR7" s="40" t="str" cm="1">
        <f t="array" aca="1" ref="CR7" ca="1">INDEX(_xlfn._xlws.FILTER(テーブル定義_一覧!$D$1:$U$501, テーブル定義_一覧!$D$1:$D$501=CR$1), CR$2, _xlfn.XMATCH($B7, テーブル定義_一覧!$D$1:$Z$1))&amp;""</f>
        <v>x</v>
      </c>
      <c r="CS7" s="34" t="str" cm="1">
        <f t="array" aca="1" ref="CS7" ca="1">INDEX(_xlfn._xlws.FILTER(テーブル定義_一覧!$D$1:$U$501, テーブル定義_一覧!$D$1:$D$501=CS$1), CS$2, _xlfn.XMATCH($B7, テーブル定義_一覧!$D$1:$Z$1))&amp;""</f>
        <v/>
      </c>
    </row>
    <row r="8" spans="1:97" outlineLevel="2">
      <c r="A8" s="79"/>
      <c r="B8" s="22" t="s">
        <v>518</v>
      </c>
      <c r="C8" s="49" t="str" cm="1">
        <f t="array" aca="1" ref="C8" ca="1">INDEX(_xlfn._xlws.FILTER(テーブル定義_一覧!$D$1:$U$501, テーブル定義_一覧!$D$1:$D$501=C$1), C$2, _xlfn.XMATCH($B8, テーブル定義_一覧!$D$1:$Z$1))&amp;""</f>
        <v/>
      </c>
      <c r="D8" s="40" t="str" cm="1">
        <f t="array" aca="1" ref="D8" ca="1">INDEX(_xlfn._xlws.FILTER(テーブル定義_一覧!$D$1:$U$501, テーブル定義_一覧!$D$1:$D$501=D$1), D$2, _xlfn.XMATCH($B8, テーブル定義_一覧!$D$1:$Z$1))&amp;""</f>
        <v/>
      </c>
      <c r="E8" s="40" t="str" cm="1">
        <f t="array" aca="1" ref="E8" ca="1">INDEX(_xlfn._xlws.FILTER(テーブル定義_一覧!$D$1:$U$501, テーブル定義_一覧!$D$1:$D$501=E$1), E$2, _xlfn.XMATCH($B8, テーブル定義_一覧!$D$1:$Z$1))&amp;""</f>
        <v>users.users_sequence_id</v>
      </c>
      <c r="F8" s="40" t="str" cm="1">
        <f t="array" aca="1" ref="F8" ca="1">INDEX(_xlfn._xlws.FILTER(テーブル定義_一覧!$D$1:$U$501, テーブル定義_一覧!$D$1:$D$501=F$1), F$2, _xlfn.XMATCH($B8, テーブル定義_一覧!$D$1:$Z$1))&amp;""</f>
        <v>join_group.join_group_sequence_id</v>
      </c>
      <c r="G8" s="40" t="str" cm="1">
        <f t="array" aca="1" ref="G8" ca="1">INDEX(_xlfn._xlws.FILTER(テーブル定義_一覧!$D$1:$U$501, テーブル定義_一覧!$D$1:$D$501=G$1), G$2, _xlfn.XMATCH($B8, テーブル定義_一覧!$D$1:$Z$1))&amp;""</f>
        <v/>
      </c>
      <c r="H8" s="40" t="str" cm="1">
        <f t="array" aca="1" ref="H8" ca="1">INDEX(_xlfn._xlws.FILTER(テーブル定義_一覧!$D$1:$U$501, テーブル定義_一覧!$D$1:$D$501=H$1), H$2, _xlfn.XMATCH($B8, テーブル定義_一覧!$D$1:$Z$1))&amp;""</f>
        <v>activity_status.activity_status_sequence_id</v>
      </c>
      <c r="I8" s="40" t="str" cm="1">
        <f t="array" aca="1" ref="I8" ca="1">INDEX(_xlfn._xlws.FILTER(テーブル定義_一覧!$D$1:$U$501, テーブル定義_一覧!$D$1:$D$501=I$1), I$2, _xlfn.XMATCH($B8, テーブル定義_一覧!$D$1:$Z$1))&amp;""</f>
        <v/>
      </c>
      <c r="J8" s="40" t="str" cm="1">
        <f t="array" aca="1" ref="J8" ca="1">INDEX(_xlfn._xlws.FILTER(テーブル定義_一覧!$D$1:$U$501, テーブル定義_一覧!$D$1:$D$501=J$1), J$2, _xlfn.XMATCH($B8, テーブル定義_一覧!$D$1:$Z$1))&amp;""</f>
        <v/>
      </c>
      <c r="K8" s="40" t="str" cm="1">
        <f t="array" aca="1" ref="K8" ca="1">INDEX(_xlfn._xlws.FILTER(テーブル定義_一覧!$D$1:$U$501, テーブル定義_一覧!$D$1:$D$501=K$1), K$2, _xlfn.XMATCH($B8, テーブル定義_一覧!$D$1:$Z$1))&amp;""</f>
        <v>activity_status.activity_status_sequence_id</v>
      </c>
      <c r="L8" s="40" t="str" cm="1">
        <f t="array" aca="1" ref="L8" ca="1">INDEX(_xlfn._xlws.FILTER(テーブル定義_一覧!$D$1:$U$501, テーブル定義_一覧!$D$1:$D$501=L$1), L$2, _xlfn.XMATCH($B8, テーブル定義_一覧!$D$1:$Z$1))&amp;""</f>
        <v/>
      </c>
      <c r="M8" s="40" t="str" cm="1">
        <f t="array" aca="1" ref="M8" ca="1">INDEX(_xlfn._xlws.FILTER(テーブル定義_一覧!$D$1:$U$501, テーブル定義_一覧!$D$1:$D$501=M$1), M$2, _xlfn.XMATCH($B8, テーブル定義_一覧!$D$1:$Z$1))&amp;""</f>
        <v/>
      </c>
      <c r="N8" s="40" t="str" cm="1">
        <f t="array" aca="1" ref="N8" ca="1">INDEX(_xlfn._xlws.FILTER(テーブル定義_一覧!$D$1:$U$501, テーブル定義_一覧!$D$1:$D$501=N$1), N$2, _xlfn.XMATCH($B8, テーブル定義_一覧!$D$1:$Z$1))&amp;""</f>
        <v/>
      </c>
      <c r="O8" s="40" t="str" cm="1">
        <f t="array" aca="1" ref="O8" ca="1">INDEX(_xlfn._xlws.FILTER(テーブル定義_一覧!$D$1:$U$501, テーブル定義_一覧!$D$1:$D$501=O$1), O$2, _xlfn.XMATCH($B8, テーブル定義_一覧!$D$1:$Z$1))&amp;""</f>
        <v/>
      </c>
      <c r="P8" s="40" t="str" cm="1">
        <f t="array" aca="1" ref="P8" ca="1">INDEX(_xlfn._xlws.FILTER(テーブル定義_一覧!$D$1:$U$501, テーブル定義_一覧!$D$1:$D$501=P$1), P$2, _xlfn.XMATCH($B8, テーブル定義_一覧!$D$1:$Z$1))&amp;""</f>
        <v>user_role.user_role_sequence_id</v>
      </c>
      <c r="Q8" s="40" t="str" cm="1">
        <f t="array" aca="1" ref="Q8" ca="1">INDEX(_xlfn._xlws.FILTER(テーブル定義_一覧!$D$1:$U$501, テーブル定義_一覧!$D$1:$D$501=Q$1), Q$2, _xlfn.XMATCH($B8, テーブル定義_一覧!$D$1:$Z$1))&amp;""</f>
        <v/>
      </c>
      <c r="R8" s="40" t="str" cm="1">
        <f t="array" aca="1" ref="R8" ca="1">INDEX(_xlfn._xlws.FILTER(テーブル定義_一覧!$D$1:$U$501, テーブル定義_一覧!$D$1:$D$501=R$1), R$2, _xlfn.XMATCH($B8, テーブル定義_一覧!$D$1:$Z$1))&amp;""</f>
        <v>sns_support.sns_support_sequence_id</v>
      </c>
      <c r="S8" s="40" t="str" cm="1">
        <f t="array" aca="1" ref="S8" ca="1">INDEX(_xlfn._xlws.FILTER(テーブル定義_一覧!$D$1:$U$501, テーブル定義_一覧!$D$1:$D$501=S$1), S$2, _xlfn.XMATCH($B8, テーブル定義_一覧!$D$1:$Z$1))&amp;""</f>
        <v/>
      </c>
      <c r="T8" s="40" t="str" cm="1">
        <f t="array" aca="1" ref="T8" ca="1">INDEX(_xlfn._xlws.FILTER(テーブル定義_一覧!$D$1:$U$501, テーブル定義_一覧!$D$1:$D$501=T$1), T$2, _xlfn.XMATCH($B8, テーブル定義_一覧!$D$1:$Z$1))&amp;""</f>
        <v>theme.theme_sequence_id</v>
      </c>
      <c r="U8" s="40" t="str" cm="1">
        <f t="array" aca="1" ref="U8" ca="1">INDEX(_xlfn._xlws.FILTER(テーブル定義_一覧!$D$1:$U$501, テーブル定義_一覧!$D$1:$D$501=U$1), U$2, _xlfn.XMATCH($B8, テーブル定義_一覧!$D$1:$Z$1))&amp;""</f>
        <v>language.language_sequence_id</v>
      </c>
      <c r="V8" s="40" t="str" cm="1">
        <f t="array" aca="1" ref="V8" ca="1">INDEX(_xlfn._xlws.FILTER(テーブル定義_一覧!$D$1:$U$501, テーブル定義_一覧!$D$1:$D$501=V$1), V$2, _xlfn.XMATCH($B8, テーブル定義_一覧!$D$1:$Z$1))&amp;""</f>
        <v/>
      </c>
      <c r="W8" s="40" t="str" cm="1">
        <f t="array" aca="1" ref="W8" ca="1">INDEX(_xlfn._xlws.FILTER(テーブル定義_一覧!$D$1:$U$501, テーブル定義_一覧!$D$1:$D$501=W$1), W$2, _xlfn.XMATCH($B8, テーブル定義_一覧!$D$1:$Z$1))&amp;""</f>
        <v/>
      </c>
      <c r="X8" s="40" t="str" cm="1">
        <f t="array" aca="1" ref="X8" ca="1">INDEX(_xlfn._xlws.FILTER(テーブル定義_一覧!$D$1:$U$501, テーブル定義_一覧!$D$1:$D$501=X$1), X$2, _xlfn.XMATCH($B8, テーブル定義_一覧!$D$1:$Z$1))&amp;""</f>
        <v/>
      </c>
      <c r="Y8" s="40" t="str" cm="1">
        <f t="array" aca="1" ref="Y8" ca="1">INDEX(_xlfn._xlws.FILTER(テーブル定義_一覧!$D$1:$U$501, テーブル定義_一覧!$D$1:$D$501=Y$1), Y$2, _xlfn.XMATCH($B8, テーブル定義_一覧!$D$1:$Z$1))&amp;""</f>
        <v>vtuber_profiles.vtuber_profiles_sequence_id</v>
      </c>
      <c r="Z8" s="40" t="str" cm="1">
        <f t="array" aca="1" ref="Z8" ca="1">INDEX(_xlfn._xlws.FILTER(テーブル定義_一覧!$D$1:$U$501, テーブル定義_一覧!$D$1:$D$501=Z$1), Z$2, _xlfn.XMATCH($B8, テーブル定義_一覧!$D$1:$Z$1))&amp;""</f>
        <v>sns_support.sns_support_sequence_id</v>
      </c>
      <c r="AA8" s="40" t="str" cm="1">
        <f t="array" aca="1" ref="AA8" ca="1">INDEX(_xlfn._xlws.FILTER(テーブル定義_一覧!$D$1:$U$501, テーブル定義_一覧!$D$1:$D$501=AA$1), AA$2, _xlfn.XMATCH($B8, テーブル定義_一覧!$D$1:$Z$1))&amp;""</f>
        <v/>
      </c>
      <c r="AB8" s="40" t="str" cm="1">
        <f t="array" aca="1" ref="AB8" ca="1">INDEX(_xlfn._xlws.FILTER(テーブル定義_一覧!$D$1:$U$501, テーブル定義_一覧!$D$1:$D$501=AB$1), AB$2, _xlfn.XMATCH($B8, テーブル定義_一覧!$D$1:$Z$1))&amp;""</f>
        <v/>
      </c>
      <c r="AC8" s="40" t="str" cm="1">
        <f t="array" aca="1" ref="AC8" ca="1">INDEX(_xlfn._xlws.FILTER(テーブル定義_一覧!$D$1:$U$501, テーブル定義_一覧!$D$1:$D$501=AC$1), AC$2, _xlfn.XMATCH($B8, テーブル定義_一覧!$D$1:$Z$1))&amp;""</f>
        <v/>
      </c>
      <c r="AD8" s="40" t="str" cm="1">
        <f t="array" aca="1" ref="AD8" ca="1">INDEX(_xlfn._xlws.FILTER(テーブル定義_一覧!$D$1:$U$501, テーブル定義_一覧!$D$1:$D$501=AD$1), AD$2, _xlfn.XMATCH($B8, テーブル定義_一覧!$D$1:$Z$1))&amp;""</f>
        <v>vtuber_profiles.vtuber_profiles_sequence_id</v>
      </c>
      <c r="AE8" s="40" t="str" cm="1">
        <f t="array" aca="1" ref="AE8" ca="1">INDEX(_xlfn._xlws.FILTER(テーブル定義_一覧!$D$1:$U$501, テーブル定義_一覧!$D$1:$D$501=AE$1), AE$2, _xlfn.XMATCH($B8, テーブル定義_一覧!$D$1:$Z$1))&amp;""</f>
        <v>users.users_sequence_id</v>
      </c>
      <c r="AF8" s="40" t="str" cm="1">
        <f t="array" aca="1" ref="AF8" ca="1">INDEX(_xlfn._xlws.FILTER(テーブル定義_一覧!$D$1:$U$501, テーブル定義_一覧!$D$1:$D$501=AF$1), AF$2, _xlfn.XMATCH($B8, テーブル定義_一覧!$D$1:$Z$1))&amp;""</f>
        <v/>
      </c>
      <c r="AG8" s="40" t="str" cm="1">
        <f t="array" aca="1" ref="AG8" ca="1">INDEX(_xlfn._xlws.FILTER(テーブル定義_一覧!$D$1:$U$501, テーブル定義_一覧!$D$1:$D$501=AG$1), AG$2, _xlfn.XMATCH($B8, テーブル定義_一覧!$D$1:$Z$1))&amp;""</f>
        <v/>
      </c>
      <c r="AH8" s="40" t="str" cm="1">
        <f t="array" aca="1" ref="AH8" ca="1">INDEX(_xlfn._xlws.FILTER(テーブル定義_一覧!$D$1:$U$501, テーブル定義_一覧!$D$1:$D$501=AH$1), AH$2, _xlfn.XMATCH($B8, テーブル定義_一覧!$D$1:$Z$1))&amp;""</f>
        <v/>
      </c>
      <c r="AI8" s="40" t="str" cm="1">
        <f t="array" aca="1" ref="AI8" ca="1">INDEX(_xlfn._xlws.FILTER(テーブル定義_一覧!$D$1:$U$501, テーブル定義_一覧!$D$1:$D$501=AI$1), AI$2, _xlfn.XMATCH($B8, テーブル定義_一覧!$D$1:$Z$1))&amp;""</f>
        <v>users.users_sequence_id</v>
      </c>
      <c r="AJ8" s="40" t="str" cm="1">
        <f t="array" aca="1" ref="AJ8" ca="1">INDEX(_xlfn._xlws.FILTER(テーブル定義_一覧!$D$1:$U$501, テーブル定義_一覧!$D$1:$D$501=AJ$1), AJ$2, _xlfn.XMATCH($B8, テーブル定義_一覧!$D$1:$Z$1))&amp;""</f>
        <v>vtuber_profiles.vtuber_profiles_sequence_id</v>
      </c>
      <c r="AK8" s="40" t="str" cm="1">
        <f t="array" aca="1" ref="AK8" ca="1">INDEX(_xlfn._xlws.FILTER(テーブル定義_一覧!$D$1:$U$501, テーブル定義_一覧!$D$1:$D$501=AK$1), AK$2, _xlfn.XMATCH($B8, テーブル定義_一覧!$D$1:$Z$1))&amp;""</f>
        <v>screen_word.screen_word_sequence_id</v>
      </c>
      <c r="AL8" s="40" t="str" cm="1">
        <f t="array" aca="1" ref="AL8" ca="1">INDEX(_xlfn._xlws.FILTER(テーブル定義_一覧!$D$1:$U$501, テーブル定義_一覧!$D$1:$D$501=AL$1), AL$2, _xlfn.XMATCH($B8, テーブル定義_一覧!$D$1:$Z$1))&amp;""</f>
        <v/>
      </c>
      <c r="AM8" s="40" t="str" cm="1">
        <f t="array" aca="1" ref="AM8" ca="1">INDEX(_xlfn._xlws.FILTER(テーブル定義_一覧!$D$1:$U$501, テーブル定義_一覧!$D$1:$D$501=AM$1), AM$2, _xlfn.XMATCH($B8, テーブル定義_一覧!$D$1:$Z$1))&amp;""</f>
        <v/>
      </c>
      <c r="AN8" s="40" t="str" cm="1">
        <f t="array" aca="1" ref="AN8" ca="1">INDEX(_xlfn._xlws.FILTER(テーブル定義_一覧!$D$1:$U$501, テーブル定義_一覧!$D$1:$D$501=AN$1), AN$2, _xlfn.XMATCH($B8, テーブル定義_一覧!$D$1:$Z$1))&amp;""</f>
        <v/>
      </c>
      <c r="AO8" s="40" t="str" cm="1">
        <f t="array" aca="1" ref="AO8" ca="1">INDEX(_xlfn._xlws.FILTER(テーブル定義_一覧!$D$1:$U$501, テーブル定義_一覧!$D$1:$D$501=AO$1), AO$2, _xlfn.XMATCH($B8, テーブル定義_一覧!$D$1:$Z$1))&amp;""</f>
        <v/>
      </c>
      <c r="AP8" s="40" t="str" cm="1">
        <f t="array" aca="1" ref="AP8" ca="1">INDEX(_xlfn._xlws.FILTER(テーブル定義_一覧!$D$1:$U$501, テーブル定義_一覧!$D$1:$D$501=AP$1), AP$2, _xlfn.XMATCH($B8, テーブル定義_一覧!$D$1:$Z$1))&amp;""</f>
        <v/>
      </c>
      <c r="AQ8" s="40" t="str" cm="1">
        <f t="array" aca="1" ref="AQ8" ca="1">INDEX(_xlfn._xlws.FILTER(テーブル定義_一覧!$D$1:$U$501, テーブル定義_一覧!$D$1:$D$501=AQ$1), AQ$2, _xlfn.XMATCH($B8, テーブル定義_一覧!$D$1:$Z$1))&amp;""</f>
        <v/>
      </c>
      <c r="AR8" s="40" t="str" cm="1">
        <f t="array" aca="1" ref="AR8" ca="1">INDEX(_xlfn._xlws.FILTER(テーブル定義_一覧!$D$1:$U$501, テーブル定義_一覧!$D$1:$D$501=AR$1), AR$2, _xlfn.XMATCH($B8, テーブル定義_一覧!$D$1:$Z$1))&amp;""</f>
        <v/>
      </c>
      <c r="AS8" s="40" t="str" cm="1">
        <f t="array" aca="1" ref="AS8" ca="1">INDEX(_xlfn._xlws.FILTER(テーブル定義_一覧!$D$1:$U$501, テーブル定義_一覧!$D$1:$D$501=AS$1), AS$2, _xlfn.XMATCH($B8, テーブル定義_一覧!$D$1:$Z$1))&amp;""</f>
        <v/>
      </c>
      <c r="AT8" s="40" t="str" cm="1">
        <f t="array" aca="1" ref="AT8" ca="1">INDEX(_xlfn._xlws.FILTER(テーブル定義_一覧!$D$1:$U$501, テーブル定義_一覧!$D$1:$D$501=AT$1), AT$2, _xlfn.XMATCH($B8, テーブル定義_一覧!$D$1:$Z$1))&amp;""</f>
        <v>priority.priority_sequence_id</v>
      </c>
      <c r="AU8" s="40" t="str" cm="1">
        <f t="array" aca="1" ref="AU8" ca="1">INDEX(_xlfn._xlws.FILTER(テーブル定義_一覧!$D$1:$U$501, テーブル定義_一覧!$D$1:$D$501=AU$1), AU$2, _xlfn.XMATCH($B8, テーブル定義_一覧!$D$1:$Z$1))&amp;""</f>
        <v>response_status.response_status_sequence_id</v>
      </c>
      <c r="AV8" s="40" t="str" cm="1">
        <f t="array" aca="1" ref="AV8" ca="1">INDEX(_xlfn._xlws.FILTER(テーブル定義_一覧!$D$1:$U$501, テーブル定義_一覧!$D$1:$D$501=AV$1), AV$2, _xlfn.XMATCH($B8, テーブル定義_一覧!$D$1:$Z$1))&amp;""</f>
        <v/>
      </c>
      <c r="AW8" s="40" t="str" cm="1">
        <f t="array" aca="1" ref="AW8" ca="1">INDEX(_xlfn._xlws.FILTER(テーブル定義_一覧!$D$1:$U$501, テーブル定義_一覧!$D$1:$D$501=AW$1), AW$2, _xlfn.XMATCH($B8, テーブル定義_一覧!$D$1:$Z$1))&amp;""</f>
        <v>users.users_sequence_id</v>
      </c>
      <c r="AX8" s="40" t="str" cm="1">
        <f t="array" aca="1" ref="AX8" ca="1">INDEX(_xlfn._xlws.FILTER(テーブル定義_一覧!$D$1:$U$501, テーブル定義_一覧!$D$1:$D$501=AX$1), AX$2, _xlfn.XMATCH($B8, テーブル定義_一覧!$D$1:$Z$1))&amp;""</f>
        <v>vtuber_profiles.vtuber_profiles_sequence_id</v>
      </c>
      <c r="AY8" s="40" t="str" cm="1">
        <f t="array" aca="1" ref="AY8" ca="1">INDEX(_xlfn._xlws.FILTER(テーブル定義_一覧!$D$1:$U$501, テーブル定義_一覧!$D$1:$D$501=AY$1), AY$2, _xlfn.XMATCH($B8, テーブル定義_一覧!$D$1:$Z$1))&amp;""</f>
        <v>report_reason.report_reason_sequence_id</v>
      </c>
      <c r="AZ8" s="40" t="str" cm="1">
        <f t="array" aca="1" ref="AZ8" ca="1">INDEX(_xlfn._xlws.FILTER(テーブル定義_一覧!$D$1:$U$501, テーブル定義_一覧!$D$1:$D$501=AZ$1), AZ$2, _xlfn.XMATCH($B8, テーブル定義_一覧!$D$1:$Z$1))&amp;""</f>
        <v/>
      </c>
      <c r="BA8" s="40" t="str" cm="1">
        <f t="array" aca="1" ref="BA8" ca="1">INDEX(_xlfn._xlws.FILTER(テーブル定義_一覧!$D$1:$U$501, テーブル定義_一覧!$D$1:$D$501=BA$1), BA$2, _xlfn.XMATCH($B8, テーブル定義_一覧!$D$1:$Z$1))&amp;""</f>
        <v/>
      </c>
      <c r="BB8" s="40" t="str" cm="1">
        <f t="array" aca="1" ref="BB8" ca="1">INDEX(_xlfn._xlws.FILTER(テーブル定義_一覧!$D$1:$U$501, テーブル定義_一覧!$D$1:$D$501=BB$1), BB$2, _xlfn.XMATCH($B8, テーブル定義_一覧!$D$1:$Z$1))&amp;""</f>
        <v/>
      </c>
      <c r="BC8" s="40" t="str" cm="1">
        <f t="array" aca="1" ref="BC8" ca="1">INDEX(_xlfn._xlws.FILTER(テーブル定義_一覧!$D$1:$U$501, テーブル定義_一覧!$D$1:$D$501=BC$1), BC$2, _xlfn.XMATCH($B8, テーブル定義_一覧!$D$1:$Z$1))&amp;""</f>
        <v>users.users_sequence_id</v>
      </c>
      <c r="BD8" s="40" t="str" cm="1">
        <f t="array" aca="1" ref="BD8" ca="1">INDEX(_xlfn._xlws.FILTER(テーブル定義_一覧!$D$1:$U$501, テーブル定義_一覧!$D$1:$D$501=BD$1), BD$2, _xlfn.XMATCH($B8, テーブル定義_一覧!$D$1:$Z$1))&amp;""</f>
        <v/>
      </c>
      <c r="BE8" s="40" t="str" cm="1">
        <f t="array" aca="1" ref="BE8" ca="1">INDEX(_xlfn._xlws.FILTER(テーブル定義_一覧!$D$1:$U$501, テーブル定義_一覧!$D$1:$D$501=BE$1), BE$2, _xlfn.XMATCH($B8, テーブル定義_一覧!$D$1:$Z$1))&amp;""</f>
        <v/>
      </c>
      <c r="BF8" s="40" t="str" cm="1">
        <f t="array" aca="1" ref="BF8" ca="1">INDEX(_xlfn._xlws.FILTER(テーブル定義_一覧!$D$1:$U$501, テーブル定義_一覧!$D$1:$D$501=BF$1), BF$2, _xlfn.XMATCH($B8, テーブル定義_一覧!$D$1:$Z$1))&amp;""</f>
        <v/>
      </c>
      <c r="BG8" s="40" t="str" cm="1">
        <f t="array" aca="1" ref="BG8" ca="1">INDEX(_xlfn._xlws.FILTER(テーブル定義_一覧!$D$1:$U$501, テーブル定義_一覧!$D$1:$D$501=BG$1), BG$2, _xlfn.XMATCH($B8, テーブル定義_一覧!$D$1:$Z$1))&amp;""</f>
        <v/>
      </c>
      <c r="BH8" s="40" t="str" cm="1">
        <f t="array" aca="1" ref="BH8" ca="1">INDEX(_xlfn._xlws.FILTER(テーブル定義_一覧!$D$1:$U$501, テーブル定義_一覧!$D$1:$D$501=BH$1), BH$2, _xlfn.XMATCH($B8, テーブル定義_一覧!$D$1:$Z$1))&amp;""</f>
        <v/>
      </c>
      <c r="BI8" s="40" t="str" cm="1">
        <f t="array" aca="1" ref="BI8" ca="1">INDEX(_xlfn._xlws.FILTER(テーブル定義_一覧!$D$1:$U$501, テーブル定義_一覧!$D$1:$D$501=BI$1), BI$2, _xlfn.XMATCH($B8, テーブル定義_一覧!$D$1:$Z$1))&amp;""</f>
        <v/>
      </c>
      <c r="BJ8" s="40" t="str" cm="1">
        <f t="array" aca="1" ref="BJ8" ca="1">INDEX(_xlfn._xlws.FILTER(テーブル定義_一覧!$D$1:$U$501, テーブル定義_一覧!$D$1:$D$501=BJ$1), BJ$2, _xlfn.XMATCH($B8, テーブル定義_一覧!$D$1:$Z$1))&amp;""</f>
        <v/>
      </c>
      <c r="BK8" s="40" t="str" cm="1">
        <f t="array" aca="1" ref="BK8" ca="1">INDEX(_xlfn._xlws.FILTER(テーブル定義_一覧!$D$1:$U$501, テーブル定義_一覧!$D$1:$D$501=BK$1), BK$2, _xlfn.XMATCH($B8, テーブル定義_一覧!$D$1:$Z$1))&amp;""</f>
        <v/>
      </c>
      <c r="BL8" s="40" t="str" cm="1">
        <f t="array" aca="1" ref="BL8" ca="1">INDEX(_xlfn._xlws.FILTER(テーブル定義_一覧!$D$1:$U$501, テーブル定義_一覧!$D$1:$D$501=BL$1), BL$2, _xlfn.XMATCH($B8, テーブル定義_一覧!$D$1:$Z$1))&amp;""</f>
        <v/>
      </c>
      <c r="BM8" s="40" t="str" cm="1">
        <f t="array" aca="1" ref="BM8" ca="1">INDEX(_xlfn._xlws.FILTER(テーブル定義_一覧!$D$1:$U$501, テーブル定義_一覧!$D$1:$D$501=BM$1), BM$2, _xlfn.XMATCH($B8, テーブル定義_一覧!$D$1:$Z$1))&amp;""</f>
        <v>users.users_sequence_id</v>
      </c>
      <c r="BN8" s="40" t="str" cm="1">
        <f t="array" aca="1" ref="BN8" ca="1">INDEX(_xlfn._xlws.FILTER(テーブル定義_一覧!$D$1:$U$501, テーブル定義_一覧!$D$1:$D$501=BN$1), BN$2, _xlfn.XMATCH($B8, テーブル定義_一覧!$D$1:$Z$1))&amp;""</f>
        <v>users.users_sequence_id</v>
      </c>
      <c r="BO8" s="40" t="str" cm="1">
        <f t="array" aca="1" ref="BO8" ca="1">INDEX(_xlfn._xlws.FILTER(テーブル定義_一覧!$D$1:$U$501, テーブル定義_一覧!$D$1:$D$501=BO$1), BO$2, _xlfn.XMATCH($B8, テーブル定義_一覧!$D$1:$Z$1))&amp;""</f>
        <v/>
      </c>
      <c r="BP8" s="40" t="str" cm="1">
        <f t="array" aca="1" ref="BP8" ca="1">INDEX(_xlfn._xlws.FILTER(テーブル定義_一覧!$D$1:$U$501, テーブル定義_一覧!$D$1:$D$501=BP$1), BP$2, _xlfn.XMATCH($B8, テーブル定義_一覧!$D$1:$Z$1))&amp;""</f>
        <v/>
      </c>
      <c r="BQ8" s="40" t="str" cm="1">
        <f t="array" aca="1" ref="BQ8" ca="1">INDEX(_xlfn._xlws.FILTER(テーブル定義_一覧!$D$1:$U$501, テーブル定義_一覧!$D$1:$D$501=BQ$1), BQ$2, _xlfn.XMATCH($B8, テーブル定義_一覧!$D$1:$Z$1))&amp;""</f>
        <v/>
      </c>
      <c r="BR8" s="40" t="str" cm="1">
        <f t="array" aca="1" ref="BR8" ca="1">INDEX(_xlfn._xlws.FILTER(テーブル定義_一覧!$D$1:$U$501, テーブル定義_一覧!$D$1:$D$501=BR$1), BR$2, _xlfn.XMATCH($B8, テーブル定義_一覧!$D$1:$Z$1))&amp;""</f>
        <v>vtuber_profiles.vtuber_profiles_sequence_id</v>
      </c>
      <c r="BS8" s="40" t="str" cm="1">
        <f t="array" aca="1" ref="BS8" ca="1">INDEX(_xlfn._xlws.FILTER(テーブル定義_一覧!$D$1:$U$501, テーブル定義_一覧!$D$1:$D$501=BS$1), BS$2, _xlfn.XMATCH($B8, テーブル定義_一覧!$D$1:$Z$1))&amp;""</f>
        <v/>
      </c>
      <c r="BT8" s="40" t="str" cm="1">
        <f t="array" aca="1" ref="BT8" ca="1">INDEX(_xlfn._xlws.FILTER(テーブル定義_一覧!$D$1:$U$501, テーブル定義_一覧!$D$1:$D$501=BT$1), BT$2, _xlfn.XMATCH($B8, テーブル定義_一覧!$D$1:$Z$1))&amp;""</f>
        <v/>
      </c>
      <c r="BU8" s="40" t="str" cm="1">
        <f t="array" aca="1" ref="BU8" ca="1">INDEX(_xlfn._xlws.FILTER(テーブル定義_一覧!$D$1:$U$501, テーブル定義_一覧!$D$1:$D$501=BU$1), BU$2, _xlfn.XMATCH($B8, テーブル定義_一覧!$D$1:$Z$1))&amp;""</f>
        <v>vtuber_profiles.vtuber_profiles_sequence_id</v>
      </c>
      <c r="BV8" s="40" t="str" cm="1">
        <f t="array" aca="1" ref="BV8" ca="1">INDEX(_xlfn._xlws.FILTER(テーブル定義_一覧!$D$1:$U$501, テーブル定義_一覧!$D$1:$D$501=BV$1), BV$2, _xlfn.XMATCH($B8, テーブル定義_一覧!$D$1:$Z$1))&amp;""</f>
        <v>vtuber_profiles.vtuber_profiles_sequence_id</v>
      </c>
      <c r="BW8" s="40" t="str" cm="1">
        <f t="array" aca="1" ref="BW8" ca="1">INDEX(_xlfn._xlws.FILTER(テーブル定義_一覧!$D$1:$U$501, テーブル定義_一覧!$D$1:$D$501=BW$1), BW$2, _xlfn.XMATCH($B8, テーブル定義_一覧!$D$1:$Z$1))&amp;""</f>
        <v/>
      </c>
      <c r="BX8" s="40" t="str" cm="1">
        <f t="array" aca="1" ref="BX8" ca="1">INDEX(_xlfn._xlws.FILTER(テーブル定義_一覧!$D$1:$U$501, テーブル定義_一覧!$D$1:$D$501=BX$1), BX$2, _xlfn.XMATCH($B8, テーブル定義_一覧!$D$1:$Z$1))&amp;""</f>
        <v/>
      </c>
      <c r="BY8" s="40" t="str" cm="1">
        <f t="array" aca="1" ref="BY8" ca="1">INDEX(_xlfn._xlws.FILTER(テーブル定義_一覧!$D$1:$U$501, テーブル定義_一覧!$D$1:$D$501=BY$1), BY$2, _xlfn.XMATCH($B8, テーブル定義_一覧!$D$1:$Z$1))&amp;""</f>
        <v>vtuber_profiles.vtuber_profiles_sequence_id</v>
      </c>
      <c r="BZ8" s="40" t="str" cm="1">
        <f t="array" aca="1" ref="BZ8" ca="1">INDEX(_xlfn._xlws.FILTER(テーブル定義_一覧!$D$1:$U$501, テーブル定義_一覧!$D$1:$D$501=BZ$1), BZ$2, _xlfn.XMATCH($B8, テーブル定義_一覧!$D$1:$Z$1))&amp;""</f>
        <v>language.language_sequence_id</v>
      </c>
      <c r="CA8" s="40" t="str" cm="1">
        <f t="array" aca="1" ref="CA8" ca="1">INDEX(_xlfn._xlws.FILTER(テーブル定義_一覧!$D$1:$U$501, テーブル定義_一覧!$D$1:$D$501=CA$1), CA$2, _xlfn.XMATCH($B8, テーブル定義_一覧!$D$1:$Z$1))&amp;""</f>
        <v/>
      </c>
      <c r="CB8" s="40" t="str" cm="1">
        <f t="array" aca="1" ref="CB8" ca="1">INDEX(_xlfn._xlws.FILTER(テーブル定義_一覧!$D$1:$U$501, テーブル定義_一覧!$D$1:$D$501=CB$1), CB$2, _xlfn.XMATCH($B8, テーブル定義_一覧!$D$1:$Z$1))&amp;""</f>
        <v/>
      </c>
      <c r="CC8" s="40" t="str" cm="1">
        <f t="array" aca="1" ref="CC8" ca="1">INDEX(_xlfn._xlws.FILTER(テーブル定義_一覧!$D$1:$U$501, テーブル定義_一覧!$D$1:$D$501=CC$1), CC$2, _xlfn.XMATCH($B8, テーブル定義_一覧!$D$1:$Z$1))&amp;""</f>
        <v/>
      </c>
      <c r="CD8" s="40" t="str" cm="1">
        <f t="array" aca="1" ref="CD8" ca="1">INDEX(_xlfn._xlws.FILTER(テーブル定義_一覧!$D$1:$U$501, テーブル定義_一覧!$D$1:$D$501=CD$1), CD$2, _xlfn.XMATCH($B8, テーブル定義_一覧!$D$1:$Z$1))&amp;""</f>
        <v/>
      </c>
      <c r="CE8" s="40" t="str" cm="1">
        <f t="array" aca="1" ref="CE8" ca="1">INDEX(_xlfn._xlws.FILTER(テーブル定義_一覧!$D$1:$U$501, テーブル定義_一覧!$D$1:$D$501=CE$1), CE$2, _xlfn.XMATCH($B8, テーブル定義_一覧!$D$1:$Z$1))&amp;""</f>
        <v/>
      </c>
      <c r="CF8" s="40" t="str" cm="1">
        <f t="array" aca="1" ref="CF8" ca="1">INDEX(_xlfn._xlws.FILTER(テーブル定義_一覧!$D$1:$U$501, テーブル定義_一覧!$D$1:$D$501=CF$1), CF$2, _xlfn.XMATCH($B8, テーブル定義_一覧!$D$1:$Z$1))&amp;""</f>
        <v/>
      </c>
      <c r="CG8" s="40" t="str" cm="1">
        <f t="array" aca="1" ref="CG8" ca="1">INDEX(_xlfn._xlws.FILTER(テーブル定義_一覧!$D$1:$U$501, テーブル定義_一覧!$D$1:$D$501=CG$1), CG$2, _xlfn.XMATCH($B8, テーブル定義_一覧!$D$1:$Z$1))&amp;""</f>
        <v/>
      </c>
      <c r="CH8" s="40" t="str" cm="1">
        <f t="array" aca="1" ref="CH8" ca="1">INDEX(_xlfn._xlws.FILTER(テーブル定義_一覧!$D$1:$U$501, テーブル定義_一覧!$D$1:$D$501=CH$1), CH$2, _xlfn.XMATCH($B8, テーブル定義_一覧!$D$1:$Z$1))&amp;""</f>
        <v/>
      </c>
      <c r="CI8" s="40" t="str" cm="1">
        <f t="array" aca="1" ref="CI8" ca="1">INDEX(_xlfn._xlws.FILTER(テーブル定義_一覧!$D$1:$U$501, テーブル定義_一覧!$D$1:$D$501=CI$1), CI$2, _xlfn.XMATCH($B8, テーブル定義_一覧!$D$1:$Z$1))&amp;""</f>
        <v/>
      </c>
      <c r="CJ8" s="40" t="str" cm="1">
        <f t="array" aca="1" ref="CJ8" ca="1">INDEX(_xlfn._xlws.FILTER(テーブル定義_一覧!$D$1:$U$501, テーブル定義_一覧!$D$1:$D$501=CJ$1), CJ$2, _xlfn.XMATCH($B8, テーブル定義_一覧!$D$1:$Z$1))&amp;""</f>
        <v/>
      </c>
      <c r="CK8" s="40" t="str" cm="1">
        <f t="array" aca="1" ref="CK8" ca="1">INDEX(_xlfn._xlws.FILTER(テーブル定義_一覧!$D$1:$U$501, テーブル定義_一覧!$D$1:$D$501=CK$1), CK$2, _xlfn.XMATCH($B8, テーブル定義_一覧!$D$1:$Z$1))&amp;""</f>
        <v/>
      </c>
      <c r="CL8" s="40" t="str" cm="1">
        <f t="array" aca="1" ref="CL8" ca="1">INDEX(_xlfn._xlws.FILTER(テーブル定義_一覧!$D$1:$U$501, テーブル定義_一覧!$D$1:$D$501=CL$1), CL$2, _xlfn.XMATCH($B8, テーブル定義_一覧!$D$1:$Z$1))&amp;""</f>
        <v/>
      </c>
      <c r="CM8" s="40" t="str" cm="1">
        <f t="array" aca="1" ref="CM8" ca="1">INDEX(_xlfn._xlws.FILTER(テーブル定義_一覧!$D$1:$U$501, テーブル定義_一覧!$D$1:$D$501=CM$1), CM$2, _xlfn.XMATCH($B8, テーブル定義_一覧!$D$1:$Z$1))&amp;""</f>
        <v/>
      </c>
      <c r="CN8" s="40" t="str" cm="1">
        <f t="array" aca="1" ref="CN8" ca="1">INDEX(_xlfn._xlws.FILTER(テーブル定義_一覧!$D$1:$U$501, テーブル定義_一覧!$D$1:$D$501=CN$1), CN$2, _xlfn.XMATCH($B8, テーブル定義_一覧!$D$1:$Z$1))&amp;""</f>
        <v/>
      </c>
      <c r="CO8" s="40" t="str" cm="1">
        <f t="array" aca="1" ref="CO8" ca="1">INDEX(_xlfn._xlws.FILTER(テーブル定義_一覧!$D$1:$U$501, テーブル定義_一覧!$D$1:$D$501=CO$1), CO$2, _xlfn.XMATCH($B8, テーブル定義_一覧!$D$1:$Z$1))&amp;""</f>
        <v>vtuber_profiles.vtuber_profiles_sequence_id</v>
      </c>
      <c r="CP8" s="40" t="str" cm="1">
        <f t="array" aca="1" ref="CP8" ca="1">INDEX(_xlfn._xlws.FILTER(テーブル定義_一覧!$D$1:$U$501, テーブル定義_一覧!$D$1:$D$501=CP$1), CP$2, _xlfn.XMATCH($B8, テーブル定義_一覧!$D$1:$Z$1))&amp;""</f>
        <v>tag.tag_sequence_id</v>
      </c>
      <c r="CQ8" s="40" t="str" cm="1">
        <f t="array" aca="1" ref="CQ8" ca="1">INDEX(_xlfn._xlws.FILTER(テーブル定義_一覧!$D$1:$U$501, テーブル定義_一覧!$D$1:$D$501=CQ$1), CQ$2, _xlfn.XMATCH($B8, テーブル定義_一覧!$D$1:$Z$1))&amp;""</f>
        <v/>
      </c>
      <c r="CR8" s="40" t="str" cm="1">
        <f t="array" aca="1" ref="CR8" ca="1">INDEX(_xlfn._xlws.FILTER(テーブル定義_一覧!$D$1:$U$501, テーブル定義_一覧!$D$1:$D$501=CR$1), CR$2, _xlfn.XMATCH($B8, テーブル定義_一覧!$D$1:$Z$1))&amp;""</f>
        <v>vtuber_profiles.vtuber_profiles_sequence_id</v>
      </c>
      <c r="CS8" s="34" t="str" cm="1">
        <f t="array" aca="1" ref="CS8" ca="1">INDEX(_xlfn._xlws.FILTER(テーブル定義_一覧!$D$1:$U$501, テーブル定義_一覧!$D$1:$D$501=CS$1), CS$2, _xlfn.XMATCH($B8, テーブル定義_一覧!$D$1:$Z$1))&amp;""</f>
        <v/>
      </c>
    </row>
    <row r="9" spans="1:97" outlineLevel="2">
      <c r="A9" s="79"/>
      <c r="B9" s="21" t="s">
        <v>40</v>
      </c>
      <c r="C9" s="49" t="str" cm="1">
        <f t="array" aca="1" ref="C9" ca="1">INDEX(_xlfn._xlws.FILTER(テーブル定義_一覧!$D$1:$U$501, テーブル定義_一覧!$D$1:$D$501=C$1), C$2, _xlfn.XMATCH($B9, テーブル定義_一覧!$D$1:$Z$1))&amp;""</f>
        <v>x(PK制約)</v>
      </c>
      <c r="D9" s="40" t="str" cm="1">
        <f t="array" aca="1" ref="D9" ca="1">INDEX(_xlfn._xlws.FILTER(テーブル定義_一覧!$D$1:$U$501, テーブル定義_一覧!$D$1:$D$501=D$1), D$2, _xlfn.XMATCH($B9, テーブル定義_一覧!$D$1:$Z$1))&amp;""</f>
        <v>x</v>
      </c>
      <c r="E9" s="40" t="str" cm="1">
        <f t="array" aca="1" ref="E9" ca="1">INDEX(_xlfn._xlws.FILTER(テーブル定義_一覧!$D$1:$U$501, テーブル定義_一覧!$D$1:$D$501=E$1), E$2, _xlfn.XMATCH($B9, テーブル定義_一覧!$D$1:$Z$1))&amp;""</f>
        <v/>
      </c>
      <c r="F9" s="40" t="str" cm="1">
        <f t="array" aca="1" ref="F9" ca="1">INDEX(_xlfn._xlws.FILTER(テーブル定義_一覧!$D$1:$U$501, テーブル定義_一覧!$D$1:$D$501=F$1), F$2, _xlfn.XMATCH($B9, テーブル定義_一覧!$D$1:$Z$1))&amp;""</f>
        <v/>
      </c>
      <c r="G9" s="40" t="str" cm="1">
        <f t="array" aca="1" ref="G9" ca="1">INDEX(_xlfn._xlws.FILTER(テーブル定義_一覧!$D$1:$U$501, テーブル定義_一覧!$D$1:$D$501=G$1), G$2, _xlfn.XMATCH($B9, テーブル定義_一覧!$D$1:$Z$1))&amp;""</f>
        <v/>
      </c>
      <c r="H9" s="40" t="str" cm="1">
        <f t="array" aca="1" ref="H9" ca="1">INDEX(_xlfn._xlws.FILTER(テーブル定義_一覧!$D$1:$U$501, テーブル定義_一覧!$D$1:$D$501=H$1), H$2, _xlfn.XMATCH($B9, テーブル定義_一覧!$D$1:$Z$1))&amp;""</f>
        <v>x</v>
      </c>
      <c r="I9" s="40" t="str" cm="1">
        <f t="array" aca="1" ref="I9" ca="1">INDEX(_xlfn._xlws.FILTER(テーブル定義_一覧!$D$1:$U$501, テーブル定義_一覧!$D$1:$D$501=I$1), I$2, _xlfn.XMATCH($B9, テーブル定義_一覧!$D$1:$Z$1))&amp;""</f>
        <v>x(PK制約)</v>
      </c>
      <c r="J9" s="40" t="str" cm="1">
        <f t="array" aca="1" ref="J9" ca="1">INDEX(_xlfn._xlws.FILTER(テーブル定義_一覧!$D$1:$U$501, テーブル定義_一覧!$D$1:$D$501=J$1), J$2, _xlfn.XMATCH($B9, テーブル定義_一覧!$D$1:$Z$1))&amp;""</f>
        <v>x</v>
      </c>
      <c r="K9" s="40" t="str" cm="1">
        <f t="array" aca="1" ref="K9" ca="1">INDEX(_xlfn._xlws.FILTER(テーブル定義_一覧!$D$1:$U$501, テーブル定義_一覧!$D$1:$D$501=K$1), K$2, _xlfn.XMATCH($B9, テーブル定義_一覧!$D$1:$Z$1))&amp;""</f>
        <v/>
      </c>
      <c r="L9" s="40" t="str" cm="1">
        <f t="array" aca="1" ref="L9" ca="1">INDEX(_xlfn._xlws.FILTER(テーブル定義_一覧!$D$1:$U$501, テーブル定義_一覧!$D$1:$D$501=L$1), L$2, _xlfn.XMATCH($B9, テーブル定義_一覧!$D$1:$Z$1))&amp;""</f>
        <v/>
      </c>
      <c r="M9" s="40" t="str" cm="1">
        <f t="array" aca="1" ref="M9" ca="1">INDEX(_xlfn._xlws.FILTER(テーブル定義_一覧!$D$1:$U$501, テーブル定義_一覧!$D$1:$D$501=M$1), M$2, _xlfn.XMATCH($B9, テーブル定義_一覧!$D$1:$Z$1))&amp;""</f>
        <v>x(PK制約)</v>
      </c>
      <c r="N9" s="40" t="str" cm="1">
        <f t="array" aca="1" ref="N9" ca="1">INDEX(_xlfn._xlws.FILTER(テーブル定義_一覧!$D$1:$U$501, テーブル定義_一覧!$D$1:$D$501=N$1), N$2, _xlfn.XMATCH($B9, テーブル定義_一覧!$D$1:$Z$1))&amp;""</f>
        <v>x</v>
      </c>
      <c r="O9" s="40" t="str" cm="1">
        <f t="array" aca="1" ref="O9" ca="1">INDEX(_xlfn._xlws.FILTER(テーブル定義_一覧!$D$1:$U$501, テーブル定義_一覧!$D$1:$D$501=O$1), O$2, _xlfn.XMATCH($B9, テーブル定義_一覧!$D$1:$Z$1))&amp;""</f>
        <v/>
      </c>
      <c r="P9" s="40" t="str" cm="1">
        <f t="array" aca="1" ref="P9" ca="1">INDEX(_xlfn._xlws.FILTER(テーブル定義_一覧!$D$1:$U$501, テーブル定義_一覧!$D$1:$D$501=P$1), P$2, _xlfn.XMATCH($B9, テーブル定義_一覧!$D$1:$Z$1))&amp;""</f>
        <v/>
      </c>
      <c r="Q9" s="40" t="str" cm="1">
        <f t="array" aca="1" ref="Q9" ca="1">INDEX(_xlfn._xlws.FILTER(テーブル定義_一覧!$D$1:$U$501, テーブル定義_一覧!$D$1:$D$501=Q$1), Q$2, _xlfn.XMATCH($B9, テーブル定義_一覧!$D$1:$Z$1))&amp;""</f>
        <v>x</v>
      </c>
      <c r="R9" s="40" t="str" cm="1">
        <f t="array" aca="1" ref="R9" ca="1">INDEX(_xlfn._xlws.FILTER(テーブル定義_一覧!$D$1:$U$501, テーブル定義_一覧!$D$1:$D$501=R$1), R$2, _xlfn.XMATCH($B9, テーブル定義_一覧!$D$1:$Z$1))&amp;""</f>
        <v/>
      </c>
      <c r="S9" s="40" t="str" cm="1">
        <f t="array" aca="1" ref="S9" ca="1">INDEX(_xlfn._xlws.FILTER(テーブル定義_一覧!$D$1:$U$501, テーブル定義_一覧!$D$1:$D$501=S$1), S$2, _xlfn.XMATCH($B9, テーブル定義_一覧!$D$1:$Z$1))&amp;""</f>
        <v>x</v>
      </c>
      <c r="T9" s="40" t="str" cm="1">
        <f t="array" aca="1" ref="T9" ca="1">INDEX(_xlfn._xlws.FILTER(テーブル定義_一覧!$D$1:$U$501, テーブル定義_一覧!$D$1:$D$501=T$1), T$2, _xlfn.XMATCH($B9, テーブル定義_一覧!$D$1:$Z$1))&amp;""</f>
        <v>x</v>
      </c>
      <c r="U9" s="40" t="str" cm="1">
        <f t="array" aca="1" ref="U9" ca="1">INDEX(_xlfn._xlws.FILTER(テーブル定義_一覧!$D$1:$U$501, テーブル定義_一覧!$D$1:$D$501=U$1), U$2, _xlfn.XMATCH($B9, テーブル定義_一覧!$D$1:$Z$1))&amp;""</f>
        <v>x</v>
      </c>
      <c r="V9" s="40" t="str" cm="1">
        <f t="array" aca="1" ref="V9" ca="1">INDEX(_xlfn._xlws.FILTER(テーブル定義_一覧!$D$1:$U$501, テーブル定義_一覧!$D$1:$D$501=V$1), V$2, _xlfn.XMATCH($B9, テーブル定義_一覧!$D$1:$Z$1))&amp;""</f>
        <v>x(PK制約)</v>
      </c>
      <c r="W9" s="40" t="str" cm="1">
        <f t="array" aca="1" ref="W9" ca="1">INDEX(_xlfn._xlws.FILTER(テーブル定義_一覧!$D$1:$U$501, テーブル定義_一覧!$D$1:$D$501=W$1), W$2, _xlfn.XMATCH($B9, テーブル定義_一覧!$D$1:$Z$1))&amp;""</f>
        <v>x</v>
      </c>
      <c r="X9" s="40" t="str" cm="1">
        <f t="array" aca="1" ref="X9" ca="1">INDEX(_xlfn._xlws.FILTER(テーブル定義_一覧!$D$1:$U$501, テーブル定義_一覧!$D$1:$D$501=X$1), X$2, _xlfn.XMATCH($B9, テーブル定義_一覧!$D$1:$Z$1))&amp;""</f>
        <v>x(PK制約)</v>
      </c>
      <c r="Y9" s="40" t="str" cm="1">
        <f t="array" aca="1" ref="Y9" ca="1">INDEX(_xlfn._xlws.FILTER(テーブル定義_一覧!$D$1:$U$501, テーブル定義_一覧!$D$1:$D$501=Y$1), Y$2, _xlfn.XMATCH($B9, テーブル定義_一覧!$D$1:$Z$1))&amp;""</f>
        <v>x</v>
      </c>
      <c r="Z9" s="40" t="str" cm="1">
        <f t="array" aca="1" ref="Z9" ca="1">INDEX(_xlfn._xlws.FILTER(テーブル定義_一覧!$D$1:$U$501, テーブル定義_一覧!$D$1:$D$501=Z$1), Z$2, _xlfn.XMATCH($B9, テーブル定義_一覧!$D$1:$Z$1))&amp;""</f>
        <v/>
      </c>
      <c r="AA9" s="40" t="str" cm="1">
        <f t="array" aca="1" ref="AA9" ca="1">INDEX(_xlfn._xlws.FILTER(テーブル定義_一覧!$D$1:$U$501, テーブル定義_一覧!$D$1:$D$501=AA$1), AA$2, _xlfn.XMATCH($B9, テーブル定義_一覧!$D$1:$Z$1))&amp;""</f>
        <v/>
      </c>
      <c r="AB9" s="40" t="str" cm="1">
        <f t="array" aca="1" ref="AB9" ca="1">INDEX(_xlfn._xlws.FILTER(テーブル定義_一覧!$D$1:$U$501, テーブル定義_一覧!$D$1:$D$501=AB$1), AB$2, _xlfn.XMATCH($B9, テーブル定義_一覧!$D$1:$Z$1))&amp;""</f>
        <v>x</v>
      </c>
      <c r="AC9" s="40" t="str" cm="1">
        <f t="array" aca="1" ref="AC9" ca="1">INDEX(_xlfn._xlws.FILTER(テーブル定義_一覧!$D$1:$U$501, テーブル定義_一覧!$D$1:$D$501=AC$1), AC$2, _xlfn.XMATCH($B9, テーブル定義_一覧!$D$1:$Z$1))&amp;""</f>
        <v>x(PK制約)</v>
      </c>
      <c r="AD9" s="40" t="str" cm="1">
        <f t="array" aca="1" ref="AD9" ca="1">INDEX(_xlfn._xlws.FILTER(テーブル定義_一覧!$D$1:$U$501, テーブル定義_一覧!$D$1:$D$501=AD$1), AD$2, _xlfn.XMATCH($B9, テーブル定義_一覧!$D$1:$Z$1))&amp;""</f>
        <v>x</v>
      </c>
      <c r="AE9" s="40" t="str" cm="1">
        <f t="array" aca="1" ref="AE9" ca="1">INDEX(_xlfn._xlws.FILTER(テーブル定義_一覧!$D$1:$U$501, テーブル定義_一覧!$D$1:$D$501=AE$1), AE$2, _xlfn.XMATCH($B9, テーブル定義_一覧!$D$1:$Z$1))&amp;""</f>
        <v>x</v>
      </c>
      <c r="AF9" s="40" t="str" cm="1">
        <f t="array" aca="1" ref="AF9" ca="1">INDEX(_xlfn._xlws.FILTER(テーブル定義_一覧!$D$1:$U$501, テーブル定義_一覧!$D$1:$D$501=AF$1), AF$2, _xlfn.XMATCH($B9, テーブル定義_一覧!$D$1:$Z$1))&amp;""</f>
        <v>x</v>
      </c>
      <c r="AG9" s="40" t="str" cm="1">
        <f t="array" aca="1" ref="AG9" ca="1">INDEX(_xlfn._xlws.FILTER(テーブル定義_一覧!$D$1:$U$501, テーブル定義_一覧!$D$1:$D$501=AG$1), AG$2, _xlfn.XMATCH($B9, テーブル定義_一覧!$D$1:$Z$1))&amp;""</f>
        <v>x</v>
      </c>
      <c r="AH9" s="40" t="str" cm="1">
        <f t="array" aca="1" ref="AH9" ca="1">INDEX(_xlfn._xlws.FILTER(テーブル定義_一覧!$D$1:$U$501, テーブル定義_一覧!$D$1:$D$501=AH$1), AH$2, _xlfn.XMATCH($B9, テーブル定義_一覧!$D$1:$Z$1))&amp;""</f>
        <v>x(PK制約)</v>
      </c>
      <c r="AI9" s="40" t="str" cm="1">
        <f t="array" aca="1" ref="AI9" ca="1">INDEX(_xlfn._xlws.FILTER(テーブル定義_一覧!$D$1:$U$501, テーブル定義_一覧!$D$1:$D$501=AI$1), AI$2, _xlfn.XMATCH($B9, テーブル定義_一覧!$D$1:$Z$1))&amp;""</f>
        <v>x</v>
      </c>
      <c r="AJ9" s="40" t="str" cm="1">
        <f t="array" aca="1" ref="AJ9" ca="1">INDEX(_xlfn._xlws.FILTER(テーブル定義_一覧!$D$1:$U$501, テーブル定義_一覧!$D$1:$D$501=AJ$1), AJ$2, _xlfn.XMATCH($B9, テーブル定義_一覧!$D$1:$Z$1))&amp;""</f>
        <v>x</v>
      </c>
      <c r="AK9" s="40" t="str" cm="1">
        <f t="array" aca="1" ref="AK9" ca="1">INDEX(_xlfn._xlws.FILTER(テーブル定義_一覧!$D$1:$U$501, テーブル定義_一覧!$D$1:$D$501=AK$1), AK$2, _xlfn.XMATCH($B9, テーブル定義_一覧!$D$1:$Z$1))&amp;""</f>
        <v/>
      </c>
      <c r="AL9" s="40" t="str" cm="1">
        <f t="array" aca="1" ref="AL9" ca="1">INDEX(_xlfn._xlws.FILTER(テーブル定義_一覧!$D$1:$U$501, テーブル定義_一覧!$D$1:$D$501=AL$1), AL$2, _xlfn.XMATCH($B9, テーブル定義_一覧!$D$1:$Z$1))&amp;""</f>
        <v/>
      </c>
      <c r="AM9" s="40" t="str" cm="1">
        <f t="array" aca="1" ref="AM9" ca="1">INDEX(_xlfn._xlws.FILTER(テーブル定義_一覧!$D$1:$U$501, テーブル定義_一覧!$D$1:$D$501=AM$1), AM$2, _xlfn.XMATCH($B9, テーブル定義_一覧!$D$1:$Z$1))&amp;""</f>
        <v>x</v>
      </c>
      <c r="AN9" s="40" t="str" cm="1">
        <f t="array" aca="1" ref="AN9" ca="1">INDEX(_xlfn._xlws.FILTER(テーブル定義_一覧!$D$1:$U$501, テーブル定義_一覧!$D$1:$D$501=AN$1), AN$2, _xlfn.XMATCH($B9, テーブル定義_一覧!$D$1:$Z$1))&amp;""</f>
        <v>x</v>
      </c>
      <c r="AO9" s="40" t="str" cm="1">
        <f t="array" aca="1" ref="AO9" ca="1">INDEX(_xlfn._xlws.FILTER(テーブル定義_一覧!$D$1:$U$501, テーブル定義_一覧!$D$1:$D$501=AO$1), AO$2, _xlfn.XMATCH($B9, テーブル定義_一覧!$D$1:$Z$1))&amp;""</f>
        <v>x</v>
      </c>
      <c r="AP9" s="40" t="str" cm="1">
        <f t="array" aca="1" ref="AP9" ca="1">INDEX(_xlfn._xlws.FILTER(テーブル定義_一覧!$D$1:$U$501, テーブル定義_一覧!$D$1:$D$501=AP$1), AP$2, _xlfn.XMATCH($B9, テーブル定義_一覧!$D$1:$Z$1))&amp;""</f>
        <v>x(PK制約)</v>
      </c>
      <c r="AQ9" s="40" t="str" cm="1">
        <f t="array" aca="1" ref="AQ9" ca="1">INDEX(_xlfn._xlws.FILTER(テーブル定義_一覧!$D$1:$U$501, テーブル定義_一覧!$D$1:$D$501=AQ$1), AQ$2, _xlfn.XMATCH($B9, テーブル定義_一覧!$D$1:$Z$1))&amp;""</f>
        <v>x</v>
      </c>
      <c r="AR9" s="40" t="str" cm="1">
        <f t="array" aca="1" ref="AR9" ca="1">INDEX(_xlfn._xlws.FILTER(テーブル定義_一覧!$D$1:$U$501, テーブル定義_一覧!$D$1:$D$501=AR$1), AR$2, _xlfn.XMATCH($B9, テーブル定義_一覧!$D$1:$Z$1))&amp;""</f>
        <v>x</v>
      </c>
      <c r="AS9" s="40" t="str" cm="1">
        <f t="array" aca="1" ref="AS9" ca="1">INDEX(_xlfn._xlws.FILTER(テーブル定義_一覧!$D$1:$U$501, テーブル定義_一覧!$D$1:$D$501=AS$1), AS$2, _xlfn.XMATCH($B9, テーブル定義_一覧!$D$1:$Z$1))&amp;""</f>
        <v>x</v>
      </c>
      <c r="AT9" s="40" t="str" cm="1">
        <f t="array" aca="1" ref="AT9" ca="1">INDEX(_xlfn._xlws.FILTER(テーブル定義_一覧!$D$1:$U$501, テーブル定義_一覧!$D$1:$D$501=AT$1), AT$2, _xlfn.XMATCH($B9, テーブル定義_一覧!$D$1:$Z$1))&amp;""</f>
        <v/>
      </c>
      <c r="AU9" s="40" t="str" cm="1">
        <f t="array" aca="1" ref="AU9" ca="1">INDEX(_xlfn._xlws.FILTER(テーブル定義_一覧!$D$1:$U$501, テーブル定義_一覧!$D$1:$D$501=AU$1), AU$2, _xlfn.XMATCH($B9, テーブル定義_一覧!$D$1:$Z$1))&amp;""</f>
        <v/>
      </c>
      <c r="AV9" s="40" t="str" cm="1">
        <f t="array" aca="1" ref="AV9" ca="1">INDEX(_xlfn._xlws.FILTER(テーブル定義_一覧!$D$1:$U$501, テーブル定義_一覧!$D$1:$D$501=AV$1), AV$2, _xlfn.XMATCH($B9, テーブル定義_一覧!$D$1:$Z$1))&amp;""</f>
        <v>x(PK制約)</v>
      </c>
      <c r="AW9" s="40" t="str" cm="1">
        <f t="array" aca="1" ref="AW9" ca="1">INDEX(_xlfn._xlws.FILTER(テーブル定義_一覧!$D$1:$U$501, テーブル定義_一覧!$D$1:$D$501=AW$1), AW$2, _xlfn.XMATCH($B9, テーブル定義_一覧!$D$1:$Z$1))&amp;""</f>
        <v/>
      </c>
      <c r="AX9" s="40" t="str" cm="1">
        <f t="array" aca="1" ref="AX9" ca="1">INDEX(_xlfn._xlws.FILTER(テーブル定義_一覧!$D$1:$U$501, テーブル定義_一覧!$D$1:$D$501=AX$1), AX$2, _xlfn.XMATCH($B9, テーブル定義_一覧!$D$1:$Z$1))&amp;""</f>
        <v>x</v>
      </c>
      <c r="AY9" s="40" t="str" cm="1">
        <f t="array" aca="1" ref="AY9" ca="1">INDEX(_xlfn._xlws.FILTER(テーブル定義_一覧!$D$1:$U$501, テーブル定義_一覧!$D$1:$D$501=AY$1), AY$2, _xlfn.XMATCH($B9, テーブル定義_一覧!$D$1:$Z$1))&amp;""</f>
        <v>x</v>
      </c>
      <c r="AZ9" s="40" t="str" cm="1">
        <f t="array" aca="1" ref="AZ9" ca="1">INDEX(_xlfn._xlws.FILTER(テーブル定義_一覧!$D$1:$U$501, テーブル定義_一覧!$D$1:$D$501=AZ$1), AZ$2, _xlfn.XMATCH($B9, テーブル定義_一覧!$D$1:$Z$1))&amp;""</f>
        <v>x</v>
      </c>
      <c r="BA9" s="40" t="str" cm="1">
        <f t="array" aca="1" ref="BA9" ca="1">INDEX(_xlfn._xlws.FILTER(テーブル定義_一覧!$D$1:$U$501, テーブル定義_一覧!$D$1:$D$501=BA$1), BA$2, _xlfn.XMATCH($B9, テーブル定義_一覧!$D$1:$Z$1))&amp;""</f>
        <v>x</v>
      </c>
      <c r="BB9" s="40" t="str" cm="1">
        <f t="array" aca="1" ref="BB9" ca="1">INDEX(_xlfn._xlws.FILTER(テーブル定義_一覧!$D$1:$U$501, テーブル定義_一覧!$D$1:$D$501=BB$1), BB$2, _xlfn.XMATCH($B9, テーブル定義_一覧!$D$1:$Z$1))&amp;""</f>
        <v>x(PK制約)</v>
      </c>
      <c r="BC9" s="40" t="str" cm="1">
        <f t="array" aca="1" ref="BC9" ca="1">INDEX(_xlfn._xlws.FILTER(テーブル定義_一覧!$D$1:$U$501, テーブル定義_一覧!$D$1:$D$501=BC$1), BC$2, _xlfn.XMATCH($B9, テーブル定義_一覧!$D$1:$Z$1))&amp;""</f>
        <v>x</v>
      </c>
      <c r="BD9" s="40" t="str" cm="1">
        <f t="array" aca="1" ref="BD9" ca="1">INDEX(_xlfn._xlws.FILTER(テーブル定義_一覧!$D$1:$U$501, テーブル定義_一覧!$D$1:$D$501=BD$1), BD$2, _xlfn.XMATCH($B9, テーブル定義_一覧!$D$1:$Z$1))&amp;""</f>
        <v>x</v>
      </c>
      <c r="BE9" s="40" t="str" cm="1">
        <f t="array" aca="1" ref="BE9" ca="1">INDEX(_xlfn._xlws.FILTER(テーブル定義_一覧!$D$1:$U$501, テーブル定義_一覧!$D$1:$D$501=BE$1), BE$2, _xlfn.XMATCH($B9, テーブル定義_一覧!$D$1:$Z$1))&amp;""</f>
        <v>x</v>
      </c>
      <c r="BF9" s="40" t="str" cm="1">
        <f t="array" aca="1" ref="BF9" ca="1">INDEX(_xlfn._xlws.FILTER(テーブル定義_一覧!$D$1:$U$501, テーブル定義_一覧!$D$1:$D$501=BF$1), BF$2, _xlfn.XMATCH($B9, テーブル定義_一覧!$D$1:$Z$1))&amp;""</f>
        <v/>
      </c>
      <c r="BG9" s="40" t="str" cm="1">
        <f t="array" aca="1" ref="BG9" ca="1">INDEX(_xlfn._xlws.FILTER(テーブル定義_一覧!$D$1:$U$501, テーブル定義_一覧!$D$1:$D$501=BG$1), BG$2, _xlfn.XMATCH($B9, テーブル定義_一覧!$D$1:$Z$1))&amp;""</f>
        <v/>
      </c>
      <c r="BH9" s="40" t="str" cm="1">
        <f t="array" aca="1" ref="BH9" ca="1">INDEX(_xlfn._xlws.FILTER(テーブル定義_一覧!$D$1:$U$501, テーブル定義_一覧!$D$1:$D$501=BH$1), BH$2, _xlfn.XMATCH($B9, テーブル定義_一覧!$D$1:$Z$1))&amp;""</f>
        <v/>
      </c>
      <c r="BI9" s="40" t="str" cm="1">
        <f t="array" aca="1" ref="BI9" ca="1">INDEX(_xlfn._xlws.FILTER(テーブル定義_一覧!$D$1:$U$501, テーブル定義_一覧!$D$1:$D$501=BI$1), BI$2, _xlfn.XMATCH($B9, テーブル定義_一覧!$D$1:$Z$1))&amp;""</f>
        <v/>
      </c>
      <c r="BJ9" s="40" t="str" cm="1">
        <f t="array" aca="1" ref="BJ9" ca="1">INDEX(_xlfn._xlws.FILTER(テーブル定義_一覧!$D$1:$U$501, テーブル定義_一覧!$D$1:$D$501=BJ$1), BJ$2, _xlfn.XMATCH($B9, テーブル定義_一覧!$D$1:$Z$1))&amp;""</f>
        <v/>
      </c>
      <c r="BK9" s="40" t="str" cm="1">
        <f t="array" aca="1" ref="BK9" ca="1">INDEX(_xlfn._xlws.FILTER(テーブル定義_一覧!$D$1:$U$501, テーブル定義_一覧!$D$1:$D$501=BK$1), BK$2, _xlfn.XMATCH($B9, テーブル定義_一覧!$D$1:$Z$1))&amp;""</f>
        <v/>
      </c>
      <c r="BL9" s="40" t="str" cm="1">
        <f t="array" aca="1" ref="BL9" ca="1">INDEX(_xlfn._xlws.FILTER(テーブル定義_一覧!$D$1:$U$501, テーブル定義_一覧!$D$1:$D$501=BL$1), BL$2, _xlfn.XMATCH($B9, テーブル定義_一覧!$D$1:$Z$1))&amp;""</f>
        <v>x(PK制約)</v>
      </c>
      <c r="BM9" s="40" t="str" cm="1">
        <f t="array" aca="1" ref="BM9" ca="1">INDEX(_xlfn._xlws.FILTER(テーブル定義_一覧!$D$1:$U$501, テーブル定義_一覧!$D$1:$D$501=BM$1), BM$2, _xlfn.XMATCH($B9, テーブル定義_一覧!$D$1:$Z$1))&amp;""</f>
        <v>x</v>
      </c>
      <c r="BN9" s="40" t="str" cm="1">
        <f t="array" aca="1" ref="BN9" ca="1">INDEX(_xlfn._xlws.FILTER(テーブル定義_一覧!$D$1:$U$501, テーブル定義_一覧!$D$1:$D$501=BN$1), BN$2, _xlfn.XMATCH($B9, テーブル定義_一覧!$D$1:$Z$1))&amp;""</f>
        <v>x</v>
      </c>
      <c r="BO9" s="40" t="str" cm="1">
        <f t="array" aca="1" ref="BO9" ca="1">INDEX(_xlfn._xlws.FILTER(テーブル定義_一覧!$D$1:$U$501, テーブル定義_一覧!$D$1:$D$501=BO$1), BO$2, _xlfn.XMATCH($B9, テーブル定義_一覧!$D$1:$Z$1))&amp;""</f>
        <v>x</v>
      </c>
      <c r="BP9" s="40" t="str" cm="1">
        <f t="array" aca="1" ref="BP9" ca="1">INDEX(_xlfn._xlws.FILTER(テーブル定義_一覧!$D$1:$U$501, テーブル定義_一覧!$D$1:$D$501=BP$1), BP$2, _xlfn.XMATCH($B9, テーブル定義_一覧!$D$1:$Z$1))&amp;""</f>
        <v>x</v>
      </c>
      <c r="BQ9" s="40" t="str" cm="1">
        <f t="array" aca="1" ref="BQ9" ca="1">INDEX(_xlfn._xlws.FILTER(テーブル定義_一覧!$D$1:$U$501, テーブル定義_一覧!$D$1:$D$501=BQ$1), BQ$2, _xlfn.XMATCH($B9, テーブル定義_一覧!$D$1:$Z$1))&amp;""</f>
        <v>x(PK制約)</v>
      </c>
      <c r="BR9" s="40" t="str" cm="1">
        <f t="array" aca="1" ref="BR9" ca="1">INDEX(_xlfn._xlws.FILTER(テーブル定義_一覧!$D$1:$U$501, テーブル定義_一覧!$D$1:$D$501=BR$1), BR$2, _xlfn.XMATCH($B9, テーブル定義_一覧!$D$1:$Z$1))&amp;""</f>
        <v>x</v>
      </c>
      <c r="BS9" s="40" t="str" cm="1">
        <f t="array" aca="1" ref="BS9" ca="1">INDEX(_xlfn._xlws.FILTER(テーブル定義_一覧!$D$1:$U$501, テーブル定義_一覧!$D$1:$D$501=BS$1), BS$2, _xlfn.XMATCH($B9, テーブル定義_一覧!$D$1:$Z$1))&amp;""</f>
        <v>x</v>
      </c>
      <c r="BT9" s="40" t="str" cm="1">
        <f t="array" aca="1" ref="BT9" ca="1">INDEX(_xlfn._xlws.FILTER(テーブル定義_一覧!$D$1:$U$501, テーブル定義_一覧!$D$1:$D$501=BT$1), BT$2, _xlfn.XMATCH($B9, テーブル定義_一覧!$D$1:$Z$1))&amp;""</f>
        <v>x(PK制約)</v>
      </c>
      <c r="BU9" s="40" t="str" cm="1">
        <f t="array" aca="1" ref="BU9" ca="1">INDEX(_xlfn._xlws.FILTER(テーブル定義_一覧!$D$1:$U$501, テーブル定義_一覧!$D$1:$D$501=BU$1), BU$2, _xlfn.XMATCH($B9, テーブル定義_一覧!$D$1:$Z$1))&amp;""</f>
        <v>x</v>
      </c>
      <c r="BV9" s="40" t="str" cm="1">
        <f t="array" aca="1" ref="BV9" ca="1">INDEX(_xlfn._xlws.FILTER(テーブル定義_一覧!$D$1:$U$501, テーブル定義_一覧!$D$1:$D$501=BV$1), BV$2, _xlfn.XMATCH($B9, テーブル定義_一覧!$D$1:$Z$1))&amp;""</f>
        <v>x</v>
      </c>
      <c r="BW9" s="40" t="str" cm="1">
        <f t="array" aca="1" ref="BW9" ca="1">INDEX(_xlfn._xlws.FILTER(テーブル定義_一覧!$D$1:$U$501, テーブル定義_一覧!$D$1:$D$501=BW$1), BW$2, _xlfn.XMATCH($B9, テーブル定義_一覧!$D$1:$Z$1))&amp;""</f>
        <v>x</v>
      </c>
      <c r="BX9" s="40" t="str" cm="1">
        <f t="array" aca="1" ref="BX9" ca="1">INDEX(_xlfn._xlws.FILTER(テーブル定義_一覧!$D$1:$U$501, テーブル定義_一覧!$D$1:$D$501=BX$1), BX$2, _xlfn.XMATCH($B9, テーブル定義_一覧!$D$1:$Z$1))&amp;""</f>
        <v>x(PK制約)</v>
      </c>
      <c r="BY9" s="40" t="str" cm="1">
        <f t="array" aca="1" ref="BY9" ca="1">INDEX(_xlfn._xlws.FILTER(テーブル定義_一覧!$D$1:$U$501, テーブル定義_一覧!$D$1:$D$501=BY$1), BY$2, _xlfn.XMATCH($B9, テーブル定義_一覧!$D$1:$Z$1))&amp;""</f>
        <v>x</v>
      </c>
      <c r="BZ9" s="40" t="str" cm="1">
        <f t="array" aca="1" ref="BZ9" ca="1">INDEX(_xlfn._xlws.FILTER(テーブル定義_一覧!$D$1:$U$501, テーブル定義_一覧!$D$1:$D$501=BZ$1), BZ$2, _xlfn.XMATCH($B9, テーブル定義_一覧!$D$1:$Z$1))&amp;""</f>
        <v>x</v>
      </c>
      <c r="CA9" s="40" t="str" cm="1">
        <f t="array" aca="1" ref="CA9" ca="1">INDEX(_xlfn._xlws.FILTER(テーブル定義_一覧!$D$1:$U$501, テーブル定義_一覧!$D$1:$D$501=CA$1), CA$2, _xlfn.XMATCH($B9, テーブル定義_一覧!$D$1:$Z$1))&amp;""</f>
        <v>x</v>
      </c>
      <c r="CB9" s="40" t="str" cm="1">
        <f t="array" aca="1" ref="CB9" ca="1">INDEX(_xlfn._xlws.FILTER(テーブル定義_一覧!$D$1:$U$501, テーブル定義_一覧!$D$1:$D$501=CB$1), CB$2, _xlfn.XMATCH($B9, テーブル定義_一覧!$D$1:$Z$1))&amp;""</f>
        <v/>
      </c>
      <c r="CC9" s="40" t="str" cm="1">
        <f t="array" aca="1" ref="CC9" ca="1">INDEX(_xlfn._xlws.FILTER(テーブル定義_一覧!$D$1:$U$501, テーブル定義_一覧!$D$1:$D$501=CC$1), CC$2, _xlfn.XMATCH($B9, テーブル定義_一覧!$D$1:$Z$1))&amp;""</f>
        <v/>
      </c>
      <c r="CD9" s="40" t="str" cm="1">
        <f t="array" aca="1" ref="CD9" ca="1">INDEX(_xlfn._xlws.FILTER(テーブル定義_一覧!$D$1:$U$501, テーブル定義_一覧!$D$1:$D$501=CD$1), CD$2, _xlfn.XMATCH($B9, テーブル定義_一覧!$D$1:$Z$1))&amp;""</f>
        <v/>
      </c>
      <c r="CE9" s="40" t="str" cm="1">
        <f t="array" aca="1" ref="CE9" ca="1">INDEX(_xlfn._xlws.FILTER(テーブル定義_一覧!$D$1:$U$501, テーブル定義_一覧!$D$1:$D$501=CE$1), CE$2, _xlfn.XMATCH($B9, テーブル定義_一覧!$D$1:$Z$1))&amp;""</f>
        <v/>
      </c>
      <c r="CF9" s="40" t="str" cm="1">
        <f t="array" aca="1" ref="CF9" ca="1">INDEX(_xlfn._xlws.FILTER(テーブル定義_一覧!$D$1:$U$501, テーブル定義_一覧!$D$1:$D$501=CF$1), CF$2, _xlfn.XMATCH($B9, テーブル定義_一覧!$D$1:$Z$1))&amp;""</f>
        <v/>
      </c>
      <c r="CG9" s="40" t="str" cm="1">
        <f t="array" aca="1" ref="CG9" ca="1">INDEX(_xlfn._xlws.FILTER(テーブル定義_一覧!$D$1:$U$501, テーブル定義_一覧!$D$1:$D$501=CG$1), CG$2, _xlfn.XMATCH($B9, テーブル定義_一覧!$D$1:$Z$1))&amp;""</f>
        <v/>
      </c>
      <c r="CH9" s="40" t="str" cm="1">
        <f t="array" aca="1" ref="CH9" ca="1">INDEX(_xlfn._xlws.FILTER(テーブル定義_一覧!$D$1:$U$501, テーブル定義_一覧!$D$1:$D$501=CH$1), CH$2, _xlfn.XMATCH($B9, テーブル定義_一覧!$D$1:$Z$1))&amp;""</f>
        <v/>
      </c>
      <c r="CI9" s="40" t="str" cm="1">
        <f t="array" aca="1" ref="CI9" ca="1">INDEX(_xlfn._xlws.FILTER(テーブル定義_一覧!$D$1:$U$501, テーブル定義_一覧!$D$1:$D$501=CI$1), CI$2, _xlfn.XMATCH($B9, テーブル定義_一覧!$D$1:$Z$1))&amp;""</f>
        <v/>
      </c>
      <c r="CJ9" s="40" t="str" cm="1">
        <f t="array" aca="1" ref="CJ9" ca="1">INDEX(_xlfn._xlws.FILTER(テーブル定義_一覧!$D$1:$U$501, テーブル定義_一覧!$D$1:$D$501=CJ$1), CJ$2, _xlfn.XMATCH($B9, テーブル定義_一覧!$D$1:$Z$1))&amp;""</f>
        <v/>
      </c>
      <c r="CK9" s="40" t="str" cm="1">
        <f t="array" aca="1" ref="CK9" ca="1">INDEX(_xlfn._xlws.FILTER(テーブル定義_一覧!$D$1:$U$501, テーブル定義_一覧!$D$1:$D$501=CK$1), CK$2, _xlfn.XMATCH($B9, テーブル定義_一覧!$D$1:$Z$1))&amp;""</f>
        <v/>
      </c>
      <c r="CL9" s="40" t="str" cm="1">
        <f t="array" aca="1" ref="CL9" ca="1">INDEX(_xlfn._xlws.FILTER(テーブル定義_一覧!$D$1:$U$501, テーブル定義_一覧!$D$1:$D$501=CL$1), CL$2, _xlfn.XMATCH($B9, テーブル定義_一覧!$D$1:$Z$1))&amp;""</f>
        <v/>
      </c>
      <c r="CM9" s="40" t="str" cm="1">
        <f t="array" aca="1" ref="CM9" ca="1">INDEX(_xlfn._xlws.FILTER(テーブル定義_一覧!$D$1:$U$501, テーブル定義_一覧!$D$1:$D$501=CM$1), CM$2, _xlfn.XMATCH($B9, テーブル定義_一覧!$D$1:$Z$1))&amp;""</f>
        <v/>
      </c>
      <c r="CN9" s="40" t="str" cm="1">
        <f t="array" aca="1" ref="CN9" ca="1">INDEX(_xlfn._xlws.FILTER(テーブル定義_一覧!$D$1:$U$501, テーブル定義_一覧!$D$1:$D$501=CN$1), CN$2, _xlfn.XMATCH($B9, テーブル定義_一覧!$D$1:$Z$1))&amp;""</f>
        <v>x(PK制約)</v>
      </c>
      <c r="CO9" s="40" t="str" cm="1">
        <f t="array" aca="1" ref="CO9" ca="1">INDEX(_xlfn._xlws.FILTER(テーブル定義_一覧!$D$1:$U$501, テーブル定義_一覧!$D$1:$D$501=CO$1), CO$2, _xlfn.XMATCH($B9, テーブル定義_一覧!$D$1:$Z$1))&amp;""</f>
        <v>x</v>
      </c>
      <c r="CP9" s="40" t="str" cm="1">
        <f t="array" aca="1" ref="CP9" ca="1">INDEX(_xlfn._xlws.FILTER(テーブル定義_一覧!$D$1:$U$501, テーブル定義_一覧!$D$1:$D$501=CP$1), CP$2, _xlfn.XMATCH($B9, テーブル定義_一覧!$D$1:$Z$1))&amp;""</f>
        <v>x</v>
      </c>
      <c r="CQ9" s="40" t="str" cm="1">
        <f t="array" aca="1" ref="CQ9" ca="1">INDEX(_xlfn._xlws.FILTER(テーブル定義_一覧!$D$1:$U$501, テーブル定義_一覧!$D$1:$D$501=CQ$1), CQ$2, _xlfn.XMATCH($B9, テーブル定義_一覧!$D$1:$Z$1))&amp;""</f>
        <v>x(PK制約)</v>
      </c>
      <c r="CR9" s="40" t="str" cm="1">
        <f t="array" aca="1" ref="CR9" ca="1">INDEX(_xlfn._xlws.FILTER(テーブル定義_一覧!$D$1:$U$501, テーブル定義_一覧!$D$1:$D$501=CR$1), CR$2, _xlfn.XMATCH($B9, テーブル定義_一覧!$D$1:$Z$1))&amp;""</f>
        <v>x</v>
      </c>
      <c r="CS9" s="34" t="str" cm="1">
        <f t="array" aca="1" ref="CS9" ca="1">INDEX(_xlfn._xlws.FILTER(テーブル定義_一覧!$D$1:$U$501, テーブル定義_一覧!$D$1:$D$501=CS$1), CS$2, _xlfn.XMATCH($B9, テーブル定義_一覧!$D$1:$Z$1))&amp;""</f>
        <v>x</v>
      </c>
    </row>
    <row r="10" spans="1:97" outlineLevel="2">
      <c r="A10" s="79"/>
      <c r="B10" s="21" t="s">
        <v>41</v>
      </c>
      <c r="C10" s="49" t="str" cm="1">
        <f t="array" aca="1" ref="C10" ca="1">INDEX(_xlfn._xlws.FILTER(テーブル定義_一覧!$D$1:$U$501, テーブル定義_一覧!$D$1:$D$501=C$1), C$2, _xlfn.XMATCH($B10, テーブル定義_一覧!$D$1:$Z$1))&amp;""</f>
        <v>x(PK制約)</v>
      </c>
      <c r="D10" s="40" t="str" cm="1">
        <f t="array" aca="1" ref="D10" ca="1">INDEX(_xlfn._xlws.FILTER(テーブル定義_一覧!$D$1:$U$501, テーブル定義_一覧!$D$1:$D$501=D$1), D$2, _xlfn.XMATCH($B10, テーブル定義_一覧!$D$1:$Z$1))&amp;""</f>
        <v>x</v>
      </c>
      <c r="E10" s="40" t="str" cm="1">
        <f t="array" aca="1" ref="E10" ca="1">INDEX(_xlfn._xlws.FILTER(テーブル定義_一覧!$D$1:$U$501, テーブル定義_一覧!$D$1:$D$501=E$1), E$2, _xlfn.XMATCH($B10, テーブル定義_一覧!$D$1:$Z$1))&amp;""</f>
        <v/>
      </c>
      <c r="F10" s="40" t="str" cm="1">
        <f t="array" aca="1" ref="F10" ca="1">INDEX(_xlfn._xlws.FILTER(テーブル定義_一覧!$D$1:$U$501, テーブル定義_一覧!$D$1:$D$501=F$1), F$2, _xlfn.XMATCH($B10, テーブル定義_一覧!$D$1:$Z$1))&amp;""</f>
        <v/>
      </c>
      <c r="G10" s="40" t="str" cm="1">
        <f t="array" aca="1" ref="G10" ca="1">INDEX(_xlfn._xlws.FILTER(テーブル定義_一覧!$D$1:$U$501, テーブル定義_一覧!$D$1:$D$501=G$1), G$2, _xlfn.XMATCH($B10, テーブル定義_一覧!$D$1:$Z$1))&amp;""</f>
        <v/>
      </c>
      <c r="H10" s="40" t="str" cm="1">
        <f t="array" aca="1" ref="H10" ca="1">INDEX(_xlfn._xlws.FILTER(テーブル定義_一覧!$D$1:$U$501, テーブル定義_一覧!$D$1:$D$501=H$1), H$2, _xlfn.XMATCH($B10, テーブル定義_一覧!$D$1:$Z$1))&amp;""</f>
        <v/>
      </c>
      <c r="I10" s="40" t="str" cm="1">
        <f t="array" aca="1" ref="I10" ca="1">INDEX(_xlfn._xlws.FILTER(テーブル定義_一覧!$D$1:$U$501, テーブル定義_一覧!$D$1:$D$501=I$1), I$2, _xlfn.XMATCH($B10, テーブル定義_一覧!$D$1:$Z$1))&amp;""</f>
        <v>x(PK制約)</v>
      </c>
      <c r="J10" s="40" t="str" cm="1">
        <f t="array" aca="1" ref="J10" ca="1">INDEX(_xlfn._xlws.FILTER(テーブル定義_一覧!$D$1:$U$501, テーブル定義_一覧!$D$1:$D$501=J$1), J$2, _xlfn.XMATCH($B10, テーブル定義_一覧!$D$1:$Z$1))&amp;""</f>
        <v>x</v>
      </c>
      <c r="K10" s="40" t="str" cm="1">
        <f t="array" aca="1" ref="K10" ca="1">INDEX(_xlfn._xlws.FILTER(テーブル定義_一覧!$D$1:$U$501, テーブル定義_一覧!$D$1:$D$501=K$1), K$2, _xlfn.XMATCH($B10, テーブル定義_一覧!$D$1:$Z$1))&amp;""</f>
        <v/>
      </c>
      <c r="L10" s="40" t="str" cm="1">
        <f t="array" aca="1" ref="L10" ca="1">INDEX(_xlfn._xlws.FILTER(テーブル定義_一覧!$D$1:$U$501, テーブル定義_一覧!$D$1:$D$501=L$1), L$2, _xlfn.XMATCH($B10, テーブル定義_一覧!$D$1:$Z$1))&amp;""</f>
        <v/>
      </c>
      <c r="M10" s="40" t="str" cm="1">
        <f t="array" aca="1" ref="M10" ca="1">INDEX(_xlfn._xlws.FILTER(テーブル定義_一覧!$D$1:$U$501, テーブル定義_一覧!$D$1:$D$501=M$1), M$2, _xlfn.XMATCH($B10, テーブル定義_一覧!$D$1:$Z$1))&amp;""</f>
        <v>x(PK制約)</v>
      </c>
      <c r="N10" s="40" t="str" cm="1">
        <f t="array" aca="1" ref="N10" ca="1">INDEX(_xlfn._xlws.FILTER(テーブル定義_一覧!$D$1:$U$501, テーブル定義_一覧!$D$1:$D$501=N$1), N$2, _xlfn.XMATCH($B10, テーブル定義_一覧!$D$1:$Z$1))&amp;""</f>
        <v>x</v>
      </c>
      <c r="O10" s="40" t="str" cm="1">
        <f t="array" aca="1" ref="O10" ca="1">INDEX(_xlfn._xlws.FILTER(テーブル定義_一覧!$D$1:$U$501, テーブル定義_一覧!$D$1:$D$501=O$1), O$2, _xlfn.XMATCH($B10, テーブル定義_一覧!$D$1:$Z$1))&amp;""</f>
        <v/>
      </c>
      <c r="P10" s="40" t="str" cm="1">
        <f t="array" aca="1" ref="P10" ca="1">INDEX(_xlfn._xlws.FILTER(テーブル定義_一覧!$D$1:$U$501, テーブル定義_一覧!$D$1:$D$501=P$1), P$2, _xlfn.XMATCH($B10, テーブル定義_一覧!$D$1:$Z$1))&amp;""</f>
        <v/>
      </c>
      <c r="Q10" s="40" t="str" cm="1">
        <f t="array" aca="1" ref="Q10" ca="1">INDEX(_xlfn._xlws.FILTER(テーブル定義_一覧!$D$1:$U$501, テーブル定義_一覧!$D$1:$D$501=Q$1), Q$2, _xlfn.XMATCH($B10, テーブル定義_一覧!$D$1:$Z$1))&amp;""</f>
        <v/>
      </c>
      <c r="R10" s="40" t="str" cm="1">
        <f t="array" aca="1" ref="R10" ca="1">INDEX(_xlfn._xlws.FILTER(テーブル定義_一覧!$D$1:$U$501, テーブル定義_一覧!$D$1:$D$501=R$1), R$2, _xlfn.XMATCH($B10, テーブル定義_一覧!$D$1:$Z$1))&amp;""</f>
        <v/>
      </c>
      <c r="S10" s="40" t="str" cm="1">
        <f t="array" aca="1" ref="S10" ca="1">INDEX(_xlfn._xlws.FILTER(テーブル定義_一覧!$D$1:$U$501, テーブル定義_一覧!$D$1:$D$501=S$1), S$2, _xlfn.XMATCH($B10, テーブル定義_一覧!$D$1:$Z$1))&amp;""</f>
        <v/>
      </c>
      <c r="T10" s="40" t="str" cm="1">
        <f t="array" aca="1" ref="T10" ca="1">INDEX(_xlfn._xlws.FILTER(テーブル定義_一覧!$D$1:$U$501, テーブル定義_一覧!$D$1:$D$501=T$1), T$2, _xlfn.XMATCH($B10, テーブル定義_一覧!$D$1:$Z$1))&amp;""</f>
        <v/>
      </c>
      <c r="U10" s="40" t="str" cm="1">
        <f t="array" aca="1" ref="U10" ca="1">INDEX(_xlfn._xlws.FILTER(テーブル定義_一覧!$D$1:$U$501, テーブル定義_一覧!$D$1:$D$501=U$1), U$2, _xlfn.XMATCH($B10, テーブル定義_一覧!$D$1:$Z$1))&amp;""</f>
        <v/>
      </c>
      <c r="V10" s="40" t="str" cm="1">
        <f t="array" aca="1" ref="V10" ca="1">INDEX(_xlfn._xlws.FILTER(テーブル定義_一覧!$D$1:$U$501, テーブル定義_一覧!$D$1:$D$501=V$1), V$2, _xlfn.XMATCH($B10, テーブル定義_一覧!$D$1:$Z$1))&amp;""</f>
        <v>x(PK制約)</v>
      </c>
      <c r="W10" s="40" t="str" cm="1">
        <f t="array" aca="1" ref="W10" ca="1">INDEX(_xlfn._xlws.FILTER(テーブル定義_一覧!$D$1:$U$501, テーブル定義_一覧!$D$1:$D$501=W$1), W$2, _xlfn.XMATCH($B10, テーブル定義_一覧!$D$1:$Z$1))&amp;""</f>
        <v>x</v>
      </c>
      <c r="X10" s="40" t="str" cm="1">
        <f t="array" aca="1" ref="X10" ca="1">INDEX(_xlfn._xlws.FILTER(テーブル定義_一覧!$D$1:$U$501, テーブル定義_一覧!$D$1:$D$501=X$1), X$2, _xlfn.XMATCH($B10, テーブル定義_一覧!$D$1:$Z$1))&amp;""</f>
        <v>x(PK制約)</v>
      </c>
      <c r="Y10" s="40" t="str" cm="1">
        <f t="array" aca="1" ref="Y10" ca="1">INDEX(_xlfn._xlws.FILTER(テーブル定義_一覧!$D$1:$U$501, テーブル定義_一覧!$D$1:$D$501=Y$1), Y$2, _xlfn.XMATCH($B10, テーブル定義_一覧!$D$1:$Z$1))&amp;""</f>
        <v/>
      </c>
      <c r="Z10" s="40" t="str" cm="1">
        <f t="array" aca="1" ref="Z10" ca="1">INDEX(_xlfn._xlws.FILTER(テーブル定義_一覧!$D$1:$U$501, テーブル定義_一覧!$D$1:$D$501=Z$1), Z$2, _xlfn.XMATCH($B10, テーブル定義_一覧!$D$1:$Z$1))&amp;""</f>
        <v/>
      </c>
      <c r="AA10" s="40" t="str" cm="1">
        <f t="array" aca="1" ref="AA10" ca="1">INDEX(_xlfn._xlws.FILTER(テーブル定義_一覧!$D$1:$U$501, テーブル定義_一覧!$D$1:$D$501=AA$1), AA$2, _xlfn.XMATCH($B10, テーブル定義_一覧!$D$1:$Z$1))&amp;""</f>
        <v/>
      </c>
      <c r="AB10" s="40" t="str" cm="1">
        <f t="array" aca="1" ref="AB10" ca="1">INDEX(_xlfn._xlws.FILTER(テーブル定義_一覧!$D$1:$U$501, テーブル定義_一覧!$D$1:$D$501=AB$1), AB$2, _xlfn.XMATCH($B10, テーブル定義_一覧!$D$1:$Z$1))&amp;""</f>
        <v/>
      </c>
      <c r="AC10" s="40" t="str" cm="1">
        <f t="array" aca="1" ref="AC10" ca="1">INDEX(_xlfn._xlws.FILTER(テーブル定義_一覧!$D$1:$U$501, テーブル定義_一覧!$D$1:$D$501=AC$1), AC$2, _xlfn.XMATCH($B10, テーブル定義_一覧!$D$1:$Z$1))&amp;""</f>
        <v>x(PK制約)</v>
      </c>
      <c r="AD10" s="40" t="str" cm="1">
        <f t="array" aca="1" ref="AD10" ca="1">INDEX(_xlfn._xlws.FILTER(テーブル定義_一覧!$D$1:$U$501, テーブル定義_一覧!$D$1:$D$501=AD$1), AD$2, _xlfn.XMATCH($B10, テーブル定義_一覧!$D$1:$Z$1))&amp;""</f>
        <v/>
      </c>
      <c r="AE10" s="40" t="str" cm="1">
        <f t="array" aca="1" ref="AE10" ca="1">INDEX(_xlfn._xlws.FILTER(テーブル定義_一覧!$D$1:$U$501, テーブル定義_一覧!$D$1:$D$501=AE$1), AE$2, _xlfn.XMATCH($B10, テーブル定義_一覧!$D$1:$Z$1))&amp;""</f>
        <v/>
      </c>
      <c r="AF10" s="40" t="str" cm="1">
        <f t="array" aca="1" ref="AF10" ca="1">INDEX(_xlfn._xlws.FILTER(テーブル定義_一覧!$D$1:$U$501, テーブル定義_一覧!$D$1:$D$501=AF$1), AF$2, _xlfn.XMATCH($B10, テーブル定義_一覧!$D$1:$Z$1))&amp;""</f>
        <v/>
      </c>
      <c r="AG10" s="40" t="str" cm="1">
        <f t="array" aca="1" ref="AG10" ca="1">INDEX(_xlfn._xlws.FILTER(テーブル定義_一覧!$D$1:$U$501, テーブル定義_一覧!$D$1:$D$501=AG$1), AG$2, _xlfn.XMATCH($B10, テーブル定義_一覧!$D$1:$Z$1))&amp;""</f>
        <v/>
      </c>
      <c r="AH10" s="40" t="str" cm="1">
        <f t="array" aca="1" ref="AH10" ca="1">INDEX(_xlfn._xlws.FILTER(テーブル定義_一覧!$D$1:$U$501, テーブル定義_一覧!$D$1:$D$501=AH$1), AH$2, _xlfn.XMATCH($B10, テーブル定義_一覧!$D$1:$Z$1))&amp;""</f>
        <v>x(PK制約)</v>
      </c>
      <c r="AI10" s="40" t="str" cm="1">
        <f t="array" aca="1" ref="AI10" ca="1">INDEX(_xlfn._xlws.FILTER(テーブル定義_一覧!$D$1:$U$501, テーブル定義_一覧!$D$1:$D$501=AI$1), AI$2, _xlfn.XMATCH($B10, テーブル定義_一覧!$D$1:$Z$1))&amp;""</f>
        <v/>
      </c>
      <c r="AJ10" s="40" t="str" cm="1">
        <f t="array" aca="1" ref="AJ10" ca="1">INDEX(_xlfn._xlws.FILTER(テーブル定義_一覧!$D$1:$U$501, テーブル定義_一覧!$D$1:$D$501=AJ$1), AJ$2, _xlfn.XMATCH($B10, テーブル定義_一覧!$D$1:$Z$1))&amp;""</f>
        <v/>
      </c>
      <c r="AK10" s="40" t="str" cm="1">
        <f t="array" aca="1" ref="AK10" ca="1">INDEX(_xlfn._xlws.FILTER(テーブル定義_一覧!$D$1:$U$501, テーブル定義_一覧!$D$1:$D$501=AK$1), AK$2, _xlfn.XMATCH($B10, テーブル定義_一覧!$D$1:$Z$1))&amp;""</f>
        <v/>
      </c>
      <c r="AL10" s="40" t="str" cm="1">
        <f t="array" aca="1" ref="AL10" ca="1">INDEX(_xlfn._xlws.FILTER(テーブル定義_一覧!$D$1:$U$501, テーブル定義_一覧!$D$1:$D$501=AL$1), AL$2, _xlfn.XMATCH($B10, テーブル定義_一覧!$D$1:$Z$1))&amp;""</f>
        <v/>
      </c>
      <c r="AM10" s="40" t="str" cm="1">
        <f t="array" aca="1" ref="AM10" ca="1">INDEX(_xlfn._xlws.FILTER(テーブル定義_一覧!$D$1:$U$501, テーブル定義_一覧!$D$1:$D$501=AM$1), AM$2, _xlfn.XMATCH($B10, テーブル定義_一覧!$D$1:$Z$1))&amp;""</f>
        <v/>
      </c>
      <c r="AN10" s="40" t="str" cm="1">
        <f t="array" aca="1" ref="AN10" ca="1">INDEX(_xlfn._xlws.FILTER(テーブル定義_一覧!$D$1:$U$501, テーブル定義_一覧!$D$1:$D$501=AN$1), AN$2, _xlfn.XMATCH($B10, テーブル定義_一覧!$D$1:$Z$1))&amp;""</f>
        <v/>
      </c>
      <c r="AO10" s="40" t="str" cm="1">
        <f t="array" aca="1" ref="AO10" ca="1">INDEX(_xlfn._xlws.FILTER(テーブル定義_一覧!$D$1:$U$501, テーブル定義_一覧!$D$1:$D$501=AO$1), AO$2, _xlfn.XMATCH($B10, テーブル定義_一覧!$D$1:$Z$1))&amp;""</f>
        <v/>
      </c>
      <c r="AP10" s="40" t="str" cm="1">
        <f t="array" aca="1" ref="AP10" ca="1">INDEX(_xlfn._xlws.FILTER(テーブル定義_一覧!$D$1:$U$501, テーブル定義_一覧!$D$1:$D$501=AP$1), AP$2, _xlfn.XMATCH($B10, テーブル定義_一覧!$D$1:$Z$1))&amp;""</f>
        <v>x(PK制約)</v>
      </c>
      <c r="AQ10" s="40" t="str" cm="1">
        <f t="array" aca="1" ref="AQ10" ca="1">INDEX(_xlfn._xlws.FILTER(テーブル定義_一覧!$D$1:$U$501, テーブル定義_一覧!$D$1:$D$501=AQ$1), AQ$2, _xlfn.XMATCH($B10, テーブル定義_一覧!$D$1:$Z$1))&amp;""</f>
        <v/>
      </c>
      <c r="AR10" s="40" t="str" cm="1">
        <f t="array" aca="1" ref="AR10" ca="1">INDEX(_xlfn._xlws.FILTER(テーブル定義_一覧!$D$1:$U$501, テーブル定義_一覧!$D$1:$D$501=AR$1), AR$2, _xlfn.XMATCH($B10, テーブル定義_一覧!$D$1:$Z$1))&amp;""</f>
        <v/>
      </c>
      <c r="AS10" s="40" t="str" cm="1">
        <f t="array" aca="1" ref="AS10" ca="1">INDEX(_xlfn._xlws.FILTER(テーブル定義_一覧!$D$1:$U$501, テーブル定義_一覧!$D$1:$D$501=AS$1), AS$2, _xlfn.XMATCH($B10, テーブル定義_一覧!$D$1:$Z$1))&amp;""</f>
        <v/>
      </c>
      <c r="AT10" s="40" t="str" cm="1">
        <f t="array" aca="1" ref="AT10" ca="1">INDEX(_xlfn._xlws.FILTER(テーブル定義_一覧!$D$1:$U$501, テーブル定義_一覧!$D$1:$D$501=AT$1), AT$2, _xlfn.XMATCH($B10, テーブル定義_一覧!$D$1:$Z$1))&amp;""</f>
        <v/>
      </c>
      <c r="AU10" s="40" t="str" cm="1">
        <f t="array" aca="1" ref="AU10" ca="1">INDEX(_xlfn._xlws.FILTER(テーブル定義_一覧!$D$1:$U$501, テーブル定義_一覧!$D$1:$D$501=AU$1), AU$2, _xlfn.XMATCH($B10, テーブル定義_一覧!$D$1:$Z$1))&amp;""</f>
        <v/>
      </c>
      <c r="AV10" s="40" t="str" cm="1">
        <f t="array" aca="1" ref="AV10" ca="1">INDEX(_xlfn._xlws.FILTER(テーブル定義_一覧!$D$1:$U$501, テーブル定義_一覧!$D$1:$D$501=AV$1), AV$2, _xlfn.XMATCH($B10, テーブル定義_一覧!$D$1:$Z$1))&amp;""</f>
        <v>x(PK制約)</v>
      </c>
      <c r="AW10" s="40" t="str" cm="1">
        <f t="array" aca="1" ref="AW10" ca="1">INDEX(_xlfn._xlws.FILTER(テーブル定義_一覧!$D$1:$U$501, テーブル定義_一覧!$D$1:$D$501=AW$1), AW$2, _xlfn.XMATCH($B10, テーブル定義_一覧!$D$1:$Z$1))&amp;""</f>
        <v/>
      </c>
      <c r="AX10" s="40" t="str" cm="1">
        <f t="array" aca="1" ref="AX10" ca="1">INDEX(_xlfn._xlws.FILTER(テーブル定義_一覧!$D$1:$U$501, テーブル定義_一覧!$D$1:$D$501=AX$1), AX$2, _xlfn.XMATCH($B10, テーブル定義_一覧!$D$1:$Z$1))&amp;""</f>
        <v/>
      </c>
      <c r="AY10" s="40" t="str" cm="1">
        <f t="array" aca="1" ref="AY10" ca="1">INDEX(_xlfn._xlws.FILTER(テーブル定義_一覧!$D$1:$U$501, テーブル定義_一覧!$D$1:$D$501=AY$1), AY$2, _xlfn.XMATCH($B10, テーブル定義_一覧!$D$1:$Z$1))&amp;""</f>
        <v/>
      </c>
      <c r="AZ10" s="40" t="str" cm="1">
        <f t="array" aca="1" ref="AZ10" ca="1">INDEX(_xlfn._xlws.FILTER(テーブル定義_一覧!$D$1:$U$501, テーブル定義_一覧!$D$1:$D$501=AZ$1), AZ$2, _xlfn.XMATCH($B10, テーブル定義_一覧!$D$1:$Z$1))&amp;""</f>
        <v/>
      </c>
      <c r="BA10" s="40" t="str" cm="1">
        <f t="array" aca="1" ref="BA10" ca="1">INDEX(_xlfn._xlws.FILTER(テーブル定義_一覧!$D$1:$U$501, テーブル定義_一覧!$D$1:$D$501=BA$1), BA$2, _xlfn.XMATCH($B10, テーブル定義_一覧!$D$1:$Z$1))&amp;""</f>
        <v/>
      </c>
      <c r="BB10" s="40" t="str" cm="1">
        <f t="array" aca="1" ref="BB10" ca="1">INDEX(_xlfn._xlws.FILTER(テーブル定義_一覧!$D$1:$U$501, テーブル定義_一覧!$D$1:$D$501=BB$1), BB$2, _xlfn.XMATCH($B10, テーブル定義_一覧!$D$1:$Z$1))&amp;""</f>
        <v>x(PK制約)</v>
      </c>
      <c r="BC10" s="40" t="str" cm="1">
        <f t="array" aca="1" ref="BC10" ca="1">INDEX(_xlfn._xlws.FILTER(テーブル定義_一覧!$D$1:$U$501, テーブル定義_一覧!$D$1:$D$501=BC$1), BC$2, _xlfn.XMATCH($B10, テーブル定義_一覧!$D$1:$Z$1))&amp;""</f>
        <v/>
      </c>
      <c r="BD10" s="40" t="str" cm="1">
        <f t="array" aca="1" ref="BD10" ca="1">INDEX(_xlfn._xlws.FILTER(テーブル定義_一覧!$D$1:$U$501, テーブル定義_一覧!$D$1:$D$501=BD$1), BD$2, _xlfn.XMATCH($B10, テーブル定義_一覧!$D$1:$Z$1))&amp;""</f>
        <v/>
      </c>
      <c r="BE10" s="40" t="str" cm="1">
        <f t="array" aca="1" ref="BE10" ca="1">INDEX(_xlfn._xlws.FILTER(テーブル定義_一覧!$D$1:$U$501, テーブル定義_一覧!$D$1:$D$501=BE$1), BE$2, _xlfn.XMATCH($B10, テーブル定義_一覧!$D$1:$Z$1))&amp;""</f>
        <v/>
      </c>
      <c r="BF10" s="40" t="str" cm="1">
        <f t="array" aca="1" ref="BF10" ca="1">INDEX(_xlfn._xlws.FILTER(テーブル定義_一覧!$D$1:$U$501, テーブル定義_一覧!$D$1:$D$501=BF$1), BF$2, _xlfn.XMATCH($B10, テーブル定義_一覧!$D$1:$Z$1))&amp;""</f>
        <v/>
      </c>
      <c r="BG10" s="40" t="str" cm="1">
        <f t="array" aca="1" ref="BG10" ca="1">INDEX(_xlfn._xlws.FILTER(テーブル定義_一覧!$D$1:$U$501, テーブル定義_一覧!$D$1:$D$501=BG$1), BG$2, _xlfn.XMATCH($B10, テーブル定義_一覧!$D$1:$Z$1))&amp;""</f>
        <v/>
      </c>
      <c r="BH10" s="40" t="str" cm="1">
        <f t="array" aca="1" ref="BH10" ca="1">INDEX(_xlfn._xlws.FILTER(テーブル定義_一覧!$D$1:$U$501, テーブル定義_一覧!$D$1:$D$501=BH$1), BH$2, _xlfn.XMATCH($B10, テーブル定義_一覧!$D$1:$Z$1))&amp;""</f>
        <v/>
      </c>
      <c r="BI10" s="40" t="str" cm="1">
        <f t="array" aca="1" ref="BI10" ca="1">INDEX(_xlfn._xlws.FILTER(テーブル定義_一覧!$D$1:$U$501, テーブル定義_一覧!$D$1:$D$501=BI$1), BI$2, _xlfn.XMATCH($B10, テーブル定義_一覧!$D$1:$Z$1))&amp;""</f>
        <v/>
      </c>
      <c r="BJ10" s="40" t="str" cm="1">
        <f t="array" aca="1" ref="BJ10" ca="1">INDEX(_xlfn._xlws.FILTER(テーブル定義_一覧!$D$1:$U$501, テーブル定義_一覧!$D$1:$D$501=BJ$1), BJ$2, _xlfn.XMATCH($B10, テーブル定義_一覧!$D$1:$Z$1))&amp;""</f>
        <v/>
      </c>
      <c r="BK10" s="40" t="str" cm="1">
        <f t="array" aca="1" ref="BK10" ca="1">INDEX(_xlfn._xlws.FILTER(テーブル定義_一覧!$D$1:$U$501, テーブル定義_一覧!$D$1:$D$501=BK$1), BK$2, _xlfn.XMATCH($B10, テーブル定義_一覧!$D$1:$Z$1))&amp;""</f>
        <v/>
      </c>
      <c r="BL10" s="40" t="str" cm="1">
        <f t="array" aca="1" ref="BL10" ca="1">INDEX(_xlfn._xlws.FILTER(テーブル定義_一覧!$D$1:$U$501, テーブル定義_一覧!$D$1:$D$501=BL$1), BL$2, _xlfn.XMATCH($B10, テーブル定義_一覧!$D$1:$Z$1))&amp;""</f>
        <v>x(PK制約)</v>
      </c>
      <c r="BM10" s="40" t="str" cm="1">
        <f t="array" aca="1" ref="BM10" ca="1">INDEX(_xlfn._xlws.FILTER(テーブル定義_一覧!$D$1:$U$501, テーブル定義_一覧!$D$1:$D$501=BM$1), BM$2, _xlfn.XMATCH($B10, テーブル定義_一覧!$D$1:$Z$1))&amp;""</f>
        <v>△</v>
      </c>
      <c r="BN10" s="40" t="str" cm="1">
        <f t="array" aca="1" ref="BN10" ca="1">INDEX(_xlfn._xlws.FILTER(テーブル定義_一覧!$D$1:$U$501, テーブル定義_一覧!$D$1:$D$501=BN$1), BN$2, _xlfn.XMATCH($B10, テーブル定義_一覧!$D$1:$Z$1))&amp;""</f>
        <v>△</v>
      </c>
      <c r="BO10" s="40" t="str" cm="1">
        <f t="array" aca="1" ref="BO10" ca="1">INDEX(_xlfn._xlws.FILTER(テーブル定義_一覧!$D$1:$U$501, テーブル定義_一覧!$D$1:$D$501=BO$1), BO$2, _xlfn.XMATCH($B10, テーブル定義_一覧!$D$1:$Z$1))&amp;""</f>
        <v>△</v>
      </c>
      <c r="BP10" s="40" t="str" cm="1">
        <f t="array" aca="1" ref="BP10" ca="1">INDEX(_xlfn._xlws.FILTER(テーブル定義_一覧!$D$1:$U$501, テーブル定義_一覧!$D$1:$D$501=BP$1), BP$2, _xlfn.XMATCH($B10, テーブル定義_一覧!$D$1:$Z$1))&amp;""</f>
        <v/>
      </c>
      <c r="BQ10" s="40" t="str" cm="1">
        <f t="array" aca="1" ref="BQ10" ca="1">INDEX(_xlfn._xlws.FILTER(テーブル定義_一覧!$D$1:$U$501, テーブル定義_一覧!$D$1:$D$501=BQ$1), BQ$2, _xlfn.XMATCH($B10, テーブル定義_一覧!$D$1:$Z$1))&amp;""</f>
        <v>x(PK制約)</v>
      </c>
      <c r="BR10" s="40" t="str" cm="1">
        <f t="array" aca="1" ref="BR10" ca="1">INDEX(_xlfn._xlws.FILTER(テーブル定義_一覧!$D$1:$U$501, テーブル定義_一覧!$D$1:$D$501=BR$1), BR$2, _xlfn.XMATCH($B10, テーブル定義_一覧!$D$1:$Z$1))&amp;""</f>
        <v/>
      </c>
      <c r="BS10" s="40" t="str" cm="1">
        <f t="array" aca="1" ref="BS10" ca="1">INDEX(_xlfn._xlws.FILTER(テーブル定義_一覧!$D$1:$U$501, テーブル定義_一覧!$D$1:$D$501=BS$1), BS$2, _xlfn.XMATCH($B10, テーブル定義_一覧!$D$1:$Z$1))&amp;""</f>
        <v/>
      </c>
      <c r="BT10" s="40" t="str" cm="1">
        <f t="array" aca="1" ref="BT10" ca="1">INDEX(_xlfn._xlws.FILTER(テーブル定義_一覧!$D$1:$U$501, テーブル定義_一覧!$D$1:$D$501=BT$1), BT$2, _xlfn.XMATCH($B10, テーブル定義_一覧!$D$1:$Z$1))&amp;""</f>
        <v>x(PK制約)</v>
      </c>
      <c r="BU10" s="40" t="str" cm="1">
        <f t="array" aca="1" ref="BU10" ca="1">INDEX(_xlfn._xlws.FILTER(テーブル定義_一覧!$D$1:$U$501, テーブル定義_一覧!$D$1:$D$501=BU$1), BU$2, _xlfn.XMATCH($B10, テーブル定義_一覧!$D$1:$Z$1))&amp;""</f>
        <v>△</v>
      </c>
      <c r="BV10" s="40" t="str" cm="1">
        <f t="array" aca="1" ref="BV10" ca="1">INDEX(_xlfn._xlws.FILTER(テーブル定義_一覧!$D$1:$U$501, テーブル定義_一覧!$D$1:$D$501=BV$1), BV$2, _xlfn.XMATCH($B10, テーブル定義_一覧!$D$1:$Z$1))&amp;""</f>
        <v>△</v>
      </c>
      <c r="BW10" s="40" t="str" cm="1">
        <f t="array" aca="1" ref="BW10" ca="1">INDEX(_xlfn._xlws.FILTER(テーブル定義_一覧!$D$1:$U$501, テーブル定義_一覧!$D$1:$D$501=BW$1), BW$2, _xlfn.XMATCH($B10, テーブル定義_一覧!$D$1:$Z$1))&amp;""</f>
        <v/>
      </c>
      <c r="BX10" s="40" t="str" cm="1">
        <f t="array" aca="1" ref="BX10" ca="1">INDEX(_xlfn._xlws.FILTER(テーブル定義_一覧!$D$1:$U$501, テーブル定義_一覧!$D$1:$D$501=BX$1), BX$2, _xlfn.XMATCH($B10, テーブル定義_一覧!$D$1:$Z$1))&amp;""</f>
        <v>x(PK制約)</v>
      </c>
      <c r="BY10" s="40" t="str" cm="1">
        <f t="array" aca="1" ref="BY10" ca="1">INDEX(_xlfn._xlws.FILTER(テーブル定義_一覧!$D$1:$U$501, テーブル定義_一覧!$D$1:$D$501=BY$1), BY$2, _xlfn.XMATCH($B10, テーブル定義_一覧!$D$1:$Z$1))&amp;""</f>
        <v>△</v>
      </c>
      <c r="BZ10" s="40" t="str" cm="1">
        <f t="array" aca="1" ref="BZ10" ca="1">INDEX(_xlfn._xlws.FILTER(テーブル定義_一覧!$D$1:$U$501, テーブル定義_一覧!$D$1:$D$501=BZ$1), BZ$2, _xlfn.XMATCH($B10, テーブル定義_一覧!$D$1:$Z$1))&amp;""</f>
        <v>△</v>
      </c>
      <c r="CA10" s="40" t="str" cm="1">
        <f t="array" aca="1" ref="CA10" ca="1">INDEX(_xlfn._xlws.FILTER(テーブル定義_一覧!$D$1:$U$501, テーブル定義_一覧!$D$1:$D$501=CA$1), CA$2, _xlfn.XMATCH($B10, テーブル定義_一覧!$D$1:$Z$1))&amp;""</f>
        <v/>
      </c>
      <c r="CB10" s="40" t="str" cm="1">
        <f t="array" aca="1" ref="CB10" ca="1">INDEX(_xlfn._xlws.FILTER(テーブル定義_一覧!$D$1:$U$501, テーブル定義_一覧!$D$1:$D$501=CB$1), CB$2, _xlfn.XMATCH($B10, テーブル定義_一覧!$D$1:$Z$1))&amp;""</f>
        <v/>
      </c>
      <c r="CC10" s="40" t="str" cm="1">
        <f t="array" aca="1" ref="CC10" ca="1">INDEX(_xlfn._xlws.FILTER(テーブル定義_一覧!$D$1:$U$501, テーブル定義_一覧!$D$1:$D$501=CC$1), CC$2, _xlfn.XMATCH($B10, テーブル定義_一覧!$D$1:$Z$1))&amp;""</f>
        <v/>
      </c>
      <c r="CD10" s="40" t="str" cm="1">
        <f t="array" aca="1" ref="CD10" ca="1">INDEX(_xlfn._xlws.FILTER(テーブル定義_一覧!$D$1:$U$501, テーブル定義_一覧!$D$1:$D$501=CD$1), CD$2, _xlfn.XMATCH($B10, テーブル定義_一覧!$D$1:$Z$1))&amp;""</f>
        <v/>
      </c>
      <c r="CE10" s="40" t="str" cm="1">
        <f t="array" aca="1" ref="CE10" ca="1">INDEX(_xlfn._xlws.FILTER(テーブル定義_一覧!$D$1:$U$501, テーブル定義_一覧!$D$1:$D$501=CE$1), CE$2, _xlfn.XMATCH($B10, テーブル定義_一覧!$D$1:$Z$1))&amp;""</f>
        <v/>
      </c>
      <c r="CF10" s="40" t="str" cm="1">
        <f t="array" aca="1" ref="CF10" ca="1">INDEX(_xlfn._xlws.FILTER(テーブル定義_一覧!$D$1:$U$501, テーブル定義_一覧!$D$1:$D$501=CF$1), CF$2, _xlfn.XMATCH($B10, テーブル定義_一覧!$D$1:$Z$1))&amp;""</f>
        <v/>
      </c>
      <c r="CG10" s="40" t="str" cm="1">
        <f t="array" aca="1" ref="CG10" ca="1">INDEX(_xlfn._xlws.FILTER(テーブル定義_一覧!$D$1:$U$501, テーブル定義_一覧!$D$1:$D$501=CG$1), CG$2, _xlfn.XMATCH($B10, テーブル定義_一覧!$D$1:$Z$1))&amp;""</f>
        <v/>
      </c>
      <c r="CH10" s="40" t="str" cm="1">
        <f t="array" aca="1" ref="CH10" ca="1">INDEX(_xlfn._xlws.FILTER(テーブル定義_一覧!$D$1:$U$501, テーブル定義_一覧!$D$1:$D$501=CH$1), CH$2, _xlfn.XMATCH($B10, テーブル定義_一覧!$D$1:$Z$1))&amp;""</f>
        <v/>
      </c>
      <c r="CI10" s="40" t="str" cm="1">
        <f t="array" aca="1" ref="CI10" ca="1">INDEX(_xlfn._xlws.FILTER(テーブル定義_一覧!$D$1:$U$501, テーブル定義_一覧!$D$1:$D$501=CI$1), CI$2, _xlfn.XMATCH($B10, テーブル定義_一覧!$D$1:$Z$1))&amp;""</f>
        <v/>
      </c>
      <c r="CJ10" s="40" t="str" cm="1">
        <f t="array" aca="1" ref="CJ10" ca="1">INDEX(_xlfn._xlws.FILTER(テーブル定義_一覧!$D$1:$U$501, テーブル定義_一覧!$D$1:$D$501=CJ$1), CJ$2, _xlfn.XMATCH($B10, テーブル定義_一覧!$D$1:$Z$1))&amp;""</f>
        <v/>
      </c>
      <c r="CK10" s="40" t="str" cm="1">
        <f t="array" aca="1" ref="CK10" ca="1">INDEX(_xlfn._xlws.FILTER(テーブル定義_一覧!$D$1:$U$501, テーブル定義_一覧!$D$1:$D$501=CK$1), CK$2, _xlfn.XMATCH($B10, テーブル定義_一覧!$D$1:$Z$1))&amp;""</f>
        <v/>
      </c>
      <c r="CL10" s="40" t="str" cm="1">
        <f t="array" aca="1" ref="CL10" ca="1">INDEX(_xlfn._xlws.FILTER(テーブル定義_一覧!$D$1:$U$501, テーブル定義_一覧!$D$1:$D$501=CL$1), CL$2, _xlfn.XMATCH($B10, テーブル定義_一覧!$D$1:$Z$1))&amp;""</f>
        <v/>
      </c>
      <c r="CM10" s="40" t="str" cm="1">
        <f t="array" aca="1" ref="CM10" ca="1">INDEX(_xlfn._xlws.FILTER(テーブル定義_一覧!$D$1:$U$501, テーブル定義_一覧!$D$1:$D$501=CM$1), CM$2, _xlfn.XMATCH($B10, テーブル定義_一覧!$D$1:$Z$1))&amp;""</f>
        <v/>
      </c>
      <c r="CN10" s="40" t="str" cm="1">
        <f t="array" aca="1" ref="CN10" ca="1">INDEX(_xlfn._xlws.FILTER(テーブル定義_一覧!$D$1:$U$501, テーブル定義_一覧!$D$1:$D$501=CN$1), CN$2, _xlfn.XMATCH($B10, テーブル定義_一覧!$D$1:$Z$1))&amp;""</f>
        <v>x(PK制約)</v>
      </c>
      <c r="CO10" s="40" t="str" cm="1">
        <f t="array" aca="1" ref="CO10" ca="1">INDEX(_xlfn._xlws.FILTER(テーブル定義_一覧!$D$1:$U$501, テーブル定義_一覧!$D$1:$D$501=CO$1), CO$2, _xlfn.XMATCH($B10, テーブル定義_一覧!$D$1:$Z$1))&amp;""</f>
        <v>△</v>
      </c>
      <c r="CP10" s="40" t="str" cm="1">
        <f t="array" aca="1" ref="CP10" ca="1">INDEX(_xlfn._xlws.FILTER(テーブル定義_一覧!$D$1:$U$501, テーブル定義_一覧!$D$1:$D$501=CP$1), CP$2, _xlfn.XMATCH($B10, テーブル定義_一覧!$D$1:$Z$1))&amp;""</f>
        <v>△</v>
      </c>
      <c r="CQ10" s="40" t="str" cm="1">
        <f t="array" aca="1" ref="CQ10" ca="1">INDEX(_xlfn._xlws.FILTER(テーブル定義_一覧!$D$1:$U$501, テーブル定義_一覧!$D$1:$D$501=CQ$1), CQ$2, _xlfn.XMATCH($B10, テーブル定義_一覧!$D$1:$Z$1))&amp;""</f>
        <v>x(PK制約)</v>
      </c>
      <c r="CR10" s="40" t="str" cm="1">
        <f t="array" aca="1" ref="CR10" ca="1">INDEX(_xlfn._xlws.FILTER(テーブル定義_一覧!$D$1:$U$501, テーブル定義_一覧!$D$1:$D$501=CR$1), CR$2, _xlfn.XMATCH($B10, テーブル定義_一覧!$D$1:$Z$1))&amp;""</f>
        <v>△</v>
      </c>
      <c r="CS10" s="34" t="str" cm="1">
        <f t="array" aca="1" ref="CS10" ca="1">INDEX(_xlfn._xlws.FILTER(テーブル定義_一覧!$D$1:$U$501, テーブル定義_一覧!$D$1:$D$501=CS$1), CS$2, _xlfn.XMATCH($B10, テーブル定義_一覧!$D$1:$Z$1))&amp;""</f>
        <v>△</v>
      </c>
    </row>
    <row r="11" spans="1:97" outlineLevel="2">
      <c r="A11" s="79"/>
      <c r="B11" s="21" t="s">
        <v>42</v>
      </c>
      <c r="C11" s="49" t="str" cm="1">
        <f t="array" aca="1" ref="C11" ca="1">INDEX(_xlfn._xlws.FILTER(テーブル定義_一覧!$D$1:$U$501, テーブル定義_一覧!$D$1:$D$501=C$1), C$2, _xlfn.XMATCH($B11, テーブル定義_一覧!$D$1:$Z$1))&amp;""</f>
        <v>SEQUENCE</v>
      </c>
      <c r="D11" s="40" t="str" cm="1">
        <f t="array" aca="1" ref="D11" ca="1">INDEX(_xlfn._xlws.FILTER(テーブル定義_一覧!$D$1:$U$501, テーブル定義_一覧!$D$1:$D$501=D$1), D$2, _xlfn.XMATCH($B11, テーブル定義_一覧!$D$1:$Z$1))&amp;""</f>
        <v/>
      </c>
      <c r="E11" s="40" t="str" cm="1">
        <f t="array" aca="1" ref="E11" ca="1">INDEX(_xlfn._xlws.FILTER(テーブル定義_一覧!$D$1:$U$501, テーブル定義_一覧!$D$1:$D$501=E$1), E$2, _xlfn.XMATCH($B11, テーブル定義_一覧!$D$1:$Z$1))&amp;""</f>
        <v/>
      </c>
      <c r="F11" s="40" t="str" cm="1">
        <f t="array" aca="1" ref="F11" ca="1">INDEX(_xlfn._xlws.FILTER(テーブル定義_一覧!$D$1:$U$501, テーブル定義_一覧!$D$1:$D$501=F$1), F$2, _xlfn.XMATCH($B11, テーブル定義_一覧!$D$1:$Z$1))&amp;""</f>
        <v/>
      </c>
      <c r="G11" s="40" t="str" cm="1">
        <f t="array" aca="1" ref="G11" ca="1">INDEX(_xlfn._xlws.FILTER(テーブル定義_一覧!$D$1:$U$501, テーブル定義_一覧!$D$1:$D$501=G$1), G$2, _xlfn.XMATCH($B11, テーブル定義_一覧!$D$1:$Z$1))&amp;""</f>
        <v/>
      </c>
      <c r="H11" s="40" t="str" cm="1">
        <f t="array" aca="1" ref="H11" ca="1">INDEX(_xlfn._xlws.FILTER(テーブル定義_一覧!$D$1:$U$501, テーブル定義_一覧!$D$1:$D$501=H$1), H$2, _xlfn.XMATCH($B11, テーブル定義_一覧!$D$1:$Z$1))&amp;""</f>
        <v/>
      </c>
      <c r="I11" s="40" t="str" cm="1">
        <f t="array" aca="1" ref="I11" ca="1">INDEX(_xlfn._xlws.FILTER(テーブル定義_一覧!$D$1:$U$501, テーブル定義_一覧!$D$1:$D$501=I$1), I$2, _xlfn.XMATCH($B11, テーブル定義_一覧!$D$1:$Z$1))&amp;""</f>
        <v>SEQUENCE</v>
      </c>
      <c r="J11" s="40" t="str" cm="1">
        <f t="array" aca="1" ref="J11" ca="1">INDEX(_xlfn._xlws.FILTER(テーブル定義_一覧!$D$1:$U$501, テーブル定義_一覧!$D$1:$D$501=J$1), J$2, _xlfn.XMATCH($B11, テーブル定義_一覧!$D$1:$Z$1))&amp;""</f>
        <v/>
      </c>
      <c r="K11" s="40" t="str" cm="1">
        <f t="array" aca="1" ref="K11" ca="1">INDEX(_xlfn._xlws.FILTER(テーブル定義_一覧!$D$1:$U$501, テーブル定義_一覧!$D$1:$D$501=K$1), K$2, _xlfn.XMATCH($B11, テーブル定義_一覧!$D$1:$Z$1))&amp;""</f>
        <v/>
      </c>
      <c r="L11" s="40" t="str" cm="1">
        <f t="array" aca="1" ref="L11" ca="1">INDEX(_xlfn._xlws.FILTER(テーブル定義_一覧!$D$1:$U$501, テーブル定義_一覧!$D$1:$D$501=L$1), L$2, _xlfn.XMATCH($B11, テーブル定義_一覧!$D$1:$Z$1))&amp;""</f>
        <v/>
      </c>
      <c r="M11" s="40" t="str" cm="1">
        <f t="array" aca="1" ref="M11" ca="1">INDEX(_xlfn._xlws.FILTER(テーブル定義_一覧!$D$1:$U$501, テーブル定義_一覧!$D$1:$D$501=M$1), M$2, _xlfn.XMATCH($B11, テーブル定義_一覧!$D$1:$Z$1))&amp;""</f>
        <v>SEQUENCE</v>
      </c>
      <c r="N11" s="40" t="str" cm="1">
        <f t="array" aca="1" ref="N11" ca="1">INDEX(_xlfn._xlws.FILTER(テーブル定義_一覧!$D$1:$U$501, テーブル定義_一覧!$D$1:$D$501=N$1), N$2, _xlfn.XMATCH($B11, テーブル定義_一覧!$D$1:$Z$1))&amp;""</f>
        <v>自動払い出し</v>
      </c>
      <c r="O11" s="40" t="str" cm="1">
        <f t="array" aca="1" ref="O11" ca="1">INDEX(_xlfn._xlws.FILTER(テーブル定義_一覧!$D$1:$U$501, テーブル定義_一覧!$D$1:$D$501=O$1), O$2, _xlfn.XMATCH($B11, テーブル定義_一覧!$D$1:$Z$1))&amp;""</f>
        <v/>
      </c>
      <c r="P11" s="40" t="str" cm="1">
        <f t="array" aca="1" ref="P11" ca="1">INDEX(_xlfn._xlws.FILTER(テーブル定義_一覧!$D$1:$U$501, テーブル定義_一覧!$D$1:$D$501=P$1), P$2, _xlfn.XMATCH($B11, テーブル定義_一覧!$D$1:$Z$1))&amp;""</f>
        <v/>
      </c>
      <c r="Q11" s="40" t="str" cm="1">
        <f t="array" aca="1" ref="Q11" ca="1">INDEX(_xlfn._xlws.FILTER(テーブル定義_一覧!$D$1:$U$501, テーブル定義_一覧!$D$1:$D$501=Q$1), Q$2, _xlfn.XMATCH($B11, テーブル定義_一覧!$D$1:$Z$1))&amp;""</f>
        <v>FALSE</v>
      </c>
      <c r="R11" s="40" t="str" cm="1">
        <f t="array" aca="1" ref="R11" ca="1">INDEX(_xlfn._xlws.FILTER(テーブル定義_一覧!$D$1:$U$501, テーブル定義_一覧!$D$1:$D$501=R$1), R$2, _xlfn.XMATCH($B11, テーブル定義_一覧!$D$1:$Z$1))&amp;""</f>
        <v/>
      </c>
      <c r="S11" s="40" t="str" cm="1">
        <f t="array" aca="1" ref="S11" ca="1">INDEX(_xlfn._xlws.FILTER(テーブル定義_一覧!$D$1:$U$501, テーブル定義_一覧!$D$1:$D$501=S$1), S$2, _xlfn.XMATCH($B11, テーブル定義_一覧!$D$1:$Z$1))&amp;""</f>
        <v>CURRENT_TIMESTAMP</v>
      </c>
      <c r="T11" s="40" t="str" cm="1">
        <f t="array" aca="1" ref="T11" ca="1">INDEX(_xlfn._xlws.FILTER(テーブル定義_一覧!$D$1:$U$501, テーブル定義_一覧!$D$1:$D$501=T$1), T$2, _xlfn.XMATCH($B11, テーブル定義_一覧!$D$1:$Z$1))&amp;""</f>
        <v>"default"のID</v>
      </c>
      <c r="U11" s="40" t="str" cm="1">
        <f t="array" aca="1" ref="U11" ca="1">INDEX(_xlfn._xlws.FILTER(テーブル定義_一覧!$D$1:$U$501, テーブル定義_一覧!$D$1:$D$501=U$1), U$2, _xlfn.XMATCH($B11, テーブル定義_一覧!$D$1:$Z$1))&amp;""</f>
        <v>"japan"のID</v>
      </c>
      <c r="V11" s="40" t="str" cm="1">
        <f t="array" aca="1" ref="V11" ca="1">INDEX(_xlfn._xlws.FILTER(テーブル定義_一覧!$D$1:$U$501, テーブル定義_一覧!$D$1:$D$501=V$1), V$2, _xlfn.XMATCH($B11, テーブル定義_一覧!$D$1:$Z$1))&amp;""</f>
        <v>SEQUENCE</v>
      </c>
      <c r="W11" s="40" t="str" cm="1">
        <f t="array" aca="1" ref="W11" ca="1">INDEX(_xlfn._xlws.FILTER(テーブル定義_一覧!$D$1:$U$501, テーブル定義_一覧!$D$1:$D$501=W$1), W$2, _xlfn.XMATCH($B11, テーブル定義_一覧!$D$1:$Z$1))&amp;""</f>
        <v/>
      </c>
      <c r="X11" s="40" t="str" cm="1">
        <f t="array" aca="1" ref="X11" ca="1">INDEX(_xlfn._xlws.FILTER(テーブル定義_一覧!$D$1:$U$501, テーブル定義_一覧!$D$1:$D$501=X$1), X$2, _xlfn.XMATCH($B11, テーブル定義_一覧!$D$1:$Z$1))&amp;""</f>
        <v>SEQUENCE</v>
      </c>
      <c r="Y11" s="40" t="str" cm="1">
        <f t="array" aca="1" ref="Y11" ca="1">INDEX(_xlfn._xlws.FILTER(テーブル定義_一覧!$D$1:$U$501, テーブル定義_一覧!$D$1:$D$501=Y$1), Y$2, _xlfn.XMATCH($B11, テーブル定義_一覧!$D$1:$Z$1))&amp;""</f>
        <v/>
      </c>
      <c r="Z11" s="40" t="str" cm="1">
        <f t="array" aca="1" ref="Z11" ca="1">INDEX(_xlfn._xlws.FILTER(テーブル定義_一覧!$D$1:$U$501, テーブル定義_一覧!$D$1:$D$501=Z$1), Z$2, _xlfn.XMATCH($B11, テーブル定義_一覧!$D$1:$Z$1))&amp;""</f>
        <v/>
      </c>
      <c r="AA11" s="40" t="str" cm="1">
        <f t="array" aca="1" ref="AA11" ca="1">INDEX(_xlfn._xlws.FILTER(テーブル定義_一覧!$D$1:$U$501, テーブル定義_一覧!$D$1:$D$501=AA$1), AA$2, _xlfn.XMATCH($B11, テーブル定義_一覧!$D$1:$Z$1))&amp;""</f>
        <v/>
      </c>
      <c r="AB11" s="40" t="str" cm="1">
        <f t="array" aca="1" ref="AB11" ca="1">INDEX(_xlfn._xlws.FILTER(テーブル定義_一覧!$D$1:$U$501, テーブル定義_一覧!$D$1:$D$501=AB$1), AB$2, _xlfn.XMATCH($B11, テーブル定義_一覧!$D$1:$Z$1))&amp;""</f>
        <v/>
      </c>
      <c r="AC11" s="40" t="str" cm="1">
        <f t="array" aca="1" ref="AC11" ca="1">INDEX(_xlfn._xlws.FILTER(テーブル定義_一覧!$D$1:$U$501, テーブル定義_一覧!$D$1:$D$501=AC$1), AC$2, _xlfn.XMATCH($B11, テーブル定義_一覧!$D$1:$Z$1))&amp;""</f>
        <v>SEQUENCE</v>
      </c>
      <c r="AD11" s="40" t="str" cm="1">
        <f t="array" aca="1" ref="AD11" ca="1">INDEX(_xlfn._xlws.FILTER(テーブル定義_一覧!$D$1:$U$501, テーブル定義_一覧!$D$1:$D$501=AD$1), AD$2, _xlfn.XMATCH($B11, テーブル定義_一覧!$D$1:$Z$1))&amp;""</f>
        <v/>
      </c>
      <c r="AE11" s="40" t="str" cm="1">
        <f t="array" aca="1" ref="AE11" ca="1">INDEX(_xlfn._xlws.FILTER(テーブル定義_一覧!$D$1:$U$501, テーブル定義_一覧!$D$1:$D$501=AE$1), AE$2, _xlfn.XMATCH($B11, テーブル定義_一覧!$D$1:$Z$1))&amp;""</f>
        <v/>
      </c>
      <c r="AF11" s="40" t="str" cm="1">
        <f t="array" aca="1" ref="AF11" ca="1">INDEX(_xlfn._xlws.FILTER(テーブル定義_一覧!$D$1:$U$501, テーブル定義_一覧!$D$1:$D$501=AF$1), AF$2, _xlfn.XMATCH($B11, テーブル定義_一覧!$D$1:$Z$1))&amp;""</f>
        <v/>
      </c>
      <c r="AG11" s="40" t="str" cm="1">
        <f t="array" aca="1" ref="AG11" ca="1">INDEX(_xlfn._xlws.FILTER(テーブル定義_一覧!$D$1:$U$501, テーブル定義_一覧!$D$1:$D$501=AG$1), AG$2, _xlfn.XMATCH($B11, テーブル定義_一覧!$D$1:$Z$1))&amp;""</f>
        <v/>
      </c>
      <c r="AH11" s="40" t="str" cm="1">
        <f t="array" aca="1" ref="AH11" ca="1">INDEX(_xlfn._xlws.FILTER(テーブル定義_一覧!$D$1:$U$501, テーブル定義_一覧!$D$1:$D$501=AH$1), AH$2, _xlfn.XMATCH($B11, テーブル定義_一覧!$D$1:$Z$1))&amp;""</f>
        <v>SEQUENCE</v>
      </c>
      <c r="AI11" s="40" t="str" cm="1">
        <f t="array" aca="1" ref="AI11" ca="1">INDEX(_xlfn._xlws.FILTER(テーブル定義_一覧!$D$1:$U$501, テーブル定義_一覧!$D$1:$D$501=AI$1), AI$2, _xlfn.XMATCH($B11, テーブル定義_一覧!$D$1:$Z$1))&amp;""</f>
        <v/>
      </c>
      <c r="AJ11" s="40" t="str" cm="1">
        <f t="array" aca="1" ref="AJ11" ca="1">INDEX(_xlfn._xlws.FILTER(テーブル定義_一覧!$D$1:$U$501, テーブル定義_一覧!$D$1:$D$501=AJ$1), AJ$2, _xlfn.XMATCH($B11, テーブル定義_一覧!$D$1:$Z$1))&amp;""</f>
        <v/>
      </c>
      <c r="AK11" s="40" t="str" cm="1">
        <f t="array" aca="1" ref="AK11" ca="1">INDEX(_xlfn._xlws.FILTER(テーブル定義_一覧!$D$1:$U$501, テーブル定義_一覧!$D$1:$D$501=AK$1), AK$2, _xlfn.XMATCH($B11, テーブル定義_一覧!$D$1:$Z$1))&amp;""</f>
        <v/>
      </c>
      <c r="AL11" s="40" t="str" cm="1">
        <f t="array" aca="1" ref="AL11" ca="1">INDEX(_xlfn._xlws.FILTER(テーブル定義_一覧!$D$1:$U$501, テーブル定義_一覧!$D$1:$D$501=AL$1), AL$2, _xlfn.XMATCH($B11, テーブル定義_一覧!$D$1:$Z$1))&amp;""</f>
        <v/>
      </c>
      <c r="AM11" s="40" t="str" cm="1">
        <f t="array" aca="1" ref="AM11" ca="1">INDEX(_xlfn._xlws.FILTER(テーブル定義_一覧!$D$1:$U$501, テーブル定義_一覧!$D$1:$D$501=AM$1), AM$2, _xlfn.XMATCH($B11, テーブル定義_一覧!$D$1:$Z$1))&amp;""</f>
        <v/>
      </c>
      <c r="AN11" s="40" t="str" cm="1">
        <f t="array" aca="1" ref="AN11" ca="1">INDEX(_xlfn._xlws.FILTER(テーブル定義_一覧!$D$1:$U$501, テーブル定義_一覧!$D$1:$D$501=AN$1), AN$2, _xlfn.XMATCH($B11, テーブル定義_一覧!$D$1:$Z$1))&amp;""</f>
        <v>CURRENT_TIMESTAMP</v>
      </c>
      <c r="AO11" s="40" t="str" cm="1">
        <f t="array" aca="1" ref="AO11" ca="1">INDEX(_xlfn._xlws.FILTER(テーブル定義_一覧!$D$1:$U$501, テーブル定義_一覧!$D$1:$D$501=AO$1), AO$2, _xlfn.XMATCH($B11, テーブル定義_一覧!$D$1:$Z$1))&amp;""</f>
        <v>0</v>
      </c>
      <c r="AP11" s="40" t="str" cm="1">
        <f t="array" aca="1" ref="AP11" ca="1">INDEX(_xlfn._xlws.FILTER(テーブル定義_一覧!$D$1:$U$501, テーブル定義_一覧!$D$1:$D$501=AP$1), AP$2, _xlfn.XMATCH($B11, テーブル定義_一覧!$D$1:$Z$1))&amp;""</f>
        <v>SEQUENCE</v>
      </c>
      <c r="AQ11" s="40" t="str" cm="1">
        <f t="array" aca="1" ref="AQ11" ca="1">INDEX(_xlfn._xlws.FILTER(テーブル定義_一覧!$D$1:$U$501, テーブル定義_一覧!$D$1:$D$501=AQ$1), AQ$2, _xlfn.XMATCH($B11, テーブル定義_一覧!$D$1:$Z$1))&amp;""</f>
        <v/>
      </c>
      <c r="AR11" s="40" t="str" cm="1">
        <f t="array" aca="1" ref="AR11" ca="1">INDEX(_xlfn._xlws.FILTER(テーブル定義_一覧!$D$1:$U$501, テーブル定義_一覧!$D$1:$D$501=AR$1), AR$2, _xlfn.XMATCH($B11, テーブル定義_一覧!$D$1:$Z$1))&amp;""</f>
        <v/>
      </c>
      <c r="AS11" s="40" t="str" cm="1">
        <f t="array" aca="1" ref="AS11" ca="1">INDEX(_xlfn._xlws.FILTER(テーブル定義_一覧!$D$1:$U$501, テーブル定義_一覧!$D$1:$D$501=AS$1), AS$2, _xlfn.XMATCH($B11, テーブル定義_一覧!$D$1:$Z$1))&amp;""</f>
        <v/>
      </c>
      <c r="AT11" s="40" t="str" cm="1">
        <f t="array" aca="1" ref="AT11" ca="1">INDEX(_xlfn._xlws.FILTER(テーブル定義_一覧!$D$1:$U$501, テーブル定義_一覧!$D$1:$D$501=AT$1), AT$2, _xlfn.XMATCH($B11, テーブル定義_一覧!$D$1:$Z$1))&amp;""</f>
        <v/>
      </c>
      <c r="AU11" s="40" t="str" cm="1">
        <f t="array" aca="1" ref="AU11" ca="1">INDEX(_xlfn._xlws.FILTER(テーブル定義_一覧!$D$1:$U$501, テーブル定義_一覧!$D$1:$D$501=AU$1), AU$2, _xlfn.XMATCH($B11, テーブル定義_一覧!$D$1:$Z$1))&amp;""</f>
        <v/>
      </c>
      <c r="AV11" s="40" t="str" cm="1">
        <f t="array" aca="1" ref="AV11" ca="1">INDEX(_xlfn._xlws.FILTER(テーブル定義_一覧!$D$1:$U$501, テーブル定義_一覧!$D$1:$D$501=AV$1), AV$2, _xlfn.XMATCH($B11, テーブル定義_一覧!$D$1:$Z$1))&amp;""</f>
        <v>SEQUENCE</v>
      </c>
      <c r="AW11" s="40" t="str" cm="1">
        <f t="array" aca="1" ref="AW11" ca="1">INDEX(_xlfn._xlws.FILTER(テーブル定義_一覧!$D$1:$U$501, テーブル定義_一覧!$D$1:$D$501=AW$1), AW$2, _xlfn.XMATCH($B11, テーブル定義_一覧!$D$1:$Z$1))&amp;""</f>
        <v/>
      </c>
      <c r="AX11" s="40" t="str" cm="1">
        <f t="array" aca="1" ref="AX11" ca="1">INDEX(_xlfn._xlws.FILTER(テーブル定義_一覧!$D$1:$U$501, テーブル定義_一覧!$D$1:$D$501=AX$1), AX$2, _xlfn.XMATCH($B11, テーブル定義_一覧!$D$1:$Z$1))&amp;""</f>
        <v/>
      </c>
      <c r="AY11" s="40" t="str" cm="1">
        <f t="array" aca="1" ref="AY11" ca="1">INDEX(_xlfn._xlws.FILTER(テーブル定義_一覧!$D$1:$U$501, テーブル定義_一覧!$D$1:$D$501=AY$1), AY$2, _xlfn.XMATCH($B11, テーブル定義_一覧!$D$1:$Z$1))&amp;""</f>
        <v/>
      </c>
      <c r="AZ11" s="40" t="str" cm="1">
        <f t="array" aca="1" ref="AZ11" ca="1">INDEX(_xlfn._xlws.FILTER(テーブル定義_一覧!$D$1:$U$501, テーブル定義_一覧!$D$1:$D$501=AZ$1), AZ$2, _xlfn.XMATCH($B11, テーブル定義_一覧!$D$1:$Z$1))&amp;""</f>
        <v/>
      </c>
      <c r="BA11" s="40" t="str" cm="1">
        <f t="array" aca="1" ref="BA11" ca="1">INDEX(_xlfn._xlws.FILTER(テーブル定義_一覧!$D$1:$U$501, テーブル定義_一覧!$D$1:$D$501=BA$1), BA$2, _xlfn.XMATCH($B11, テーブル定義_一覧!$D$1:$Z$1))&amp;""</f>
        <v>CURRENT_TIMESTAMP</v>
      </c>
      <c r="BB11" s="40" t="str" cm="1">
        <f t="array" aca="1" ref="BB11" ca="1">INDEX(_xlfn._xlws.FILTER(テーブル定義_一覧!$D$1:$U$501, テーブル定義_一覧!$D$1:$D$501=BB$1), BB$2, _xlfn.XMATCH($B11, テーブル定義_一覧!$D$1:$Z$1))&amp;""</f>
        <v>SEQUENCE</v>
      </c>
      <c r="BC11" s="40" t="str" cm="1">
        <f t="array" aca="1" ref="BC11" ca="1">INDEX(_xlfn._xlws.FILTER(テーブル定義_一覧!$D$1:$U$501, テーブル定義_一覧!$D$1:$D$501=BC$1), BC$2, _xlfn.XMATCH($B11, テーブル定義_一覧!$D$1:$Z$1))&amp;""</f>
        <v/>
      </c>
      <c r="BD11" s="40" t="str" cm="1">
        <f t="array" aca="1" ref="BD11" ca="1">INDEX(_xlfn._xlws.FILTER(テーブル定義_一覧!$D$1:$U$501, テーブル定義_一覧!$D$1:$D$501=BD$1), BD$2, _xlfn.XMATCH($B11, テーブル定義_一覧!$D$1:$Z$1))&amp;""</f>
        <v/>
      </c>
      <c r="BE11" s="40" t="str" cm="1">
        <f t="array" aca="1" ref="BE11" ca="1">INDEX(_xlfn._xlws.FILTER(テーブル定義_一覧!$D$1:$U$501, テーブル定義_一覧!$D$1:$D$501=BE$1), BE$2, _xlfn.XMATCH($B11, テーブル定義_一覧!$D$1:$Z$1))&amp;""</f>
        <v/>
      </c>
      <c r="BF11" s="40" t="str" cm="1">
        <f t="array" aca="1" ref="BF11" ca="1">INDEX(_xlfn._xlws.FILTER(テーブル定義_一覧!$D$1:$U$501, テーブル定義_一覧!$D$1:$D$501=BF$1), BF$2, _xlfn.XMATCH($B11, テーブル定義_一覧!$D$1:$Z$1))&amp;""</f>
        <v/>
      </c>
      <c r="BG11" s="40" t="str" cm="1">
        <f t="array" aca="1" ref="BG11" ca="1">INDEX(_xlfn._xlws.FILTER(テーブル定義_一覧!$D$1:$U$501, テーブル定義_一覧!$D$1:$D$501=BG$1), BG$2, _xlfn.XMATCH($B11, テーブル定義_一覧!$D$1:$Z$1))&amp;""</f>
        <v/>
      </c>
      <c r="BH11" s="40" t="str" cm="1">
        <f t="array" aca="1" ref="BH11" ca="1">INDEX(_xlfn._xlws.FILTER(テーブル定義_一覧!$D$1:$U$501, テーブル定義_一覧!$D$1:$D$501=BH$1), BH$2, _xlfn.XMATCH($B11, テーブル定義_一覧!$D$1:$Z$1))&amp;""</f>
        <v/>
      </c>
      <c r="BI11" s="40" t="str" cm="1">
        <f t="array" aca="1" ref="BI11" ca="1">INDEX(_xlfn._xlws.FILTER(テーブル定義_一覧!$D$1:$U$501, テーブル定義_一覧!$D$1:$D$501=BI$1), BI$2, _xlfn.XMATCH($B11, テーブル定義_一覧!$D$1:$Z$1))&amp;""</f>
        <v/>
      </c>
      <c r="BJ11" s="40" t="str" cm="1">
        <f t="array" aca="1" ref="BJ11" ca="1">INDEX(_xlfn._xlws.FILTER(テーブル定義_一覧!$D$1:$U$501, テーブル定義_一覧!$D$1:$D$501=BJ$1), BJ$2, _xlfn.XMATCH($B11, テーブル定義_一覧!$D$1:$Z$1))&amp;""</f>
        <v/>
      </c>
      <c r="BK11" s="40" t="str" cm="1">
        <f t="array" aca="1" ref="BK11" ca="1">INDEX(_xlfn._xlws.FILTER(テーブル定義_一覧!$D$1:$U$501, テーブル定義_一覧!$D$1:$D$501=BK$1), BK$2, _xlfn.XMATCH($B11, テーブル定義_一覧!$D$1:$Z$1))&amp;""</f>
        <v/>
      </c>
      <c r="BL11" s="40" t="str" cm="1">
        <f t="array" aca="1" ref="BL11" ca="1">INDEX(_xlfn._xlws.FILTER(テーブル定義_一覧!$D$1:$U$501, テーブル定義_一覧!$D$1:$D$501=BL$1), BL$2, _xlfn.XMATCH($B11, テーブル定義_一覧!$D$1:$Z$1))&amp;""</f>
        <v>SEQUENCE</v>
      </c>
      <c r="BM11" s="40" t="str" cm="1">
        <f t="array" aca="1" ref="BM11" ca="1">INDEX(_xlfn._xlws.FILTER(テーブル定義_一覧!$D$1:$U$501, テーブル定義_一覧!$D$1:$D$501=BM$1), BM$2, _xlfn.XMATCH($B11, テーブル定義_一覧!$D$1:$Z$1))&amp;""</f>
        <v/>
      </c>
      <c r="BN11" s="40" t="str" cm="1">
        <f t="array" aca="1" ref="BN11" ca="1">INDEX(_xlfn._xlws.FILTER(テーブル定義_一覧!$D$1:$U$501, テーブル定義_一覧!$D$1:$D$501=BN$1), BN$2, _xlfn.XMATCH($B11, テーブル定義_一覧!$D$1:$Z$1))&amp;""</f>
        <v/>
      </c>
      <c r="BO11" s="40" t="str" cm="1">
        <f t="array" aca="1" ref="BO11" ca="1">INDEX(_xlfn._xlws.FILTER(テーブル定義_一覧!$D$1:$U$501, テーブル定義_一覧!$D$1:$D$501=BO$1), BO$2, _xlfn.XMATCH($B11, テーブル定義_一覧!$D$1:$Z$1))&amp;""</f>
        <v/>
      </c>
      <c r="BP11" s="40" t="str" cm="1">
        <f t="array" aca="1" ref="BP11" ca="1">INDEX(_xlfn._xlws.FILTER(テーブル定義_一覧!$D$1:$U$501, テーブル定義_一覧!$D$1:$D$501=BP$1), BP$2, _xlfn.XMATCH($B11, テーブル定義_一覧!$D$1:$Z$1))&amp;""</f>
        <v/>
      </c>
      <c r="BQ11" s="40" t="str" cm="1">
        <f t="array" aca="1" ref="BQ11" ca="1">INDEX(_xlfn._xlws.FILTER(テーブル定義_一覧!$D$1:$U$501, テーブル定義_一覧!$D$1:$D$501=BQ$1), BQ$2, _xlfn.XMATCH($B11, テーブル定義_一覧!$D$1:$Z$1))&amp;""</f>
        <v>SEQUENCE</v>
      </c>
      <c r="BR11" s="40" t="str" cm="1">
        <f t="array" aca="1" ref="BR11" ca="1">INDEX(_xlfn._xlws.FILTER(テーブル定義_一覧!$D$1:$U$501, テーブル定義_一覧!$D$1:$D$501=BR$1), BR$2, _xlfn.XMATCH($B11, テーブル定義_一覧!$D$1:$Z$1))&amp;""</f>
        <v/>
      </c>
      <c r="BS11" s="40" t="str" cm="1">
        <f t="array" aca="1" ref="BS11" ca="1">INDEX(_xlfn._xlws.FILTER(テーブル定義_一覧!$D$1:$U$501, テーブル定義_一覧!$D$1:$D$501=BS$1), BS$2, _xlfn.XMATCH($B11, テーブル定義_一覧!$D$1:$Z$1))&amp;""</f>
        <v/>
      </c>
      <c r="BT11" s="40" t="str" cm="1">
        <f t="array" aca="1" ref="BT11" ca="1">INDEX(_xlfn._xlws.FILTER(テーブル定義_一覧!$D$1:$U$501, テーブル定義_一覧!$D$1:$D$501=BT$1), BT$2, _xlfn.XMATCH($B11, テーブル定義_一覧!$D$1:$Z$1))&amp;""</f>
        <v>SEQUENCE</v>
      </c>
      <c r="BU11" s="40" t="str" cm="1">
        <f t="array" aca="1" ref="BU11" ca="1">INDEX(_xlfn._xlws.FILTER(テーブル定義_一覧!$D$1:$U$501, テーブル定義_一覧!$D$1:$D$501=BU$1), BU$2, _xlfn.XMATCH($B11, テーブル定義_一覧!$D$1:$Z$1))&amp;""</f>
        <v/>
      </c>
      <c r="BV11" s="40" t="str" cm="1">
        <f t="array" aca="1" ref="BV11" ca="1">INDEX(_xlfn._xlws.FILTER(テーブル定義_一覧!$D$1:$U$501, テーブル定義_一覧!$D$1:$D$501=BV$1), BV$2, _xlfn.XMATCH($B11, テーブル定義_一覧!$D$1:$Z$1))&amp;""</f>
        <v/>
      </c>
      <c r="BW11" s="40" t="str" cm="1">
        <f t="array" aca="1" ref="BW11" ca="1">INDEX(_xlfn._xlws.FILTER(テーブル定義_一覧!$D$1:$U$501, テーブル定義_一覧!$D$1:$D$501=BW$1), BW$2, _xlfn.XMATCH($B11, テーブル定義_一覧!$D$1:$Z$1))&amp;""</f>
        <v/>
      </c>
      <c r="BX11" s="40" t="str" cm="1">
        <f t="array" aca="1" ref="BX11" ca="1">INDEX(_xlfn._xlws.FILTER(テーブル定義_一覧!$D$1:$U$501, テーブル定義_一覧!$D$1:$D$501=BX$1), BX$2, _xlfn.XMATCH($B11, テーブル定義_一覧!$D$1:$Z$1))&amp;""</f>
        <v>SEQUENCE</v>
      </c>
      <c r="BY11" s="40" t="str" cm="1">
        <f t="array" aca="1" ref="BY11" ca="1">INDEX(_xlfn._xlws.FILTER(テーブル定義_一覧!$D$1:$U$501, テーブル定義_一覧!$D$1:$D$501=BY$1), BY$2, _xlfn.XMATCH($B11, テーブル定義_一覧!$D$1:$Z$1))&amp;""</f>
        <v/>
      </c>
      <c r="BZ11" s="40" t="str" cm="1">
        <f t="array" aca="1" ref="BZ11" ca="1">INDEX(_xlfn._xlws.FILTER(テーブル定義_一覧!$D$1:$U$501, テーブル定義_一覧!$D$1:$D$501=BZ$1), BZ$2, _xlfn.XMATCH($B11, テーブル定義_一覧!$D$1:$Z$1))&amp;""</f>
        <v/>
      </c>
      <c r="CA11" s="40" t="str" cm="1">
        <f t="array" aca="1" ref="CA11" ca="1">INDEX(_xlfn._xlws.FILTER(テーブル定義_一覧!$D$1:$U$501, テーブル定義_一覧!$D$1:$D$501=CA$1), CA$2, _xlfn.XMATCH($B11, テーブル定義_一覧!$D$1:$Z$1))&amp;""</f>
        <v/>
      </c>
      <c r="CB11" s="40" t="str" cm="1">
        <f t="array" aca="1" ref="CB11" ca="1">INDEX(_xlfn._xlws.FILTER(テーブル定義_一覧!$D$1:$U$501, テーブル定義_一覧!$D$1:$D$501=CB$1), CB$2, _xlfn.XMATCH($B11, テーブル定義_一覧!$D$1:$Z$1))&amp;""</f>
        <v/>
      </c>
      <c r="CC11" s="40" t="str" cm="1">
        <f t="array" aca="1" ref="CC11" ca="1">INDEX(_xlfn._xlws.FILTER(テーブル定義_一覧!$D$1:$U$501, テーブル定義_一覧!$D$1:$D$501=CC$1), CC$2, _xlfn.XMATCH($B11, テーブル定義_一覧!$D$1:$Z$1))&amp;""</f>
        <v/>
      </c>
      <c r="CD11" s="40" t="str" cm="1">
        <f t="array" aca="1" ref="CD11" ca="1">INDEX(_xlfn._xlws.FILTER(テーブル定義_一覧!$D$1:$U$501, テーブル定義_一覧!$D$1:$D$501=CD$1), CD$2, _xlfn.XMATCH($B11, テーブル定義_一覧!$D$1:$Z$1))&amp;""</f>
        <v/>
      </c>
      <c r="CE11" s="40" t="str" cm="1">
        <f t="array" aca="1" ref="CE11" ca="1">INDEX(_xlfn._xlws.FILTER(テーブル定義_一覧!$D$1:$U$501, テーブル定義_一覧!$D$1:$D$501=CE$1), CE$2, _xlfn.XMATCH($B11, テーブル定義_一覧!$D$1:$Z$1))&amp;""</f>
        <v/>
      </c>
      <c r="CF11" s="40" t="str" cm="1">
        <f t="array" aca="1" ref="CF11" ca="1">INDEX(_xlfn._xlws.FILTER(テーブル定義_一覧!$D$1:$U$501, テーブル定義_一覧!$D$1:$D$501=CF$1), CF$2, _xlfn.XMATCH($B11, テーブル定義_一覧!$D$1:$Z$1))&amp;""</f>
        <v/>
      </c>
      <c r="CG11" s="40" t="str" cm="1">
        <f t="array" aca="1" ref="CG11" ca="1">INDEX(_xlfn._xlws.FILTER(テーブル定義_一覧!$D$1:$U$501, テーブル定義_一覧!$D$1:$D$501=CG$1), CG$2, _xlfn.XMATCH($B11, テーブル定義_一覧!$D$1:$Z$1))&amp;""</f>
        <v/>
      </c>
      <c r="CH11" s="40" t="str" cm="1">
        <f t="array" aca="1" ref="CH11" ca="1">INDEX(_xlfn._xlws.FILTER(テーブル定義_一覧!$D$1:$U$501, テーブル定義_一覧!$D$1:$D$501=CH$1), CH$2, _xlfn.XMATCH($B11, テーブル定義_一覧!$D$1:$Z$1))&amp;""</f>
        <v/>
      </c>
      <c r="CI11" s="40" t="str" cm="1">
        <f t="array" aca="1" ref="CI11" ca="1">INDEX(_xlfn._xlws.FILTER(テーブル定義_一覧!$D$1:$U$501, テーブル定義_一覧!$D$1:$D$501=CI$1), CI$2, _xlfn.XMATCH($B11, テーブル定義_一覧!$D$1:$Z$1))&amp;""</f>
        <v/>
      </c>
      <c r="CJ11" s="40" t="str" cm="1">
        <f t="array" aca="1" ref="CJ11" ca="1">INDEX(_xlfn._xlws.FILTER(テーブル定義_一覧!$D$1:$U$501, テーブル定義_一覧!$D$1:$D$501=CJ$1), CJ$2, _xlfn.XMATCH($B11, テーブル定義_一覧!$D$1:$Z$1))&amp;""</f>
        <v/>
      </c>
      <c r="CK11" s="40" t="str" cm="1">
        <f t="array" aca="1" ref="CK11" ca="1">INDEX(_xlfn._xlws.FILTER(テーブル定義_一覧!$D$1:$U$501, テーブル定義_一覧!$D$1:$D$501=CK$1), CK$2, _xlfn.XMATCH($B11, テーブル定義_一覧!$D$1:$Z$1))&amp;""</f>
        <v/>
      </c>
      <c r="CL11" s="40" t="str" cm="1">
        <f t="array" aca="1" ref="CL11" ca="1">INDEX(_xlfn._xlws.FILTER(テーブル定義_一覧!$D$1:$U$501, テーブル定義_一覧!$D$1:$D$501=CL$1), CL$2, _xlfn.XMATCH($B11, テーブル定義_一覧!$D$1:$Z$1))&amp;""</f>
        <v/>
      </c>
      <c r="CM11" s="40" t="str" cm="1">
        <f t="array" aca="1" ref="CM11" ca="1">INDEX(_xlfn._xlws.FILTER(テーブル定義_一覧!$D$1:$U$501, テーブル定義_一覧!$D$1:$D$501=CM$1), CM$2, _xlfn.XMATCH($B11, テーブル定義_一覧!$D$1:$Z$1))&amp;""</f>
        <v/>
      </c>
      <c r="CN11" s="40" t="str" cm="1">
        <f t="array" aca="1" ref="CN11" ca="1">INDEX(_xlfn._xlws.FILTER(テーブル定義_一覧!$D$1:$U$501, テーブル定義_一覧!$D$1:$D$501=CN$1), CN$2, _xlfn.XMATCH($B11, テーブル定義_一覧!$D$1:$Z$1))&amp;""</f>
        <v>SEQUENCE</v>
      </c>
      <c r="CO11" s="40" t="str" cm="1">
        <f t="array" aca="1" ref="CO11" ca="1">INDEX(_xlfn._xlws.FILTER(テーブル定義_一覧!$D$1:$U$501, テーブル定義_一覧!$D$1:$D$501=CO$1), CO$2, _xlfn.XMATCH($B11, テーブル定義_一覧!$D$1:$Z$1))&amp;""</f>
        <v/>
      </c>
      <c r="CP11" s="40" t="str" cm="1">
        <f t="array" aca="1" ref="CP11" ca="1">INDEX(_xlfn._xlws.FILTER(テーブル定義_一覧!$D$1:$U$501, テーブル定義_一覧!$D$1:$D$501=CP$1), CP$2, _xlfn.XMATCH($B11, テーブル定義_一覧!$D$1:$Z$1))&amp;""</f>
        <v/>
      </c>
      <c r="CQ11" s="40" t="str" cm="1">
        <f t="array" aca="1" ref="CQ11" ca="1">INDEX(_xlfn._xlws.FILTER(テーブル定義_一覧!$D$1:$U$501, テーブル定義_一覧!$D$1:$D$501=CQ$1), CQ$2, _xlfn.XMATCH($B11, テーブル定義_一覧!$D$1:$Z$1))&amp;""</f>
        <v>SEQUENCE</v>
      </c>
      <c r="CR11" s="40" t="str" cm="1">
        <f t="array" aca="1" ref="CR11" ca="1">INDEX(_xlfn._xlws.FILTER(テーブル定義_一覧!$D$1:$U$501, テーブル定義_一覧!$D$1:$D$501=CR$1), CR$2, _xlfn.XMATCH($B11, テーブル定義_一覧!$D$1:$Z$1))&amp;""</f>
        <v/>
      </c>
      <c r="CS11" s="34" t="str" cm="1">
        <f t="array" aca="1" ref="CS11" ca="1">INDEX(_xlfn._xlws.FILTER(テーブル定義_一覧!$D$1:$U$501, テーブル定義_一覧!$D$1:$D$501=CS$1), CS$2, _xlfn.XMATCH($B11, テーブル定義_一覧!$D$1:$Z$1))&amp;""</f>
        <v/>
      </c>
    </row>
    <row r="12" spans="1:97" ht="18.75">
      <c r="A12" s="79" t="s">
        <v>504</v>
      </c>
      <c r="B12" s="31" t="str">
        <f t="shared" ref="B12:B31" si="70">"#"&amp;(ROW()-11)</f>
        <v>#1</v>
      </c>
      <c r="C12" s="50" t="str">
        <f ca="1">IF(C11&lt;&gt;"SEQUENCE","{自動生成}"&amp;(MID(C11,7,3)+1),"{自動生成}"&amp;1)</f>
        <v>{自動生成}1</v>
      </c>
      <c r="D12" s="42" t="s">
        <v>662</v>
      </c>
      <c r="E12" s="42">
        <v>1</v>
      </c>
      <c r="F12" s="42">
        <v>3</v>
      </c>
      <c r="G12" s="51">
        <v>45017</v>
      </c>
      <c r="H12" s="41">
        <v>1</v>
      </c>
      <c r="I12" s="50" t="str">
        <f ca="1">IF(I11&lt;&gt;"SEQUENCE","{自動生成}"&amp;(MID(I11,7,3)+1),"{自動生成}"&amp;1)</f>
        <v>{自動生成}1</v>
      </c>
      <c r="J12" s="65" t="s">
        <v>674</v>
      </c>
      <c r="K12" s="42">
        <v>7</v>
      </c>
      <c r="L12" s="66" t="s">
        <v>761</v>
      </c>
      <c r="M12" s="50" t="str">
        <f ca="1">IF(M11&lt;&gt;"SEQUENCE","{自動生成}"&amp;(MID(M11,7,3)+1),"{自動生成}"&amp;1)</f>
        <v>{自動生成}1</v>
      </c>
      <c r="N12" s="41" t="s">
        <v>680</v>
      </c>
      <c r="O12" s="43" t="s">
        <v>681</v>
      </c>
      <c r="P12" s="41">
        <v>2</v>
      </c>
      <c r="Q12" s="42" t="b">
        <v>0</v>
      </c>
      <c r="R12" s="43">
        <v>1</v>
      </c>
      <c r="S12" s="68">
        <v>46244</v>
      </c>
      <c r="T12" s="42">
        <v>1</v>
      </c>
      <c r="U12" s="43">
        <v>2</v>
      </c>
      <c r="V12" s="50" t="str">
        <f ca="1">IF(V11&lt;&gt;"SEQUENCE","{自動生成}"&amp;(MID(V11,7,3)+1),"{自動生成}"&amp;1)</f>
        <v>{自動生成}1</v>
      </c>
      <c r="W12" s="42" t="s">
        <v>718</v>
      </c>
      <c r="X12" s="50" t="str">
        <f ca="1">IF(X11&lt;&gt;"SEQUENCE","{自動生成}"&amp;(MID(X11,7,3)+1),"{自動生成}"&amp;1)</f>
        <v>{自動生成}1</v>
      </c>
      <c r="Y12" s="42">
        <v>1</v>
      </c>
      <c r="Z12" s="42">
        <v>12</v>
      </c>
      <c r="AA12" s="41" t="s">
        <v>765</v>
      </c>
      <c r="AB12" s="73" t="s">
        <v>768</v>
      </c>
      <c r="AC12" s="50" t="str">
        <f ca="1">IF(AC11&lt;&gt;"SEQUENCE","{自動生成}"&amp;(MID(AC11,7,3)+1),"{自動生成}"&amp;1)</f>
        <v>{自動生成}1</v>
      </c>
      <c r="AD12" s="42">
        <v>1</v>
      </c>
      <c r="AE12" s="41">
        <v>2</v>
      </c>
      <c r="AF12" s="43" t="s">
        <v>801</v>
      </c>
      <c r="AG12" s="88">
        <v>45646.604166666664</v>
      </c>
      <c r="AH12" s="50" t="str">
        <f ca="1">IF(AH11&lt;&gt;"SEQUENCE","{自動生成}"&amp;(MID(AH11,7,3)+1),"{自動生成}"&amp;1)</f>
        <v>{自動生成}1</v>
      </c>
      <c r="AI12" s="42">
        <v>18</v>
      </c>
      <c r="AJ12" s="42">
        <v>1</v>
      </c>
      <c r="AK12" s="42" t="s">
        <v>523</v>
      </c>
      <c r="AL12" s="42" t="s">
        <v>523</v>
      </c>
      <c r="AM12" s="42" t="s">
        <v>803</v>
      </c>
      <c r="AN12" s="88">
        <v>45962.416666666664</v>
      </c>
      <c r="AO12" s="41">
        <v>0</v>
      </c>
      <c r="AP12" s="42"/>
      <c r="AQ12" s="41"/>
      <c r="AR12" s="43"/>
      <c r="AS12" s="42"/>
      <c r="AT12" s="42"/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  <c r="BO12" s="42"/>
      <c r="BP12" s="42"/>
      <c r="BQ12" s="50" t="str">
        <f ca="1">IF(BQ11&lt;&gt;"SEQUENCE","{自動生成}"&amp;(MID(BQ11,7,3)+1),"{自動生成}"&amp;1)</f>
        <v>{自動生成}1</v>
      </c>
      <c r="BR12" s="42">
        <v>1</v>
      </c>
      <c r="BS12" s="73" t="s">
        <v>772</v>
      </c>
      <c r="BT12" s="50" t="str">
        <f ca="1">IF(BT11&lt;&gt;"SEQUENCE","{自動生成}"&amp;(MID(BT11,7,3)+1),"{自動生成}"&amp;1)</f>
        <v>{自動生成}1</v>
      </c>
      <c r="BU12" s="42">
        <v>1</v>
      </c>
      <c r="BV12" s="42">
        <v>3</v>
      </c>
      <c r="BW12" s="66" t="s">
        <v>797</v>
      </c>
      <c r="BX12" s="50" t="str">
        <f ca="1">IF(BX11&lt;&gt;"SEQUENCE","{自動生成}"&amp;(MID(BX11,7,3)+1),"{自動生成}"&amp;1)</f>
        <v>{自動生成}1</v>
      </c>
      <c r="BY12" s="42">
        <v>1</v>
      </c>
      <c r="BZ12" s="42">
        <v>2</v>
      </c>
      <c r="CA12" s="42" t="s">
        <v>784</v>
      </c>
      <c r="CB12" s="42" t="s">
        <v>785</v>
      </c>
      <c r="CC12" s="74">
        <v>46060</v>
      </c>
      <c r="CD12" s="42" t="s">
        <v>786</v>
      </c>
      <c r="CE12" s="42" t="s">
        <v>787</v>
      </c>
      <c r="CF12" s="42" t="s">
        <v>788</v>
      </c>
      <c r="CG12" s="42" t="s">
        <v>789</v>
      </c>
      <c r="CH12" s="42" t="s">
        <v>790</v>
      </c>
      <c r="CI12" s="42" t="s">
        <v>791</v>
      </c>
      <c r="CJ12" s="42" t="s">
        <v>792</v>
      </c>
      <c r="CK12" s="42" t="s">
        <v>793</v>
      </c>
      <c r="CL12" s="42" t="s">
        <v>794</v>
      </c>
      <c r="CM12" s="42" t="s">
        <v>795</v>
      </c>
      <c r="CN12" s="50" t="str">
        <f ca="1">IF(CN11&lt;&gt;"SEQUENCE","{自動生成}"&amp;(MID(CN11,7,3)+1),"{自動生成}"&amp;1)</f>
        <v>{自動生成}1</v>
      </c>
      <c r="CO12" s="42">
        <v>1</v>
      </c>
      <c r="CP12" s="42">
        <v>3</v>
      </c>
      <c r="CQ12" s="50" t="str">
        <f ca="1">IF(CQ11&lt;&gt;"SEQUENCE","{自動生成}"&amp;(MID(CQ11,7,3)+1),"{自動生成}"&amp;1)</f>
        <v>{自動生成}1</v>
      </c>
      <c r="CR12" s="42">
        <v>1</v>
      </c>
      <c r="CS12" s="36" t="s">
        <v>796</v>
      </c>
    </row>
    <row r="13" spans="1:97">
      <c r="A13" s="79"/>
      <c r="B13" s="31" t="str">
        <f t="shared" si="70"/>
        <v>#2</v>
      </c>
      <c r="C13" s="50" t="str">
        <f t="shared" ref="C13:C17" ca="1" si="71">IF(C12&lt;&gt;"SEQUENCE","{自動生成}"&amp;(MID(C12,7,3)+1),"{自動生成}"&amp;1)</f>
        <v>{自動生成}2</v>
      </c>
      <c r="D13" s="42" t="s">
        <v>739</v>
      </c>
      <c r="E13" s="42">
        <v>12</v>
      </c>
      <c r="F13" s="42">
        <v>1</v>
      </c>
      <c r="G13" s="51">
        <v>45351</v>
      </c>
      <c r="H13" s="41">
        <v>1</v>
      </c>
      <c r="I13" s="50" t="str">
        <f t="shared" ref="I13:I17" ca="1" si="72">IF(I12&lt;&gt;"SEQUENCE","{自動生成}"&amp;(MID(I12,7,3)+1),"{自動生成}"&amp;1)</f>
        <v>{自動生成}2</v>
      </c>
      <c r="J13" s="65" t="s">
        <v>675</v>
      </c>
      <c r="K13" s="42">
        <v>7</v>
      </c>
      <c r="L13" s="66" t="s">
        <v>762</v>
      </c>
      <c r="M13" s="50" t="str">
        <f t="shared" ref="M13:M27" ca="1" si="73">IF(M12&lt;&gt;"SEQUENCE","{自動生成}"&amp;(MID(M12,7,3)+1),"{自動生成}"&amp;1)</f>
        <v>{自動生成}2</v>
      </c>
      <c r="N13" s="41" t="s">
        <v>697</v>
      </c>
      <c r="O13" s="46" t="s">
        <v>682</v>
      </c>
      <c r="P13" s="41">
        <v>4</v>
      </c>
      <c r="Q13" s="42" t="b">
        <v>0</v>
      </c>
      <c r="R13" s="43">
        <v>1</v>
      </c>
      <c r="S13" s="68">
        <v>46245</v>
      </c>
      <c r="T13" s="42">
        <v>1</v>
      </c>
      <c r="U13" s="43">
        <v>2</v>
      </c>
      <c r="V13" s="50" t="str">
        <f t="shared" ref="V13:V18" ca="1" si="74">IF(V12&lt;&gt;"SEQUENCE","{自動生成}"&amp;(MID(V12,7,3)+1),"{自動生成}"&amp;1)</f>
        <v>{自動生成}2</v>
      </c>
      <c r="W13" s="66" t="s">
        <v>719</v>
      </c>
      <c r="X13" s="50" t="str">
        <f t="shared" ref="X13:X15" ca="1" si="75">IF(X12&lt;&gt;"SEQUENCE","{自動生成}"&amp;(MID(X12,7,3)+1),"{自動生成}"&amp;1)</f>
        <v>{自動生成}2</v>
      </c>
      <c r="Y13" s="42">
        <v>1</v>
      </c>
      <c r="Z13" s="42">
        <v>4</v>
      </c>
      <c r="AA13" s="41" t="s">
        <v>766</v>
      </c>
      <c r="AB13" s="73" t="s">
        <v>769</v>
      </c>
      <c r="AC13" s="50" t="str">
        <f ca="1">IF(AC12&lt;&gt;"SEQUENCE","{自動生成}"&amp;(MID(AC12,7,3)+1),"{自動生成}"&amp;1)</f>
        <v>{自動生成}2</v>
      </c>
      <c r="AD13" s="42">
        <v>1</v>
      </c>
      <c r="AE13" s="41">
        <v>3</v>
      </c>
      <c r="AF13" s="87" t="s">
        <v>802</v>
      </c>
      <c r="AG13" s="88">
        <v>45647.427083333336</v>
      </c>
      <c r="AH13" s="50" t="str">
        <f t="shared" ref="AH13:AH22" ca="1" si="76">IF(AH12&lt;&gt;"SEQUENCE","{自動生成}"&amp;(MID(AH12,7,3)+1),"{自動生成}"&amp;1)</f>
        <v>{自動生成}2</v>
      </c>
      <c r="AI13" s="42">
        <v>2</v>
      </c>
      <c r="AJ13" s="42">
        <v>1</v>
      </c>
      <c r="AK13" s="42" t="s">
        <v>804</v>
      </c>
      <c r="AL13" s="42" t="s">
        <v>805</v>
      </c>
      <c r="AM13" s="42" t="s">
        <v>806</v>
      </c>
      <c r="AN13" s="88">
        <v>46001.597222222219</v>
      </c>
      <c r="AO13" s="41">
        <v>0</v>
      </c>
      <c r="AP13" s="42"/>
      <c r="AQ13" s="41"/>
      <c r="AR13" s="43"/>
      <c r="AS13" s="42"/>
      <c r="AT13" s="42"/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50" t="str">
        <f t="shared" ref="BQ13:BQ23" ca="1" si="77">IF(BQ12&lt;&gt;"SEQUENCE","{自動生成}"&amp;(MID(BQ12,7,3)+1),"{自動生成}"&amp;1)</f>
        <v>{自動生成}2</v>
      </c>
      <c r="BR13" s="42">
        <v>1</v>
      </c>
      <c r="BS13" s="73" t="s">
        <v>773</v>
      </c>
      <c r="BT13" s="50" t="str">
        <f t="shared" ref="BT13:BT16" ca="1" si="78">IF(BT12&lt;&gt;"SEQUENCE","{自動生成}"&amp;(MID(BT12,7,3)+1),"{自動生成}"&amp;1)</f>
        <v>{自動生成}2</v>
      </c>
      <c r="BU13" s="42">
        <v>1</v>
      </c>
      <c r="BV13" s="42">
        <v>4</v>
      </c>
      <c r="BW13" s="66" t="s">
        <v>798</v>
      </c>
      <c r="BX13" s="42"/>
      <c r="BY13" s="42"/>
      <c r="BZ13" s="42"/>
      <c r="CA13" s="42"/>
      <c r="CB13" s="42"/>
      <c r="CC13" s="42"/>
      <c r="CD13" s="42"/>
      <c r="CE13" s="42"/>
      <c r="CF13" s="42"/>
      <c r="CG13" s="42"/>
      <c r="CH13" s="42"/>
      <c r="CI13" s="42"/>
      <c r="CJ13" s="42"/>
      <c r="CK13" s="42"/>
      <c r="CL13" s="42"/>
      <c r="CM13" s="42"/>
      <c r="CN13" s="50" t="str">
        <f ca="1">IF(CN12&lt;&gt;"SEQUENCE","{自動生成}"&amp;(MID(CN12,7,3)+1),"{自動生成}"&amp;1)</f>
        <v>{自動生成}2</v>
      </c>
      <c r="CO13" s="42">
        <v>1</v>
      </c>
      <c r="CP13" s="42">
        <v>4</v>
      </c>
      <c r="CQ13" s="42"/>
      <c r="CR13" s="42"/>
      <c r="CS13" s="36"/>
    </row>
    <row r="14" spans="1:97">
      <c r="A14" s="79"/>
      <c r="B14" s="31" t="str">
        <f t="shared" si="70"/>
        <v>#3</v>
      </c>
      <c r="C14" s="50" t="str">
        <f t="shared" ca="1" si="71"/>
        <v>{自動生成}3</v>
      </c>
      <c r="D14" s="42" t="s">
        <v>740</v>
      </c>
      <c r="E14" s="42">
        <v>13</v>
      </c>
      <c r="F14" s="42">
        <v>5</v>
      </c>
      <c r="G14" s="51">
        <v>45991</v>
      </c>
      <c r="H14" s="41">
        <v>1</v>
      </c>
      <c r="I14" s="50" t="str">
        <f t="shared" ca="1" si="72"/>
        <v>{自動生成}3</v>
      </c>
      <c r="J14" s="65" t="s">
        <v>676</v>
      </c>
      <c r="K14" s="42">
        <v>7</v>
      </c>
      <c r="L14" s="66" t="s">
        <v>763</v>
      </c>
      <c r="M14" s="50" t="str">
        <f t="shared" ca="1" si="73"/>
        <v>{自動生成}3</v>
      </c>
      <c r="N14" s="41" t="s">
        <v>698</v>
      </c>
      <c r="O14" s="46" t="s">
        <v>683</v>
      </c>
      <c r="P14" s="41">
        <v>4</v>
      </c>
      <c r="Q14" s="42" t="b">
        <v>0</v>
      </c>
      <c r="R14" s="43">
        <v>1</v>
      </c>
      <c r="S14" s="68">
        <v>46246</v>
      </c>
      <c r="T14" s="42">
        <v>1</v>
      </c>
      <c r="U14" s="43">
        <v>2</v>
      </c>
      <c r="V14" s="50" t="str">
        <f t="shared" ca="1" si="74"/>
        <v>{自動生成}3</v>
      </c>
      <c r="W14" s="66" t="s">
        <v>720</v>
      </c>
      <c r="X14" s="50" t="str">
        <f t="shared" ca="1" si="75"/>
        <v>{自動生成}3</v>
      </c>
      <c r="Y14" s="42">
        <v>1</v>
      </c>
      <c r="Z14" s="42">
        <v>2</v>
      </c>
      <c r="AA14" s="41" t="s">
        <v>597</v>
      </c>
      <c r="AB14" s="73" t="s">
        <v>770</v>
      </c>
      <c r="AC14" s="41"/>
      <c r="AD14" s="42"/>
      <c r="AE14" s="41"/>
      <c r="AF14" s="43"/>
      <c r="AG14" s="42"/>
      <c r="AH14" s="50" t="str">
        <f t="shared" ca="1" si="76"/>
        <v>{自動生成}3</v>
      </c>
      <c r="AI14" s="42">
        <v>2</v>
      </c>
      <c r="AJ14" s="42">
        <v>1</v>
      </c>
      <c r="AK14" s="42" t="s">
        <v>68</v>
      </c>
      <c r="AL14" s="42" t="s">
        <v>567</v>
      </c>
      <c r="AM14" s="42" t="s">
        <v>807</v>
      </c>
      <c r="AN14" s="88">
        <v>46001.597222222219</v>
      </c>
      <c r="AO14" s="41">
        <v>0</v>
      </c>
      <c r="AP14" s="42"/>
      <c r="AQ14" s="41"/>
      <c r="AR14" s="43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50" t="str">
        <f t="shared" ca="1" si="77"/>
        <v>{自動生成}3</v>
      </c>
      <c r="BR14" s="42">
        <v>1</v>
      </c>
      <c r="BS14" s="73" t="s">
        <v>774</v>
      </c>
      <c r="BT14" s="50" t="str">
        <f t="shared" ca="1" si="78"/>
        <v>{自動生成}3</v>
      </c>
      <c r="BU14" s="42">
        <v>1</v>
      </c>
      <c r="BV14" s="42">
        <v>5</v>
      </c>
      <c r="BW14" s="66" t="s">
        <v>799</v>
      </c>
      <c r="BX14" s="42"/>
      <c r="BY14" s="42"/>
      <c r="BZ14" s="42"/>
      <c r="CA14" s="42"/>
      <c r="CB14" s="42"/>
      <c r="CC14" s="42"/>
      <c r="CD14" s="42"/>
      <c r="CE14" s="42"/>
      <c r="CF14" s="42"/>
      <c r="CG14" s="42"/>
      <c r="CH14" s="42"/>
      <c r="CI14" s="42"/>
      <c r="CJ14" s="42"/>
      <c r="CK14" s="42"/>
      <c r="CL14" s="42"/>
      <c r="CM14" s="42"/>
      <c r="CN14" s="50" t="str">
        <f ca="1">IF(CN13&lt;&gt;"SEQUENCE","{自動生成}"&amp;(MID(CN13,7,3)+1),"{自動生成}"&amp;1)</f>
        <v>{自動生成}3</v>
      </c>
      <c r="CO14" s="42">
        <v>1</v>
      </c>
      <c r="CP14" s="42">
        <v>2</v>
      </c>
      <c r="CQ14" s="42"/>
      <c r="CR14" s="42"/>
      <c r="CS14" s="36"/>
    </row>
    <row r="15" spans="1:97">
      <c r="A15" s="79"/>
      <c r="B15" s="31" t="str">
        <f t="shared" si="70"/>
        <v>#4</v>
      </c>
      <c r="C15" s="50" t="str">
        <f t="shared" ca="1" si="71"/>
        <v>{自動生成}4</v>
      </c>
      <c r="D15" s="42" t="s">
        <v>741</v>
      </c>
      <c r="E15" s="42">
        <v>14</v>
      </c>
      <c r="F15" s="42">
        <v>6</v>
      </c>
      <c r="G15" s="51">
        <v>44650</v>
      </c>
      <c r="H15" s="41">
        <v>1</v>
      </c>
      <c r="I15" s="50" t="str">
        <f t="shared" ca="1" si="72"/>
        <v>{自動生成}4</v>
      </c>
      <c r="J15" s="65" t="s">
        <v>677</v>
      </c>
      <c r="K15" s="42">
        <v>7</v>
      </c>
      <c r="L15" s="66" t="s">
        <v>763</v>
      </c>
      <c r="M15" s="50" t="str">
        <f t="shared" ca="1" si="73"/>
        <v>{自動生成}4</v>
      </c>
      <c r="N15" s="41" t="s">
        <v>699</v>
      </c>
      <c r="O15" s="46" t="s">
        <v>684</v>
      </c>
      <c r="P15" s="41">
        <v>4</v>
      </c>
      <c r="Q15" s="42" t="b">
        <v>0</v>
      </c>
      <c r="R15" s="43">
        <v>1</v>
      </c>
      <c r="S15" s="68">
        <v>46247</v>
      </c>
      <c r="T15" s="42">
        <v>1</v>
      </c>
      <c r="U15" s="43">
        <v>2</v>
      </c>
      <c r="V15" s="50" t="str">
        <f t="shared" ca="1" si="74"/>
        <v>{自動生成}4</v>
      </c>
      <c r="W15" s="66" t="s">
        <v>721</v>
      </c>
      <c r="X15" s="50" t="str">
        <f t="shared" ca="1" si="75"/>
        <v>{自動生成}4</v>
      </c>
      <c r="Y15" s="42">
        <v>1</v>
      </c>
      <c r="Z15" s="42" t="s">
        <v>523</v>
      </c>
      <c r="AA15" s="41" t="s">
        <v>767</v>
      </c>
      <c r="AB15" s="73" t="s">
        <v>771</v>
      </c>
      <c r="AC15" s="41"/>
      <c r="AD15" s="42"/>
      <c r="AE15" s="41"/>
      <c r="AF15" s="43"/>
      <c r="AG15" s="44"/>
      <c r="AH15" s="50" t="str">
        <f t="shared" ca="1" si="76"/>
        <v>{自動生成}4</v>
      </c>
      <c r="AI15" s="44">
        <v>3</v>
      </c>
      <c r="AJ15" s="42">
        <v>1</v>
      </c>
      <c r="AK15" s="42" t="s">
        <v>808</v>
      </c>
      <c r="AL15" s="42" t="s">
        <v>809</v>
      </c>
      <c r="AM15" s="42" t="s">
        <v>810</v>
      </c>
      <c r="AN15" s="89">
        <v>46011.46875</v>
      </c>
      <c r="AO15" s="41">
        <v>0</v>
      </c>
      <c r="AP15" s="42"/>
      <c r="AQ15" s="41"/>
      <c r="AR15" s="43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50" t="str">
        <f t="shared" ca="1" si="77"/>
        <v>{自動生成}4</v>
      </c>
      <c r="BR15" s="42">
        <v>1</v>
      </c>
      <c r="BS15" s="73" t="s">
        <v>775</v>
      </c>
      <c r="BT15" s="50" t="str">
        <f t="shared" ca="1" si="78"/>
        <v>{自動生成}4</v>
      </c>
      <c r="BU15" s="42">
        <v>1</v>
      </c>
      <c r="BV15" s="44">
        <v>6</v>
      </c>
      <c r="BW15" s="65" t="s">
        <v>800</v>
      </c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35"/>
    </row>
    <row r="16" spans="1:97">
      <c r="A16" s="79"/>
      <c r="B16" s="31" t="str">
        <f t="shared" si="70"/>
        <v>#5</v>
      </c>
      <c r="C16" s="50" t="str">
        <f t="shared" ca="1" si="71"/>
        <v>{自動生成}5</v>
      </c>
      <c r="D16" s="42" t="s">
        <v>742</v>
      </c>
      <c r="E16" s="42">
        <v>15</v>
      </c>
      <c r="F16" s="42">
        <v>2</v>
      </c>
      <c r="G16" s="51">
        <v>45352</v>
      </c>
      <c r="H16" s="41">
        <v>1</v>
      </c>
      <c r="I16" s="50" t="str">
        <f t="shared" ca="1" si="72"/>
        <v>{自動生成}5</v>
      </c>
      <c r="J16" s="42" t="s">
        <v>678</v>
      </c>
      <c r="K16" s="42">
        <v>7</v>
      </c>
      <c r="L16" s="66" t="s">
        <v>763</v>
      </c>
      <c r="M16" s="50" t="str">
        <f t="shared" ca="1" si="73"/>
        <v>{自動生成}5</v>
      </c>
      <c r="N16" s="41" t="s">
        <v>700</v>
      </c>
      <c r="O16" s="46" t="s">
        <v>685</v>
      </c>
      <c r="P16" s="41">
        <v>4</v>
      </c>
      <c r="Q16" s="42" t="b">
        <v>0</v>
      </c>
      <c r="R16" s="43">
        <v>1</v>
      </c>
      <c r="S16" s="68">
        <v>46248</v>
      </c>
      <c r="T16" s="42">
        <v>1</v>
      </c>
      <c r="U16" s="43">
        <v>2</v>
      </c>
      <c r="V16" s="50" t="str">
        <f t="shared" ca="1" si="74"/>
        <v>{自動生成}5</v>
      </c>
      <c r="W16" s="66" t="s">
        <v>722</v>
      </c>
      <c r="X16" s="42"/>
      <c r="Y16" s="42"/>
      <c r="Z16" s="42"/>
      <c r="AA16" s="41"/>
      <c r="AB16" s="44"/>
      <c r="AC16" s="44"/>
      <c r="AD16" s="44"/>
      <c r="AE16" s="41"/>
      <c r="AF16" s="43"/>
      <c r="AG16" s="44"/>
      <c r="AH16" s="50" t="str">
        <f t="shared" ca="1" si="76"/>
        <v>{自動生成}5</v>
      </c>
      <c r="AI16" s="44">
        <v>4</v>
      </c>
      <c r="AJ16" s="42">
        <v>1</v>
      </c>
      <c r="AK16" s="44" t="s">
        <v>68</v>
      </c>
      <c r="AL16" s="42" t="s">
        <v>807</v>
      </c>
      <c r="AM16" s="42" t="s">
        <v>811</v>
      </c>
      <c r="AN16" s="89">
        <v>46019.65625</v>
      </c>
      <c r="AO16" s="41">
        <v>0</v>
      </c>
      <c r="AP16" s="44"/>
      <c r="AQ16" s="41"/>
      <c r="AR16" s="43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50" t="str">
        <f t="shared" ca="1" si="77"/>
        <v>{自動生成}5</v>
      </c>
      <c r="BR16" s="42">
        <v>1</v>
      </c>
      <c r="BS16" s="73" t="s">
        <v>776</v>
      </c>
      <c r="BT16" s="50"/>
      <c r="BU16" s="42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35"/>
    </row>
    <row r="17" spans="1:97">
      <c r="A17" s="79"/>
      <c r="B17" s="31" t="str">
        <f t="shared" si="70"/>
        <v>#6</v>
      </c>
      <c r="C17" s="50" t="str">
        <f t="shared" ca="1" si="71"/>
        <v>{自動生成}6</v>
      </c>
      <c r="D17" s="42" t="s">
        <v>743</v>
      </c>
      <c r="E17" s="42">
        <v>16</v>
      </c>
      <c r="F17" s="42">
        <v>4</v>
      </c>
      <c r="G17" s="51">
        <v>45231</v>
      </c>
      <c r="H17" s="41">
        <v>1</v>
      </c>
      <c r="I17" s="50" t="str">
        <f t="shared" ca="1" si="72"/>
        <v>{自動生成}6</v>
      </c>
      <c r="J17" s="65" t="s">
        <v>679</v>
      </c>
      <c r="K17" s="42">
        <v>7</v>
      </c>
      <c r="L17" s="42" t="s">
        <v>679</v>
      </c>
      <c r="M17" s="50" t="str">
        <f t="shared" ca="1" si="73"/>
        <v>{自動生成}6</v>
      </c>
      <c r="N17" s="41" t="s">
        <v>701</v>
      </c>
      <c r="O17" s="46" t="s">
        <v>686</v>
      </c>
      <c r="P17" s="41">
        <v>4</v>
      </c>
      <c r="Q17" s="42" t="b">
        <v>0</v>
      </c>
      <c r="R17" s="43">
        <v>1</v>
      </c>
      <c r="S17" s="68">
        <v>46249</v>
      </c>
      <c r="T17" s="42">
        <v>1</v>
      </c>
      <c r="U17" s="43">
        <v>2</v>
      </c>
      <c r="V17" s="50" t="str">
        <f t="shared" ca="1" si="74"/>
        <v>{自動生成}6</v>
      </c>
      <c r="W17" s="66" t="s">
        <v>723</v>
      </c>
      <c r="X17" s="42"/>
      <c r="Y17" s="42"/>
      <c r="Z17" s="42"/>
      <c r="AA17" s="41"/>
      <c r="AB17" s="44"/>
      <c r="AC17" s="44"/>
      <c r="AD17" s="44"/>
      <c r="AE17" s="41"/>
      <c r="AF17" s="43"/>
      <c r="AG17" s="44"/>
      <c r="AH17" s="50" t="str">
        <f t="shared" ca="1" si="76"/>
        <v>{自動生成}6</v>
      </c>
      <c r="AI17" s="44">
        <v>5</v>
      </c>
      <c r="AJ17" s="42">
        <v>1</v>
      </c>
      <c r="AK17" s="42" t="s">
        <v>812</v>
      </c>
      <c r="AL17" s="42" t="s">
        <v>813</v>
      </c>
      <c r="AM17" s="42" t="s">
        <v>814</v>
      </c>
      <c r="AN17" s="89">
        <v>46054.395833333336</v>
      </c>
      <c r="AO17" s="41">
        <v>0</v>
      </c>
      <c r="AP17" s="44"/>
      <c r="AQ17" s="41"/>
      <c r="AR17" s="43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50" t="str">
        <f t="shared" ca="1" si="77"/>
        <v>{自動生成}6</v>
      </c>
      <c r="BR17" s="42">
        <v>1</v>
      </c>
      <c r="BS17" s="73" t="s">
        <v>777</v>
      </c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35"/>
    </row>
    <row r="18" spans="1:97" ht="16.5">
      <c r="A18" s="79"/>
      <c r="B18" s="31" t="str">
        <f t="shared" si="70"/>
        <v>#7</v>
      </c>
      <c r="C18" s="50"/>
      <c r="D18" s="42"/>
      <c r="E18" s="42"/>
      <c r="F18" s="43"/>
      <c r="G18" s="42"/>
      <c r="H18" s="44"/>
      <c r="I18" s="44"/>
      <c r="J18" s="44"/>
      <c r="K18" s="44"/>
      <c r="L18" s="44"/>
      <c r="M18" s="50" t="str">
        <f t="shared" ca="1" si="73"/>
        <v>{自動生成}7</v>
      </c>
      <c r="N18" s="41" t="s">
        <v>702</v>
      </c>
      <c r="O18" s="46" t="s">
        <v>687</v>
      </c>
      <c r="P18" s="41">
        <v>4</v>
      </c>
      <c r="Q18" s="44" t="b">
        <v>1</v>
      </c>
      <c r="R18" s="43">
        <v>1</v>
      </c>
      <c r="S18" s="68">
        <v>46250</v>
      </c>
      <c r="T18" s="42">
        <v>1</v>
      </c>
      <c r="U18" s="43">
        <v>2</v>
      </c>
      <c r="V18" s="50" t="str">
        <f t="shared" ca="1" si="74"/>
        <v>{自動生成}7</v>
      </c>
      <c r="W18" s="42" t="s">
        <v>724</v>
      </c>
      <c r="X18" s="42"/>
      <c r="Y18" s="42"/>
      <c r="Z18" s="42"/>
      <c r="AA18" s="44"/>
      <c r="AB18" s="44"/>
      <c r="AC18" s="44"/>
      <c r="AD18" s="44"/>
      <c r="AE18" s="41"/>
      <c r="AF18" s="43"/>
      <c r="AG18" s="44"/>
      <c r="AH18" s="50" t="str">
        <f t="shared" ca="1" si="76"/>
        <v>{自動生成}7</v>
      </c>
      <c r="AI18" s="44">
        <v>6</v>
      </c>
      <c r="AJ18" s="42">
        <v>1</v>
      </c>
      <c r="AK18" s="42" t="s">
        <v>804</v>
      </c>
      <c r="AL18" s="42" t="s">
        <v>806</v>
      </c>
      <c r="AM18" s="42" t="s">
        <v>815</v>
      </c>
      <c r="AN18" s="89">
        <v>46055.5</v>
      </c>
      <c r="AO18" s="41">
        <v>0</v>
      </c>
      <c r="AP18" s="44"/>
      <c r="AQ18" s="41"/>
      <c r="AR18" s="43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50" t="str">
        <f t="shared" ca="1" si="77"/>
        <v>{自動生成}7</v>
      </c>
      <c r="BR18" s="42">
        <v>1</v>
      </c>
      <c r="BS18" s="73" t="s">
        <v>778</v>
      </c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35"/>
    </row>
    <row r="19" spans="1:97">
      <c r="A19" s="79"/>
      <c r="B19" s="31" t="str">
        <f t="shared" si="70"/>
        <v>#8</v>
      </c>
      <c r="C19" s="50"/>
      <c r="D19" s="42"/>
      <c r="E19" s="42"/>
      <c r="F19" s="42"/>
      <c r="G19" s="42"/>
      <c r="H19" s="44"/>
      <c r="I19" s="44"/>
      <c r="J19" s="44"/>
      <c r="K19" s="44"/>
      <c r="L19" s="44"/>
      <c r="M19" s="50" t="str">
        <f t="shared" ca="1" si="73"/>
        <v>{自動生成}8</v>
      </c>
      <c r="N19" s="41" t="s">
        <v>703</v>
      </c>
      <c r="O19" s="46" t="s">
        <v>688</v>
      </c>
      <c r="P19" s="41">
        <v>4</v>
      </c>
      <c r="Q19" s="44" t="b">
        <v>1</v>
      </c>
      <c r="R19" s="43">
        <v>1</v>
      </c>
      <c r="S19" s="68">
        <v>46251</v>
      </c>
      <c r="T19" s="42">
        <v>1</v>
      </c>
      <c r="U19" s="43">
        <v>2</v>
      </c>
      <c r="V19" s="41"/>
      <c r="W19" s="42"/>
      <c r="X19" s="42"/>
      <c r="Y19" s="42"/>
      <c r="Z19" s="42"/>
      <c r="AA19" s="44"/>
      <c r="AB19" s="44"/>
      <c r="AC19" s="44"/>
      <c r="AD19" s="44"/>
      <c r="AE19" s="41"/>
      <c r="AF19" s="43"/>
      <c r="AG19" s="44"/>
      <c r="AH19" s="50" t="str">
        <f t="shared" ca="1" si="76"/>
        <v>{自動生成}8</v>
      </c>
      <c r="AI19" s="44">
        <v>7</v>
      </c>
      <c r="AJ19" s="42">
        <v>1</v>
      </c>
      <c r="AK19" s="65" t="s">
        <v>816</v>
      </c>
      <c r="AL19" s="65" t="s">
        <v>817</v>
      </c>
      <c r="AM19" s="65" t="s">
        <v>818</v>
      </c>
      <c r="AN19" s="89">
        <v>46056.680555555555</v>
      </c>
      <c r="AO19" s="41">
        <v>0</v>
      </c>
      <c r="AP19" s="44"/>
      <c r="AQ19" s="41"/>
      <c r="AR19" s="43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50" t="str">
        <f t="shared" ca="1" si="77"/>
        <v>{自動生成}8</v>
      </c>
      <c r="BR19" s="42">
        <v>1</v>
      </c>
      <c r="BS19" s="73" t="s">
        <v>779</v>
      </c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35"/>
    </row>
    <row r="20" spans="1:97">
      <c r="A20" s="79"/>
      <c r="B20" s="31" t="str">
        <f t="shared" si="70"/>
        <v>#9</v>
      </c>
      <c r="C20" s="50"/>
      <c r="D20" s="42"/>
      <c r="E20" s="42"/>
      <c r="F20" s="42"/>
      <c r="G20" s="42"/>
      <c r="H20" s="44"/>
      <c r="I20" s="44"/>
      <c r="J20" s="44"/>
      <c r="K20" s="44"/>
      <c r="L20" s="44"/>
      <c r="M20" s="50" t="str">
        <f t="shared" ca="1" si="73"/>
        <v>{自動生成}9</v>
      </c>
      <c r="N20" s="41" t="s">
        <v>704</v>
      </c>
      <c r="O20" s="46" t="s">
        <v>689</v>
      </c>
      <c r="P20" s="41">
        <v>4</v>
      </c>
      <c r="Q20" s="44" t="b">
        <v>1</v>
      </c>
      <c r="R20" s="43">
        <v>1</v>
      </c>
      <c r="S20" s="68">
        <v>46252</v>
      </c>
      <c r="T20" s="42">
        <v>1</v>
      </c>
      <c r="U20" s="43">
        <v>2</v>
      </c>
      <c r="V20" s="41"/>
      <c r="W20" s="42"/>
      <c r="X20" s="42"/>
      <c r="Y20" s="42"/>
      <c r="Z20" s="44"/>
      <c r="AA20" s="44"/>
      <c r="AB20" s="44"/>
      <c r="AC20" s="44"/>
      <c r="AD20" s="44"/>
      <c r="AE20" s="44"/>
      <c r="AF20" s="44"/>
      <c r="AG20" s="44"/>
      <c r="AH20" s="50" t="str">
        <f t="shared" ca="1" si="76"/>
        <v>{自動生成}9</v>
      </c>
      <c r="AI20" s="44">
        <v>8</v>
      </c>
      <c r="AJ20" s="42">
        <v>1</v>
      </c>
      <c r="AK20" s="42" t="s">
        <v>819</v>
      </c>
      <c r="AL20" s="42" t="s">
        <v>820</v>
      </c>
      <c r="AM20" s="42" t="s">
        <v>821</v>
      </c>
      <c r="AN20" s="89">
        <v>46057.447916666664</v>
      </c>
      <c r="AO20" s="41">
        <v>0</v>
      </c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50" t="str">
        <f t="shared" ca="1" si="77"/>
        <v>{自動生成}9</v>
      </c>
      <c r="BR20" s="42">
        <v>1</v>
      </c>
      <c r="BS20" s="73" t="s">
        <v>780</v>
      </c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35"/>
    </row>
    <row r="21" spans="1:97">
      <c r="A21" s="79"/>
      <c r="B21" s="31" t="str">
        <f t="shared" si="70"/>
        <v>#10</v>
      </c>
      <c r="C21" s="50"/>
      <c r="D21" s="42"/>
      <c r="E21" s="42"/>
      <c r="F21" s="42"/>
      <c r="G21" s="42"/>
      <c r="H21" s="44"/>
      <c r="I21" s="44"/>
      <c r="J21" s="44"/>
      <c r="K21" s="44"/>
      <c r="L21" s="44"/>
      <c r="M21" s="50" t="str">
        <f t="shared" ca="1" si="73"/>
        <v>{自動生成}10</v>
      </c>
      <c r="N21" s="41" t="s">
        <v>705</v>
      </c>
      <c r="O21" s="46" t="s">
        <v>690</v>
      </c>
      <c r="P21" s="41">
        <v>4</v>
      </c>
      <c r="Q21" s="44" t="b">
        <v>1</v>
      </c>
      <c r="R21" s="43">
        <v>1</v>
      </c>
      <c r="S21" s="68">
        <v>46253</v>
      </c>
      <c r="T21" s="42">
        <v>1</v>
      </c>
      <c r="U21" s="43">
        <v>2</v>
      </c>
      <c r="V21" s="41"/>
      <c r="W21" s="42"/>
      <c r="X21" s="43"/>
      <c r="Y21" s="42"/>
      <c r="Z21" s="44"/>
      <c r="AA21" s="44"/>
      <c r="AB21" s="44"/>
      <c r="AC21" s="44"/>
      <c r="AD21" s="44"/>
      <c r="AE21" s="44"/>
      <c r="AF21" s="44"/>
      <c r="AG21" s="44"/>
      <c r="AH21" s="50" t="str">
        <f t="shared" ca="1" si="76"/>
        <v>{自動生成}10</v>
      </c>
      <c r="AI21" s="44">
        <v>9</v>
      </c>
      <c r="AJ21" s="42">
        <v>1</v>
      </c>
      <c r="AK21" s="42" t="s">
        <v>808</v>
      </c>
      <c r="AL21" s="42" t="s">
        <v>810</v>
      </c>
      <c r="AM21" s="42" t="s">
        <v>822</v>
      </c>
      <c r="AN21" s="89">
        <v>46058.59375</v>
      </c>
      <c r="AO21" s="41">
        <v>0</v>
      </c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50" t="str">
        <f t="shared" ca="1" si="77"/>
        <v>{自動生成}10</v>
      </c>
      <c r="BR21" s="42">
        <v>1</v>
      </c>
      <c r="BS21" s="73" t="s">
        <v>781</v>
      </c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35"/>
    </row>
    <row r="22" spans="1:97" ht="16.5">
      <c r="A22" s="79"/>
      <c r="B22" s="31" t="str">
        <f t="shared" si="70"/>
        <v>#11</v>
      </c>
      <c r="C22" s="50"/>
      <c r="D22" s="42"/>
      <c r="E22" s="42"/>
      <c r="F22" s="42"/>
      <c r="G22" s="42"/>
      <c r="H22" s="44"/>
      <c r="I22" s="44"/>
      <c r="J22" s="44"/>
      <c r="K22" s="44"/>
      <c r="L22" s="44"/>
      <c r="M22" s="50" t="str">
        <f t="shared" ca="1" si="73"/>
        <v>{自動生成}11</v>
      </c>
      <c r="N22" s="41" t="s">
        <v>706</v>
      </c>
      <c r="O22" s="46" t="s">
        <v>691</v>
      </c>
      <c r="P22" s="41">
        <v>4</v>
      </c>
      <c r="Q22" s="44" t="b">
        <v>1</v>
      </c>
      <c r="R22" s="43">
        <v>1</v>
      </c>
      <c r="S22" s="68">
        <v>46254</v>
      </c>
      <c r="T22" s="42">
        <v>1</v>
      </c>
      <c r="U22" s="43">
        <v>2</v>
      </c>
      <c r="V22" s="41"/>
      <c r="W22" s="42"/>
      <c r="X22" s="43"/>
      <c r="Y22" s="42"/>
      <c r="Z22" s="44"/>
      <c r="AA22" s="44"/>
      <c r="AB22" s="44"/>
      <c r="AC22" s="44"/>
      <c r="AD22" s="44"/>
      <c r="AE22" s="44"/>
      <c r="AF22" s="44"/>
      <c r="AG22" s="44"/>
      <c r="AH22" s="50" t="str">
        <f t="shared" ca="1" si="76"/>
        <v>{自動生成}11</v>
      </c>
      <c r="AI22" s="44">
        <v>10</v>
      </c>
      <c r="AJ22" s="42">
        <v>1</v>
      </c>
      <c r="AK22" s="42" t="s">
        <v>823</v>
      </c>
      <c r="AL22" s="42" t="s">
        <v>824</v>
      </c>
      <c r="AM22" s="42" t="s">
        <v>825</v>
      </c>
      <c r="AN22" s="89">
        <v>46059.770833333336</v>
      </c>
      <c r="AO22" s="41">
        <v>0</v>
      </c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50" t="str">
        <f t="shared" ca="1" si="77"/>
        <v>{自動生成}11</v>
      </c>
      <c r="BR22" s="42">
        <v>1</v>
      </c>
      <c r="BS22" s="73" t="s">
        <v>782</v>
      </c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35"/>
    </row>
    <row r="23" spans="1:97">
      <c r="A23" s="79"/>
      <c r="B23" s="31" t="str">
        <f t="shared" si="70"/>
        <v>#12</v>
      </c>
      <c r="C23" s="50"/>
      <c r="D23" s="42"/>
      <c r="E23" s="42"/>
      <c r="F23" s="45"/>
      <c r="G23" s="42"/>
      <c r="H23" s="44"/>
      <c r="I23" s="44"/>
      <c r="J23" s="44"/>
      <c r="K23" s="44"/>
      <c r="L23" s="44"/>
      <c r="M23" s="50" t="str">
        <f t="shared" ca="1" si="73"/>
        <v>{自動生成}12</v>
      </c>
      <c r="N23" s="41" t="s">
        <v>707</v>
      </c>
      <c r="O23" s="67" t="s">
        <v>692</v>
      </c>
      <c r="P23" s="44">
        <v>2</v>
      </c>
      <c r="Q23" s="42" t="b">
        <v>0</v>
      </c>
      <c r="R23" s="43">
        <v>1</v>
      </c>
      <c r="S23" s="68">
        <v>46255</v>
      </c>
      <c r="T23" s="42">
        <v>1</v>
      </c>
      <c r="U23" s="43">
        <v>2</v>
      </c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50" t="str">
        <f t="shared" ca="1" si="77"/>
        <v>{自動生成}12</v>
      </c>
      <c r="BR23" s="42">
        <v>1</v>
      </c>
      <c r="BS23" s="73" t="s">
        <v>783</v>
      </c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35"/>
    </row>
    <row r="24" spans="1:97">
      <c r="A24" s="79"/>
      <c r="B24" s="31" t="str">
        <f t="shared" si="70"/>
        <v>#13</v>
      </c>
      <c r="C24" s="50"/>
      <c r="D24" s="42"/>
      <c r="E24" s="42"/>
      <c r="F24" s="43"/>
      <c r="G24" s="42"/>
      <c r="H24" s="44"/>
      <c r="I24" s="44"/>
      <c r="J24" s="44"/>
      <c r="K24" s="44"/>
      <c r="L24" s="44"/>
      <c r="M24" s="50" t="str">
        <f t="shared" ca="1" si="73"/>
        <v>{自動生成}13</v>
      </c>
      <c r="N24" s="41" t="s">
        <v>708</v>
      </c>
      <c r="O24" s="65" t="s">
        <v>693</v>
      </c>
      <c r="P24" s="44">
        <v>2</v>
      </c>
      <c r="Q24" s="42" t="b">
        <v>0</v>
      </c>
      <c r="R24" s="43">
        <v>1</v>
      </c>
      <c r="S24" s="68">
        <v>46256</v>
      </c>
      <c r="T24" s="42">
        <v>1</v>
      </c>
      <c r="U24" s="43">
        <v>2</v>
      </c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35"/>
    </row>
    <row r="25" spans="1:97">
      <c r="A25" s="79"/>
      <c r="B25" s="31" t="str">
        <f t="shared" si="70"/>
        <v>#14</v>
      </c>
      <c r="C25" s="50"/>
      <c r="D25" s="42"/>
      <c r="E25" s="42"/>
      <c r="F25" s="43"/>
      <c r="G25" s="42"/>
      <c r="H25" s="44"/>
      <c r="I25" s="44"/>
      <c r="J25" s="44"/>
      <c r="K25" s="44"/>
      <c r="L25" s="44"/>
      <c r="M25" s="50" t="str">
        <f t="shared" ca="1" si="73"/>
        <v>{自動生成}14</v>
      </c>
      <c r="N25" s="41" t="s">
        <v>709</v>
      </c>
      <c r="O25" s="65" t="s">
        <v>694</v>
      </c>
      <c r="P25" s="44">
        <v>2</v>
      </c>
      <c r="Q25" s="42" t="b">
        <v>0</v>
      </c>
      <c r="R25" s="43">
        <v>1</v>
      </c>
      <c r="S25" s="68">
        <v>46257</v>
      </c>
      <c r="T25" s="42">
        <v>1</v>
      </c>
      <c r="U25" s="43">
        <v>2</v>
      </c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35"/>
    </row>
    <row r="26" spans="1:97">
      <c r="A26" s="79"/>
      <c r="B26" s="31" t="str">
        <f t="shared" si="70"/>
        <v>#15</v>
      </c>
      <c r="C26" s="50"/>
      <c r="D26" s="42"/>
      <c r="E26" s="42"/>
      <c r="F26" s="43"/>
      <c r="G26" s="42"/>
      <c r="H26" s="44"/>
      <c r="I26" s="44"/>
      <c r="J26" s="44"/>
      <c r="K26" s="44"/>
      <c r="L26" s="44"/>
      <c r="M26" s="50" t="str">
        <f t="shared" ca="1" si="73"/>
        <v>{自動生成}15</v>
      </c>
      <c r="N26" s="41" t="s">
        <v>710</v>
      </c>
      <c r="O26" s="65" t="s">
        <v>695</v>
      </c>
      <c r="P26" s="44">
        <v>2</v>
      </c>
      <c r="Q26" s="42" t="b">
        <v>0</v>
      </c>
      <c r="R26" s="43">
        <v>1</v>
      </c>
      <c r="S26" s="68">
        <v>46258</v>
      </c>
      <c r="T26" s="42">
        <v>1</v>
      </c>
      <c r="U26" s="43">
        <v>2</v>
      </c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35"/>
    </row>
    <row r="27" spans="1:97">
      <c r="A27" s="79"/>
      <c r="B27" s="31" t="str">
        <f t="shared" si="70"/>
        <v>#16</v>
      </c>
      <c r="C27" s="50"/>
      <c r="D27" s="42"/>
      <c r="E27" s="42"/>
      <c r="F27" s="43"/>
      <c r="G27" s="42"/>
      <c r="H27" s="44"/>
      <c r="I27" s="44"/>
      <c r="J27" s="44"/>
      <c r="K27" s="44"/>
      <c r="L27" s="44"/>
      <c r="M27" s="50" t="str">
        <f t="shared" ca="1" si="73"/>
        <v>{自動生成}16</v>
      </c>
      <c r="N27" s="41" t="s">
        <v>711</v>
      </c>
      <c r="O27" s="65" t="s">
        <v>696</v>
      </c>
      <c r="P27" s="44">
        <v>2</v>
      </c>
      <c r="Q27" s="42" t="b">
        <v>0</v>
      </c>
      <c r="R27" s="43">
        <v>1</v>
      </c>
      <c r="S27" s="68">
        <v>46259</v>
      </c>
      <c r="T27" s="42">
        <v>1</v>
      </c>
      <c r="U27" s="43">
        <v>2</v>
      </c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35"/>
    </row>
    <row r="28" spans="1:97">
      <c r="A28" s="79"/>
      <c r="B28" s="31" t="str">
        <f t="shared" si="70"/>
        <v>#17</v>
      </c>
      <c r="C28" s="50"/>
      <c r="D28" s="42"/>
      <c r="E28" s="42"/>
      <c r="F28" s="42"/>
      <c r="G28" s="42"/>
      <c r="H28" s="44"/>
      <c r="I28" s="44"/>
      <c r="J28" s="44"/>
      <c r="K28" s="44"/>
      <c r="L28" s="44"/>
      <c r="M28" s="50" t="str">
        <f t="shared" ref="M28:M30" ca="1" si="79">IF(M27&lt;&gt;"SEQUENCE","{自動生成}"&amp;(MID(M27,7,3)+1),"{自動生成}"&amp;1)</f>
        <v>{自動生成}17</v>
      </c>
      <c r="N28" s="41" t="s">
        <v>715</v>
      </c>
      <c r="O28" s="65" t="s">
        <v>712</v>
      </c>
      <c r="P28" s="44">
        <v>6</v>
      </c>
      <c r="Q28" s="42" t="b">
        <v>0</v>
      </c>
      <c r="R28" s="43">
        <v>1</v>
      </c>
      <c r="S28" s="68">
        <v>46260</v>
      </c>
      <c r="T28" s="42">
        <v>1</v>
      </c>
      <c r="U28" s="43">
        <v>2</v>
      </c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35"/>
    </row>
    <row r="29" spans="1:97">
      <c r="A29" s="79"/>
      <c r="B29" s="31" t="str">
        <f t="shared" si="70"/>
        <v>#18</v>
      </c>
      <c r="C29" s="50"/>
      <c r="D29" s="42"/>
      <c r="E29" s="42"/>
      <c r="F29" s="42"/>
      <c r="G29" s="42"/>
      <c r="H29" s="44"/>
      <c r="I29" s="44"/>
      <c r="J29" s="44"/>
      <c r="K29" s="44"/>
      <c r="L29" s="44"/>
      <c r="M29" s="50" t="str">
        <f t="shared" ca="1" si="79"/>
        <v>{自動生成}18</v>
      </c>
      <c r="N29" s="41" t="s">
        <v>716</v>
      </c>
      <c r="O29" s="65" t="s">
        <v>713</v>
      </c>
      <c r="P29" s="44">
        <v>7</v>
      </c>
      <c r="Q29" s="42" t="b">
        <v>0</v>
      </c>
      <c r="R29" s="43">
        <v>1</v>
      </c>
      <c r="S29" s="68">
        <v>46261</v>
      </c>
      <c r="T29" s="42">
        <v>1</v>
      </c>
      <c r="U29" s="43">
        <v>2</v>
      </c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35"/>
    </row>
    <row r="30" spans="1:97">
      <c r="A30" s="79"/>
      <c r="B30" s="31" t="str">
        <f t="shared" si="70"/>
        <v>#19</v>
      </c>
      <c r="C30" s="50"/>
      <c r="D30" s="42"/>
      <c r="E30" s="42"/>
      <c r="F30" s="42"/>
      <c r="G30" s="42"/>
      <c r="H30" s="44"/>
      <c r="I30" s="44"/>
      <c r="J30" s="44"/>
      <c r="K30" s="44"/>
      <c r="L30" s="44"/>
      <c r="M30" s="50" t="str">
        <f t="shared" ca="1" si="79"/>
        <v>{自動生成}19</v>
      </c>
      <c r="N30" s="41" t="s">
        <v>717</v>
      </c>
      <c r="O30" s="65" t="s">
        <v>714</v>
      </c>
      <c r="P30" s="44">
        <v>8</v>
      </c>
      <c r="Q30" s="42" t="b">
        <v>0</v>
      </c>
      <c r="R30" s="43">
        <v>1</v>
      </c>
      <c r="S30" s="68">
        <v>46262</v>
      </c>
      <c r="T30" s="42">
        <v>1</v>
      </c>
      <c r="U30" s="43">
        <v>2</v>
      </c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35"/>
    </row>
    <row r="31" spans="1:97">
      <c r="A31" s="79"/>
      <c r="B31" s="31" t="str">
        <f t="shared" si="70"/>
        <v>#20</v>
      </c>
      <c r="C31" s="50"/>
      <c r="D31" s="42"/>
      <c r="E31" s="42"/>
      <c r="F31" s="42"/>
      <c r="G31" s="42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35"/>
    </row>
    <row r="33" spans="9:97"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0"/>
      <c r="CL33" s="20"/>
      <c r="CM33" s="20"/>
      <c r="CN33" s="20"/>
      <c r="CO33" s="20"/>
      <c r="CP33" s="20"/>
      <c r="CQ33" s="20"/>
      <c r="CR33" s="20"/>
      <c r="CS33" s="20"/>
    </row>
  </sheetData>
  <mergeCells count="4">
    <mergeCell ref="A1:B1"/>
    <mergeCell ref="A2:B2"/>
    <mergeCell ref="A3:A11"/>
    <mergeCell ref="A12:A31"/>
  </mergeCells>
  <phoneticPr fontId="4"/>
  <conditionalFormatting sqref="C1:CS1">
    <cfRule type="expression" dxfId="1" priority="4">
      <formula>C$1=B$1</formula>
    </cfRule>
  </conditionalFormatting>
  <conditionalFormatting sqref="C13:AE13 C2:CS12 AG13 C23:CS31 C14:AG22 AH13:CS22">
    <cfRule type="expression" dxfId="0" priority="1">
      <formula>C$1=B$1</formula>
    </cfRule>
  </conditionalFormatting>
  <hyperlinks>
    <hyperlink ref="AB12" r:id="rId1" xr:uid="{A09E48A2-3FB7-493A-9110-EEF71C79D2D9}"/>
    <hyperlink ref="AB13" r:id="rId2" xr:uid="{91DBD887-B461-4F7B-A8F3-7FD6AD8618C1}"/>
    <hyperlink ref="AB14" r:id="rId3" xr:uid="{7073113D-3FF5-40F7-B5C7-36ED6D23BCE6}"/>
    <hyperlink ref="AB15" r:id="rId4" xr:uid="{97A50007-E5D0-4CB2-989F-547DB85A4BEE}"/>
    <hyperlink ref="BS12" r:id="rId5" xr:uid="{723D048F-C3B3-424B-BD64-4B183136D883}"/>
    <hyperlink ref="BS13" r:id="rId6" xr:uid="{62097228-1D20-4C62-8EF5-BD0E72A183F4}"/>
    <hyperlink ref="BS14" r:id="rId7" xr:uid="{5B5023E6-52D9-4DC9-9E83-4CB03087F57A}"/>
    <hyperlink ref="BS15" r:id="rId8" xr:uid="{7BE5D5A3-5092-469D-A4F4-E55B95E4EBAB}"/>
    <hyperlink ref="BS16" r:id="rId9" xr:uid="{82EE5D9A-9733-4154-8EF8-9E84AFA7D7E3}"/>
    <hyperlink ref="BS17" r:id="rId10" xr:uid="{BABDF4D2-8792-45C1-8D16-FE39725DBC76}"/>
    <hyperlink ref="BS18" r:id="rId11" xr:uid="{92C01274-399C-462E-8B2D-A0C70F353FE5}"/>
    <hyperlink ref="BS19" r:id="rId12" xr:uid="{E2D2B7A1-E117-4B45-95D0-5C181B20E591}"/>
    <hyperlink ref="BS20" r:id="rId13" xr:uid="{13C2EFD7-4C1C-487F-BCA9-2CD4C472C52C}"/>
    <hyperlink ref="BS21" r:id="rId14" xr:uid="{8561505C-48F2-42F4-953F-6E2DE5EECFDF}"/>
    <hyperlink ref="BS22" r:id="rId15" xr:uid="{9E8F807B-9746-4E73-AB1C-4291442A12B9}"/>
    <hyperlink ref="BS23" r:id="rId16" xr:uid="{F0D1C9DC-6722-4260-82A9-AD00D5ED96FE}"/>
  </hyperlinks>
  <pageMargins left="0.7" right="0.7" top="0.75" bottom="0.75" header="0.3" footer="0.3"/>
  <pageSetup paperSize="9" orientation="portrait" horizontalDpi="0" verticalDpi="0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sheetPr>
    <tabColor theme="8" tint="0.59999389629810485"/>
  </sheetPr>
  <dimension ref="A1:H12"/>
  <sheetViews>
    <sheetView zoomScale="160" zoomScaleNormal="16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C12" sqref="C12"/>
    </sheetView>
  </sheetViews>
  <sheetFormatPr defaultColWidth="8.85546875" defaultRowHeight="15" outlineLevelRow="2" outlineLevelCol="1"/>
  <cols>
    <col min="1" max="1" width="3.28515625" bestFit="1" customWidth="1"/>
    <col min="2" max="2" width="17.7109375" bestFit="1" customWidth="1"/>
    <col min="3" max="3" width="17.140625" bestFit="1" customWidth="1"/>
    <col min="4" max="4" width="16.140625" bestFit="1" customWidth="1" outlineLevel="1"/>
    <col min="5" max="5" width="18" bestFit="1" customWidth="1" outlineLevel="1"/>
    <col min="6" max="6" width="16.140625" bestFit="1" customWidth="1" outlineLevel="1"/>
    <col min="7" max="7" width="18.7109375" bestFit="1" customWidth="1" outlineLevel="1"/>
  </cols>
  <sheetData>
    <row r="1" spans="1:8">
      <c r="A1" s="75" t="s">
        <v>496</v>
      </c>
      <c r="B1" s="76"/>
      <c r="C1" s="52" t="s">
        <v>511</v>
      </c>
      <c r="D1" s="53" t="s">
        <v>511</v>
      </c>
      <c r="E1" s="53" t="s">
        <v>511</v>
      </c>
      <c r="F1" s="53" t="s">
        <v>511</v>
      </c>
      <c r="G1" s="54" t="s">
        <v>511</v>
      </c>
    </row>
    <row r="2" spans="1:8">
      <c r="A2" s="77" t="s">
        <v>500</v>
      </c>
      <c r="B2" s="78"/>
      <c r="C2" s="55">
        <f>IF(B1=C1,B2+1,1)</f>
        <v>1</v>
      </c>
      <c r="D2" s="56">
        <f>IF(C1=D1,C2+1,1)</f>
        <v>2</v>
      </c>
      <c r="E2" s="56">
        <f>IF(D1=E1,D2+1,1)</f>
        <v>3</v>
      </c>
      <c r="F2" s="56">
        <f>IF(E1=F1,E2+1,1)</f>
        <v>4</v>
      </c>
      <c r="G2" s="57">
        <f>IF(F1=G1,F2+1,1)</f>
        <v>5</v>
      </c>
    </row>
    <row r="3" spans="1:8" outlineLevel="1">
      <c r="A3" s="79" t="s">
        <v>503</v>
      </c>
      <c r="B3" s="25" t="s">
        <v>501</v>
      </c>
      <c r="C3" s="58" t="s">
        <v>104</v>
      </c>
      <c r="D3" s="59" t="s">
        <v>107</v>
      </c>
      <c r="E3" s="59" t="s">
        <v>111</v>
      </c>
      <c r="F3" s="59" t="s">
        <v>113</v>
      </c>
      <c r="G3" s="60" t="s">
        <v>115</v>
      </c>
    </row>
    <row r="4" spans="1:8" outlineLevel="1">
      <c r="A4" s="79"/>
      <c r="B4" s="25" t="s">
        <v>502</v>
      </c>
      <c r="C4" s="58" t="s">
        <v>105</v>
      </c>
      <c r="D4" s="59" t="s">
        <v>108</v>
      </c>
      <c r="E4" s="59" t="s">
        <v>112</v>
      </c>
      <c r="F4" s="59" t="s">
        <v>114</v>
      </c>
      <c r="G4" s="60" t="s">
        <v>116</v>
      </c>
    </row>
    <row r="5" spans="1:8" outlineLevel="2">
      <c r="A5" s="79"/>
      <c r="B5" s="22" t="s">
        <v>499</v>
      </c>
      <c r="C5" s="58" t="s">
        <v>498</v>
      </c>
      <c r="D5" s="59" t="s">
        <v>65</v>
      </c>
      <c r="E5" s="59" t="s">
        <v>498</v>
      </c>
      <c r="F5" s="59" t="s">
        <v>65</v>
      </c>
      <c r="G5" s="60" t="s">
        <v>342</v>
      </c>
    </row>
    <row r="6" spans="1:8" outlineLevel="2">
      <c r="A6" s="79"/>
      <c r="B6" s="22" t="s">
        <v>520</v>
      </c>
      <c r="C6" s="58"/>
      <c r="D6" s="59"/>
      <c r="E6" s="59"/>
      <c r="F6" s="59"/>
      <c r="G6" s="60"/>
    </row>
    <row r="7" spans="1:8" outlineLevel="2">
      <c r="A7" s="79"/>
      <c r="B7" s="22" t="s">
        <v>519</v>
      </c>
      <c r="C7" s="58"/>
      <c r="D7" s="59"/>
      <c r="E7" s="59"/>
      <c r="F7" s="59"/>
      <c r="G7" s="60"/>
    </row>
    <row r="8" spans="1:8" outlineLevel="2">
      <c r="A8" s="79"/>
      <c r="B8" s="22" t="s">
        <v>518</v>
      </c>
      <c r="C8" s="58"/>
      <c r="D8" s="59"/>
      <c r="E8" s="59"/>
      <c r="F8" s="59"/>
      <c r="G8" s="60"/>
    </row>
    <row r="9" spans="1:8" outlineLevel="2">
      <c r="A9" s="79"/>
      <c r="B9" s="21" t="s">
        <v>40</v>
      </c>
      <c r="C9" s="58" t="s">
        <v>48</v>
      </c>
      <c r="D9" s="59" t="s">
        <v>48</v>
      </c>
      <c r="E9" s="59" t="s">
        <v>48</v>
      </c>
      <c r="F9" s="59" t="s">
        <v>48</v>
      </c>
      <c r="G9" s="60" t="s">
        <v>48</v>
      </c>
    </row>
    <row r="10" spans="1:8" outlineLevel="2">
      <c r="A10" s="79"/>
      <c r="B10" s="21" t="s">
        <v>41</v>
      </c>
      <c r="C10" s="58" t="s">
        <v>510</v>
      </c>
      <c r="D10" s="59" t="s">
        <v>510</v>
      </c>
      <c r="E10" s="59" t="s">
        <v>510</v>
      </c>
      <c r="F10" s="59" t="s">
        <v>510</v>
      </c>
      <c r="G10" s="60" t="s">
        <v>510</v>
      </c>
    </row>
    <row r="11" spans="1:8" outlineLevel="2">
      <c r="A11" s="79"/>
      <c r="B11" s="21" t="s">
        <v>42</v>
      </c>
      <c r="C11" s="58" t="s">
        <v>106</v>
      </c>
      <c r="D11" s="59" t="s">
        <v>109</v>
      </c>
      <c r="E11" s="59" t="s">
        <v>106</v>
      </c>
      <c r="F11" s="59" t="s">
        <v>109</v>
      </c>
      <c r="G11" s="60" t="b">
        <v>0</v>
      </c>
    </row>
    <row r="12" spans="1:8" ht="55.5">
      <c r="A12" s="24" t="s">
        <v>504</v>
      </c>
      <c r="B12" s="31" t="str">
        <f>"#"&amp;(ROW()-11)</f>
        <v>#1</v>
      </c>
      <c r="C12" s="61" t="s">
        <v>513</v>
      </c>
      <c r="D12" s="62" t="s">
        <v>508</v>
      </c>
      <c r="E12" s="63" t="s">
        <v>513</v>
      </c>
      <c r="F12" s="62" t="s">
        <v>508</v>
      </c>
      <c r="G12" s="64" t="b">
        <v>0</v>
      </c>
      <c r="H12" s="19" t="s">
        <v>512</v>
      </c>
    </row>
  </sheetData>
  <mergeCells count="3">
    <mergeCell ref="A1:B1"/>
    <mergeCell ref="A2:B2"/>
    <mergeCell ref="A3:A11"/>
  </mergeCells>
  <phoneticPr fontId="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7AB17-950B-4125-AF83-00A839B6B15A}">
  <sheetPr>
    <tabColor theme="0" tint="-0.249977111117893"/>
  </sheetPr>
  <dimension ref="A1"/>
  <sheetViews>
    <sheetView workbookViewId="0"/>
  </sheetViews>
  <sheetFormatPr defaultRowHeight="15"/>
  <sheetData/>
  <phoneticPr fontId="4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249977111117893"/>
  </sheetPr>
  <dimension ref="A1:G54"/>
  <sheetViews>
    <sheetView workbookViewId="0">
      <pane ySplit="2" topLeftCell="A3" activePane="bottomLeft" state="frozen"/>
      <selection sqref="A1:B1"/>
      <selection pane="bottomLeft" activeCell="A3" sqref="A3"/>
    </sheetView>
  </sheetViews>
  <sheetFormatPr defaultColWidth="14.42578125" defaultRowHeight="15"/>
  <cols>
    <col min="1" max="1" width="17.42578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>
      <c r="A1" s="85" t="s">
        <v>271</v>
      </c>
      <c r="B1" s="86"/>
      <c r="C1" s="86"/>
      <c r="D1" s="86"/>
      <c r="E1" s="86"/>
      <c r="F1" s="86"/>
      <c r="G1" s="86"/>
    </row>
    <row r="2" spans="1:7" ht="18">
      <c r="A2" s="12" t="s">
        <v>272</v>
      </c>
      <c r="B2" s="12" t="s">
        <v>273</v>
      </c>
      <c r="C2" s="12" t="s">
        <v>274</v>
      </c>
      <c r="D2" s="12" t="s">
        <v>463</v>
      </c>
      <c r="E2" s="12" t="s">
        <v>464</v>
      </c>
      <c r="F2" s="12" t="s">
        <v>275</v>
      </c>
      <c r="G2" s="12" t="s">
        <v>276</v>
      </c>
    </row>
    <row r="3" spans="1:7" ht="18.75">
      <c r="A3" s="13" t="s">
        <v>277</v>
      </c>
      <c r="B3" s="13" t="s">
        <v>278</v>
      </c>
      <c r="C3" s="13" t="s">
        <v>279</v>
      </c>
      <c r="D3" s="13">
        <v>2</v>
      </c>
      <c r="E3" s="13">
        <f t="shared" ref="E3:E54" si="0">IF(D3&lt;&gt;"-",D3*8,"-")</f>
        <v>16</v>
      </c>
      <c r="F3" s="13" t="s">
        <v>280</v>
      </c>
      <c r="G3" s="13" t="s">
        <v>281</v>
      </c>
    </row>
    <row r="4" spans="1:7" ht="18.75">
      <c r="A4" s="14" t="s">
        <v>277</v>
      </c>
      <c r="B4" s="14" t="s">
        <v>99</v>
      </c>
      <c r="C4" s="14" t="s">
        <v>282</v>
      </c>
      <c r="D4" s="14">
        <v>4</v>
      </c>
      <c r="E4" s="14">
        <f t="shared" si="0"/>
        <v>32</v>
      </c>
      <c r="F4" s="14" t="s">
        <v>283</v>
      </c>
      <c r="G4" s="14" t="s">
        <v>284</v>
      </c>
    </row>
    <row r="5" spans="1:7" ht="18.75">
      <c r="A5" s="13" t="s">
        <v>277</v>
      </c>
      <c r="B5" s="13" t="s">
        <v>285</v>
      </c>
      <c r="C5" s="13" t="s">
        <v>286</v>
      </c>
      <c r="D5" s="13">
        <v>8</v>
      </c>
      <c r="E5" s="13">
        <f t="shared" si="0"/>
        <v>64</v>
      </c>
      <c r="F5" s="13" t="s">
        <v>287</v>
      </c>
      <c r="G5" s="13" t="s">
        <v>288</v>
      </c>
    </row>
    <row r="6" spans="1:7" ht="18.75">
      <c r="A6" s="14" t="s">
        <v>277</v>
      </c>
      <c r="B6" s="14" t="s">
        <v>289</v>
      </c>
      <c r="C6" s="14" t="s">
        <v>290</v>
      </c>
      <c r="D6" s="14" t="s">
        <v>76</v>
      </c>
      <c r="E6" s="14" t="str">
        <f t="shared" si="0"/>
        <v>-</v>
      </c>
      <c r="F6" s="14" t="s">
        <v>291</v>
      </c>
      <c r="G6" s="14" t="s">
        <v>292</v>
      </c>
    </row>
    <row r="7" spans="1:7" ht="18.75">
      <c r="A7" s="13" t="s">
        <v>277</v>
      </c>
      <c r="B7" s="13" t="s">
        <v>293</v>
      </c>
      <c r="C7" s="13" t="s">
        <v>290</v>
      </c>
      <c r="D7" s="13" t="s">
        <v>76</v>
      </c>
      <c r="E7" s="13" t="str">
        <f t="shared" si="0"/>
        <v>-</v>
      </c>
      <c r="F7" s="13" t="s">
        <v>291</v>
      </c>
      <c r="G7" s="13" t="s">
        <v>294</v>
      </c>
    </row>
    <row r="8" spans="1:7" ht="18.75">
      <c r="A8" s="14" t="s">
        <v>277</v>
      </c>
      <c r="B8" s="14" t="s">
        <v>295</v>
      </c>
      <c r="C8" s="14" t="s">
        <v>282</v>
      </c>
      <c r="D8" s="14">
        <v>4</v>
      </c>
      <c r="E8" s="14">
        <f t="shared" si="0"/>
        <v>32</v>
      </c>
      <c r="F8" s="15" t="s">
        <v>296</v>
      </c>
      <c r="G8" s="14" t="s">
        <v>297</v>
      </c>
    </row>
    <row r="9" spans="1:7" ht="18.75">
      <c r="A9" s="13" t="s">
        <v>277</v>
      </c>
      <c r="B9" s="13" t="s">
        <v>298</v>
      </c>
      <c r="C9" s="13" t="s">
        <v>286</v>
      </c>
      <c r="D9" s="13">
        <v>8</v>
      </c>
      <c r="E9" s="13">
        <f t="shared" si="0"/>
        <v>64</v>
      </c>
      <c r="F9" s="16" t="s">
        <v>299</v>
      </c>
      <c r="G9" s="13" t="s">
        <v>300</v>
      </c>
    </row>
    <row r="10" spans="1:7" ht="18.75">
      <c r="A10" s="14" t="s">
        <v>277</v>
      </c>
      <c r="B10" s="14" t="s">
        <v>301</v>
      </c>
      <c r="C10" s="14" t="s">
        <v>279</v>
      </c>
      <c r="D10" s="14">
        <v>2</v>
      </c>
      <c r="E10" s="14">
        <f t="shared" si="0"/>
        <v>16</v>
      </c>
      <c r="F10" s="14" t="s">
        <v>302</v>
      </c>
      <c r="G10" s="14" t="s">
        <v>303</v>
      </c>
    </row>
    <row r="11" spans="1:7" ht="18.75">
      <c r="A11" s="13" t="s">
        <v>277</v>
      </c>
      <c r="B11" s="13" t="s">
        <v>157</v>
      </c>
      <c r="C11" s="13" t="s">
        <v>282</v>
      </c>
      <c r="D11" s="13">
        <v>4</v>
      </c>
      <c r="E11" s="13">
        <f t="shared" si="0"/>
        <v>32</v>
      </c>
      <c r="F11" s="13" t="s">
        <v>304</v>
      </c>
      <c r="G11" s="13" t="s">
        <v>305</v>
      </c>
    </row>
    <row r="12" spans="1:7" ht="18.75">
      <c r="A12" s="14" t="s">
        <v>277</v>
      </c>
      <c r="B12" s="14" t="s">
        <v>55</v>
      </c>
      <c r="C12" s="14" t="s">
        <v>286</v>
      </c>
      <c r="D12" s="14">
        <v>8</v>
      </c>
      <c r="E12" s="14">
        <f t="shared" si="0"/>
        <v>64</v>
      </c>
      <c r="F12" s="14" t="s">
        <v>306</v>
      </c>
      <c r="G12" s="14" t="s">
        <v>307</v>
      </c>
    </row>
    <row r="13" spans="1:7" ht="18.75">
      <c r="A13" s="13" t="s">
        <v>308</v>
      </c>
      <c r="B13" s="13" t="s">
        <v>309</v>
      </c>
      <c r="C13" s="13" t="s">
        <v>286</v>
      </c>
      <c r="D13" s="13">
        <v>8</v>
      </c>
      <c r="E13" s="13">
        <f t="shared" si="0"/>
        <v>64</v>
      </c>
      <c r="F13" s="13" t="s">
        <v>310</v>
      </c>
      <c r="G13" s="13" t="s">
        <v>311</v>
      </c>
    </row>
    <row r="14" spans="1:7" ht="18.75">
      <c r="A14" s="14" t="s">
        <v>312</v>
      </c>
      <c r="B14" s="14" t="s">
        <v>313</v>
      </c>
      <c r="C14" s="14" t="s">
        <v>314</v>
      </c>
      <c r="D14" s="14" t="s">
        <v>76</v>
      </c>
      <c r="E14" s="14" t="str">
        <f t="shared" si="0"/>
        <v>-</v>
      </c>
      <c r="F14" s="14" t="s">
        <v>315</v>
      </c>
      <c r="G14" s="14" t="s">
        <v>316</v>
      </c>
    </row>
    <row r="15" spans="1:7" ht="18.75">
      <c r="A15" s="13" t="s">
        <v>312</v>
      </c>
      <c r="B15" s="13" t="s">
        <v>317</v>
      </c>
      <c r="C15" s="13" t="s">
        <v>318</v>
      </c>
      <c r="D15" s="13" t="s">
        <v>76</v>
      </c>
      <c r="E15" s="13" t="str">
        <f t="shared" si="0"/>
        <v>-</v>
      </c>
      <c r="F15" s="13" t="s">
        <v>319</v>
      </c>
      <c r="G15" s="13" t="s">
        <v>320</v>
      </c>
    </row>
    <row r="16" spans="1:7" ht="18.75">
      <c r="A16" s="14" t="s">
        <v>312</v>
      </c>
      <c r="B16" s="14" t="s">
        <v>81</v>
      </c>
      <c r="C16" s="14" t="s">
        <v>290</v>
      </c>
      <c r="D16" s="14" t="s">
        <v>76</v>
      </c>
      <c r="E16" s="14" t="str">
        <f t="shared" si="0"/>
        <v>-</v>
      </c>
      <c r="F16" s="14" t="s">
        <v>321</v>
      </c>
      <c r="G16" s="14" t="s">
        <v>322</v>
      </c>
    </row>
    <row r="17" spans="1:7" ht="18.75">
      <c r="A17" s="13" t="s">
        <v>323</v>
      </c>
      <c r="B17" s="13" t="s">
        <v>448</v>
      </c>
      <c r="C17" s="13" t="s">
        <v>286</v>
      </c>
      <c r="D17" s="13">
        <v>8</v>
      </c>
      <c r="E17" s="13">
        <f t="shared" si="0"/>
        <v>64</v>
      </c>
      <c r="F17" s="13" t="s">
        <v>324</v>
      </c>
      <c r="G17" s="13" t="s">
        <v>325</v>
      </c>
    </row>
    <row r="18" spans="1:7" ht="18.75">
      <c r="A18" s="14" t="s">
        <v>323</v>
      </c>
      <c r="B18" s="14" t="s">
        <v>326</v>
      </c>
      <c r="C18" s="14" t="s">
        <v>286</v>
      </c>
      <c r="D18" s="14">
        <v>8</v>
      </c>
      <c r="E18" s="14">
        <f>IF(D18&lt;&gt;"-",D18*8,"-")</f>
        <v>64</v>
      </c>
      <c r="F18" s="14" t="s">
        <v>324</v>
      </c>
      <c r="G18" s="14" t="s">
        <v>327</v>
      </c>
    </row>
    <row r="19" spans="1:7" ht="18.75">
      <c r="A19" s="17" t="s">
        <v>323</v>
      </c>
      <c r="B19" s="17" t="s">
        <v>444</v>
      </c>
      <c r="C19" s="17" t="s">
        <v>286</v>
      </c>
      <c r="D19" s="17">
        <v>8</v>
      </c>
      <c r="E19" s="17">
        <f>IF(D19&lt;&gt;"-",D19*8,"-")</f>
        <v>64</v>
      </c>
      <c r="F19" s="17"/>
      <c r="G19" s="17" t="s">
        <v>449</v>
      </c>
    </row>
    <row r="20" spans="1:7" ht="18.75">
      <c r="A20" s="17" t="s">
        <v>323</v>
      </c>
      <c r="B20" s="17" t="s">
        <v>486</v>
      </c>
      <c r="C20" s="17" t="s">
        <v>286</v>
      </c>
      <c r="D20" s="17">
        <v>8</v>
      </c>
      <c r="E20" s="17">
        <f t="shared" si="0"/>
        <v>64</v>
      </c>
      <c r="F20" s="17"/>
      <c r="G20" s="17" t="s">
        <v>449</v>
      </c>
    </row>
    <row r="21" spans="1:7" ht="18.75">
      <c r="A21" s="13" t="s">
        <v>323</v>
      </c>
      <c r="B21" s="13" t="s">
        <v>328</v>
      </c>
      <c r="C21" s="13" t="s">
        <v>282</v>
      </c>
      <c r="D21" s="13">
        <v>4</v>
      </c>
      <c r="E21" s="13">
        <f t="shared" si="0"/>
        <v>32</v>
      </c>
      <c r="F21" s="13" t="s">
        <v>329</v>
      </c>
      <c r="G21" s="13" t="s">
        <v>330</v>
      </c>
    </row>
    <row r="22" spans="1:7" ht="18.75">
      <c r="A22" s="14" t="s">
        <v>323</v>
      </c>
      <c r="B22" s="14" t="s">
        <v>331</v>
      </c>
      <c r="C22" s="14" t="s">
        <v>286</v>
      </c>
      <c r="D22" s="14">
        <v>8</v>
      </c>
      <c r="E22" s="14">
        <f t="shared" si="0"/>
        <v>64</v>
      </c>
      <c r="F22" s="14" t="s">
        <v>332</v>
      </c>
      <c r="G22" s="14" t="s">
        <v>333</v>
      </c>
    </row>
    <row r="23" spans="1:7" ht="18.75">
      <c r="A23" s="13" t="s">
        <v>323</v>
      </c>
      <c r="B23" s="13" t="s">
        <v>334</v>
      </c>
      <c r="C23" s="13" t="s">
        <v>335</v>
      </c>
      <c r="D23" s="13">
        <v>12</v>
      </c>
      <c r="E23" s="13">
        <f t="shared" si="0"/>
        <v>96</v>
      </c>
      <c r="F23" s="13" t="s">
        <v>336</v>
      </c>
      <c r="G23" s="13" t="s">
        <v>337</v>
      </c>
    </row>
    <row r="24" spans="1:7" ht="18.75">
      <c r="A24" s="14" t="s">
        <v>323</v>
      </c>
      <c r="B24" s="14" t="s">
        <v>338</v>
      </c>
      <c r="C24" s="14" t="s">
        <v>335</v>
      </c>
      <c r="D24" s="14">
        <v>12</v>
      </c>
      <c r="E24" s="14">
        <f t="shared" si="0"/>
        <v>96</v>
      </c>
      <c r="F24" s="14" t="s">
        <v>339</v>
      </c>
      <c r="G24" s="14" t="s">
        <v>340</v>
      </c>
    </row>
    <row r="25" spans="1:7" ht="18.75">
      <c r="A25" s="13" t="s">
        <v>341</v>
      </c>
      <c r="B25" s="13" t="s">
        <v>342</v>
      </c>
      <c r="C25" s="13" t="s">
        <v>343</v>
      </c>
      <c r="D25" s="13">
        <v>1</v>
      </c>
      <c r="E25" s="13">
        <f t="shared" si="0"/>
        <v>8</v>
      </c>
      <c r="F25" s="13" t="s">
        <v>344</v>
      </c>
      <c r="G25" s="13" t="s">
        <v>345</v>
      </c>
    </row>
    <row r="26" spans="1:7" ht="18.75">
      <c r="A26" s="14" t="s">
        <v>346</v>
      </c>
      <c r="B26" s="14" t="s">
        <v>347</v>
      </c>
      <c r="C26" s="14" t="s">
        <v>290</v>
      </c>
      <c r="D26" s="14" t="s">
        <v>76</v>
      </c>
      <c r="E26" s="14" t="str">
        <f t="shared" si="0"/>
        <v>-</v>
      </c>
      <c r="F26" s="14" t="s">
        <v>321</v>
      </c>
      <c r="G26" s="14" t="s">
        <v>348</v>
      </c>
    </row>
    <row r="27" spans="1:7" ht="18.75">
      <c r="A27" s="13" t="s">
        <v>346</v>
      </c>
      <c r="B27" s="13" t="s">
        <v>349</v>
      </c>
      <c r="C27" s="13" t="s">
        <v>290</v>
      </c>
      <c r="D27" s="13" t="s">
        <v>76</v>
      </c>
      <c r="E27" s="13" t="str">
        <f t="shared" si="0"/>
        <v>-</v>
      </c>
      <c r="F27" s="13" t="s">
        <v>321</v>
      </c>
      <c r="G27" s="13" t="s">
        <v>350</v>
      </c>
    </row>
    <row r="28" spans="1:7" ht="18.75">
      <c r="A28" s="14" t="s">
        <v>351</v>
      </c>
      <c r="B28" s="14" t="s">
        <v>352</v>
      </c>
      <c r="C28" s="14" t="s">
        <v>353</v>
      </c>
      <c r="D28" s="14">
        <v>16</v>
      </c>
      <c r="E28" s="14">
        <f t="shared" si="0"/>
        <v>128</v>
      </c>
      <c r="F28" s="14" t="s">
        <v>354</v>
      </c>
      <c r="G28" s="14" t="s">
        <v>355</v>
      </c>
    </row>
    <row r="29" spans="1:7" ht="18.75">
      <c r="A29" s="13" t="s">
        <v>351</v>
      </c>
      <c r="B29" s="13" t="s">
        <v>356</v>
      </c>
      <c r="C29" s="13" t="s">
        <v>357</v>
      </c>
      <c r="D29" s="13">
        <v>32</v>
      </c>
      <c r="E29" s="13">
        <f t="shared" si="0"/>
        <v>256</v>
      </c>
      <c r="F29" s="13" t="s">
        <v>358</v>
      </c>
      <c r="G29" s="13" t="s">
        <v>359</v>
      </c>
    </row>
    <row r="30" spans="1:7" ht="18.75">
      <c r="A30" s="14" t="s">
        <v>351</v>
      </c>
      <c r="B30" s="14" t="s">
        <v>360</v>
      </c>
      <c r="C30" s="14" t="s">
        <v>357</v>
      </c>
      <c r="D30" s="14">
        <v>32</v>
      </c>
      <c r="E30" s="14">
        <f t="shared" si="0"/>
        <v>256</v>
      </c>
      <c r="F30" s="14" t="s">
        <v>358</v>
      </c>
      <c r="G30" s="14" t="s">
        <v>361</v>
      </c>
    </row>
    <row r="31" spans="1:7" ht="18.75">
      <c r="A31" s="13" t="s">
        <v>351</v>
      </c>
      <c r="B31" s="13" t="s">
        <v>362</v>
      </c>
      <c r="C31" s="13" t="s">
        <v>357</v>
      </c>
      <c r="D31" s="13">
        <v>32</v>
      </c>
      <c r="E31" s="13">
        <f t="shared" si="0"/>
        <v>256</v>
      </c>
      <c r="F31" s="13" t="s">
        <v>358</v>
      </c>
      <c r="G31" s="13" t="s">
        <v>363</v>
      </c>
    </row>
    <row r="32" spans="1:7" ht="18.75">
      <c r="A32" s="14" t="s">
        <v>351</v>
      </c>
      <c r="B32" s="14" t="s">
        <v>364</v>
      </c>
      <c r="C32" s="14" t="s">
        <v>365</v>
      </c>
      <c r="D32" s="14" t="s">
        <v>76</v>
      </c>
      <c r="E32" s="14" t="str">
        <f t="shared" si="0"/>
        <v>-</v>
      </c>
      <c r="F32" s="14" t="s">
        <v>366</v>
      </c>
      <c r="G32" s="14" t="s">
        <v>367</v>
      </c>
    </row>
    <row r="33" spans="1:7" ht="18.75">
      <c r="A33" s="13" t="s">
        <v>351</v>
      </c>
      <c r="B33" s="13" t="s">
        <v>364</v>
      </c>
      <c r="C33" s="13" t="s">
        <v>365</v>
      </c>
      <c r="D33" s="13" t="s">
        <v>76</v>
      </c>
      <c r="E33" s="13" t="str">
        <f t="shared" si="0"/>
        <v>-</v>
      </c>
      <c r="F33" s="13" t="s">
        <v>368</v>
      </c>
      <c r="G33" s="13" t="s">
        <v>369</v>
      </c>
    </row>
    <row r="34" spans="1:7" ht="18.75">
      <c r="A34" s="14" t="s">
        <v>351</v>
      </c>
      <c r="B34" s="14" t="s">
        <v>370</v>
      </c>
      <c r="C34" s="14" t="s">
        <v>371</v>
      </c>
      <c r="D34" s="14" t="s">
        <v>76</v>
      </c>
      <c r="E34" s="14" t="str">
        <f t="shared" si="0"/>
        <v>-</v>
      </c>
      <c r="F34" s="14" t="s">
        <v>372</v>
      </c>
      <c r="G34" s="14" t="s">
        <v>373</v>
      </c>
    </row>
    <row r="35" spans="1:7" ht="18.75">
      <c r="A35" s="13" t="s">
        <v>351</v>
      </c>
      <c r="B35" s="13" t="s">
        <v>374</v>
      </c>
      <c r="C35" s="13" t="s">
        <v>375</v>
      </c>
      <c r="D35" s="13">
        <v>24</v>
      </c>
      <c r="E35" s="13">
        <f t="shared" si="0"/>
        <v>192</v>
      </c>
      <c r="F35" s="13" t="s">
        <v>376</v>
      </c>
      <c r="G35" s="13" t="s">
        <v>377</v>
      </c>
    </row>
    <row r="36" spans="1:7" ht="18.75">
      <c r="A36" s="14" t="s">
        <v>378</v>
      </c>
      <c r="B36" s="14" t="s">
        <v>379</v>
      </c>
      <c r="C36" s="14" t="s">
        <v>380</v>
      </c>
      <c r="D36" s="14" t="s">
        <v>76</v>
      </c>
      <c r="E36" s="14" t="str">
        <f t="shared" si="0"/>
        <v>-</v>
      </c>
      <c r="F36" s="14" t="s">
        <v>381</v>
      </c>
      <c r="G36" s="14" t="s">
        <v>382</v>
      </c>
    </row>
    <row r="37" spans="1:7" ht="18.75">
      <c r="A37" s="13" t="s">
        <v>378</v>
      </c>
      <c r="B37" s="13" t="s">
        <v>383</v>
      </c>
      <c r="C37" s="13" t="s">
        <v>380</v>
      </c>
      <c r="D37" s="13" t="s">
        <v>76</v>
      </c>
      <c r="E37" s="13" t="str">
        <f t="shared" si="0"/>
        <v>-</v>
      </c>
      <c r="F37" s="13" t="s">
        <v>384</v>
      </c>
      <c r="G37" s="13" t="s">
        <v>385</v>
      </c>
    </row>
    <row r="38" spans="1:7" ht="18.75">
      <c r="A38" s="14" t="s">
        <v>378</v>
      </c>
      <c r="B38" s="14" t="s">
        <v>386</v>
      </c>
      <c r="C38" s="14" t="s">
        <v>387</v>
      </c>
      <c r="D38" s="14">
        <v>6</v>
      </c>
      <c r="E38" s="14">
        <f t="shared" si="0"/>
        <v>48</v>
      </c>
      <c r="F38" s="14" t="s">
        <v>388</v>
      </c>
      <c r="G38" s="14" t="s">
        <v>389</v>
      </c>
    </row>
    <row r="39" spans="1:7" ht="18.75">
      <c r="A39" s="13" t="s">
        <v>390</v>
      </c>
      <c r="B39" s="13" t="s">
        <v>391</v>
      </c>
      <c r="C39" s="13" t="s">
        <v>392</v>
      </c>
      <c r="D39" s="13" t="s">
        <v>76</v>
      </c>
      <c r="E39" s="13" t="str">
        <f t="shared" si="0"/>
        <v>-</v>
      </c>
      <c r="F39" s="13" t="s">
        <v>393</v>
      </c>
      <c r="G39" s="13" t="s">
        <v>394</v>
      </c>
    </row>
    <row r="40" spans="1:7" ht="18.75">
      <c r="A40" s="14" t="s">
        <v>390</v>
      </c>
      <c r="B40" s="14" t="s">
        <v>395</v>
      </c>
      <c r="C40" s="14" t="s">
        <v>396</v>
      </c>
      <c r="D40" s="14" t="s">
        <v>76</v>
      </c>
      <c r="E40" s="14" t="str">
        <f t="shared" si="0"/>
        <v>-</v>
      </c>
      <c r="F40" s="14" t="s">
        <v>397</v>
      </c>
      <c r="G40" s="14" t="s">
        <v>398</v>
      </c>
    </row>
    <row r="41" spans="1:7" ht="18.75">
      <c r="A41" s="13" t="s">
        <v>399</v>
      </c>
      <c r="B41" s="13" t="s">
        <v>400</v>
      </c>
      <c r="C41" s="13" t="s">
        <v>290</v>
      </c>
      <c r="D41" s="13" t="s">
        <v>76</v>
      </c>
      <c r="E41" s="13" t="str">
        <f t="shared" si="0"/>
        <v>-</v>
      </c>
      <c r="F41" s="13" t="s">
        <v>76</v>
      </c>
      <c r="G41" s="13" t="s">
        <v>401</v>
      </c>
    </row>
    <row r="42" spans="1:7" ht="18.75">
      <c r="A42" s="14" t="s">
        <v>399</v>
      </c>
      <c r="B42" s="14" t="s">
        <v>402</v>
      </c>
      <c r="C42" s="14" t="s">
        <v>290</v>
      </c>
      <c r="D42" s="14" t="s">
        <v>76</v>
      </c>
      <c r="E42" s="14" t="str">
        <f t="shared" si="0"/>
        <v>-</v>
      </c>
      <c r="F42" s="14" t="s">
        <v>76</v>
      </c>
      <c r="G42" s="14" t="s">
        <v>403</v>
      </c>
    </row>
    <row r="43" spans="1:7" ht="18.75">
      <c r="A43" s="13" t="s">
        <v>399</v>
      </c>
      <c r="B43" s="13" t="s">
        <v>404</v>
      </c>
      <c r="C43" s="13" t="s">
        <v>282</v>
      </c>
      <c r="D43" s="13">
        <v>4</v>
      </c>
      <c r="E43" s="13">
        <f t="shared" si="0"/>
        <v>32</v>
      </c>
      <c r="F43" s="13" t="s">
        <v>76</v>
      </c>
      <c r="G43" s="13" t="s">
        <v>405</v>
      </c>
    </row>
    <row r="44" spans="1:7" ht="18.75">
      <c r="A44" s="14" t="s">
        <v>406</v>
      </c>
      <c r="B44" s="14" t="s">
        <v>407</v>
      </c>
      <c r="C44" s="14" t="s">
        <v>290</v>
      </c>
      <c r="D44" s="14" t="s">
        <v>76</v>
      </c>
      <c r="E44" s="14" t="str">
        <f t="shared" si="0"/>
        <v>-</v>
      </c>
      <c r="F44" s="14" t="s">
        <v>408</v>
      </c>
      <c r="G44" s="14" t="s">
        <v>409</v>
      </c>
    </row>
    <row r="45" spans="1:7" ht="18.75">
      <c r="A45" s="13" t="s">
        <v>410</v>
      </c>
      <c r="B45" s="13" t="s">
        <v>47</v>
      </c>
      <c r="C45" s="13" t="s">
        <v>353</v>
      </c>
      <c r="D45" s="13">
        <v>16</v>
      </c>
      <c r="E45" s="13">
        <f t="shared" si="0"/>
        <v>128</v>
      </c>
      <c r="F45" s="13" t="s">
        <v>411</v>
      </c>
      <c r="G45" s="13" t="s">
        <v>412</v>
      </c>
    </row>
    <row r="46" spans="1:7" ht="18.75">
      <c r="A46" s="14" t="s">
        <v>413</v>
      </c>
      <c r="B46" s="14" t="s">
        <v>414</v>
      </c>
      <c r="C46" s="14" t="s">
        <v>290</v>
      </c>
      <c r="D46" s="14" t="s">
        <v>76</v>
      </c>
      <c r="E46" s="14" t="str">
        <f t="shared" si="0"/>
        <v>-</v>
      </c>
      <c r="F46" s="14" t="s">
        <v>415</v>
      </c>
      <c r="G46" s="14" t="s">
        <v>416</v>
      </c>
    </row>
    <row r="47" spans="1:7" ht="18.75">
      <c r="A47" s="13" t="s">
        <v>417</v>
      </c>
      <c r="B47" s="13" t="s">
        <v>418</v>
      </c>
      <c r="C47" s="13" t="s">
        <v>290</v>
      </c>
      <c r="D47" s="13" t="s">
        <v>76</v>
      </c>
      <c r="E47" s="13" t="str">
        <f t="shared" si="0"/>
        <v>-</v>
      </c>
      <c r="F47" s="13" t="s">
        <v>419</v>
      </c>
      <c r="G47" s="13" t="s">
        <v>420</v>
      </c>
    </row>
    <row r="48" spans="1:7" ht="18.75">
      <c r="A48" s="14" t="s">
        <v>421</v>
      </c>
      <c r="B48" s="14" t="s">
        <v>422</v>
      </c>
      <c r="C48" s="14" t="s">
        <v>290</v>
      </c>
      <c r="D48" s="14" t="s">
        <v>76</v>
      </c>
      <c r="E48" s="14" t="str">
        <f t="shared" si="0"/>
        <v>-</v>
      </c>
      <c r="F48" s="14" t="s">
        <v>423</v>
      </c>
      <c r="G48" s="14" t="s">
        <v>424</v>
      </c>
    </row>
    <row r="49" spans="1:7" ht="18.75">
      <c r="A49" s="13" t="s">
        <v>425</v>
      </c>
      <c r="B49" s="13" t="s">
        <v>426</v>
      </c>
      <c r="C49" s="13" t="s">
        <v>290</v>
      </c>
      <c r="D49" s="13" t="s">
        <v>76</v>
      </c>
      <c r="E49" s="13" t="str">
        <f t="shared" si="0"/>
        <v>-</v>
      </c>
      <c r="F49" s="13" t="s">
        <v>427</v>
      </c>
      <c r="G49" s="13" t="s">
        <v>428</v>
      </c>
    </row>
    <row r="50" spans="1:7" ht="18.75">
      <c r="A50" s="14" t="s">
        <v>425</v>
      </c>
      <c r="B50" s="14" t="s">
        <v>429</v>
      </c>
      <c r="C50" s="14" t="s">
        <v>290</v>
      </c>
      <c r="D50" s="14" t="s">
        <v>76</v>
      </c>
      <c r="E50" s="14" t="str">
        <f t="shared" si="0"/>
        <v>-</v>
      </c>
      <c r="F50" s="14" t="s">
        <v>430</v>
      </c>
      <c r="G50" s="14" t="s">
        <v>431</v>
      </c>
    </row>
    <row r="51" spans="1:7" ht="18.75">
      <c r="A51" s="13" t="s">
        <v>425</v>
      </c>
      <c r="B51" s="13" t="s">
        <v>432</v>
      </c>
      <c r="C51" s="13" t="s">
        <v>290</v>
      </c>
      <c r="D51" s="13" t="s">
        <v>76</v>
      </c>
      <c r="E51" s="13" t="str">
        <f t="shared" si="0"/>
        <v>-</v>
      </c>
      <c r="F51" s="13" t="s">
        <v>433</v>
      </c>
      <c r="G51" s="13" t="s">
        <v>434</v>
      </c>
    </row>
    <row r="52" spans="1:7" ht="18.75">
      <c r="A52" s="14" t="s">
        <v>425</v>
      </c>
      <c r="B52" s="14" t="s">
        <v>435</v>
      </c>
      <c r="C52" s="14" t="s">
        <v>290</v>
      </c>
      <c r="D52" s="14" t="s">
        <v>76</v>
      </c>
      <c r="E52" s="14" t="str">
        <f t="shared" si="0"/>
        <v>-</v>
      </c>
      <c r="F52" s="14" t="s">
        <v>436</v>
      </c>
      <c r="G52" s="14" t="s">
        <v>437</v>
      </c>
    </row>
    <row r="53" spans="1:7" ht="18.75">
      <c r="A53" s="13" t="s">
        <v>425</v>
      </c>
      <c r="B53" s="13" t="s">
        <v>438</v>
      </c>
      <c r="C53" s="13" t="s">
        <v>290</v>
      </c>
      <c r="D53" s="13" t="s">
        <v>76</v>
      </c>
      <c r="E53" s="13" t="str">
        <f t="shared" si="0"/>
        <v>-</v>
      </c>
      <c r="F53" s="13" t="s">
        <v>439</v>
      </c>
      <c r="G53" s="13" t="s">
        <v>440</v>
      </c>
    </row>
    <row r="54" spans="1:7" ht="18.75">
      <c r="A54" s="14" t="s">
        <v>425</v>
      </c>
      <c r="B54" s="14" t="s">
        <v>441</v>
      </c>
      <c r="C54" s="14" t="s">
        <v>290</v>
      </c>
      <c r="D54" s="14" t="s">
        <v>76</v>
      </c>
      <c r="E54" s="14" t="str">
        <f t="shared" si="0"/>
        <v>-</v>
      </c>
      <c r="F54" s="14" t="s">
        <v>442</v>
      </c>
      <c r="G54" s="14" t="s">
        <v>443</v>
      </c>
    </row>
  </sheetData>
  <autoFilter ref="A2:G2" xr:uid="{00000000-0009-0000-0000-000002000000}"/>
  <mergeCells count="1">
    <mergeCell ref="A1:G1"/>
  </mergeCells>
  <phoneticPr fontId="4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テーブル一覧</vt:lpstr>
      <vt:lpstr>テーブル定義_一覧</vt:lpstr>
      <vt:lpstr>enum定義</vt:lpstr>
      <vt:lpstr>|→マスターデータ</vt:lpstr>
      <vt:lpstr>各テーブル(システム管理(静的))</vt:lpstr>
      <vt:lpstr>各テーブル(コンテンツ(動的))</vt:lpstr>
      <vt:lpstr>監査列</vt:lpstr>
      <vt:lpstr>|→付録</vt:lpstr>
      <vt:lpstr>型とバイト数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takaya kouno</dc:creator>
  <cp:keywords/>
  <dc:description/>
  <cp:lastModifiedBy>takaya kouno</cp:lastModifiedBy>
  <dcterms:created xsi:type="dcterms:W3CDTF">2026-06-28T10:08:48Z</dcterms:created>
  <dcterms:modified xsi:type="dcterms:W3CDTF">2026-08-10T17:35:01Z</dcterms:modified>
  <cp:category/>
</cp:coreProperties>
</file>
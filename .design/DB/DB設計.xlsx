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segar/Documents/GitHub/vtuber-meikan/.design/DB/"/>
    </mc:Choice>
  </mc:AlternateContent>
  <xr:revisionPtr revIDLastSave="0" documentId="13_ncr:1_{76EDBA07-8BC5-4F42-9058-8A4F80EBE37D}" xr6:coauthVersionLast="47" xr6:coauthVersionMax="47" xr10:uidLastSave="{00000000-0000-0000-0000-000000000000}"/>
  <bookViews>
    <workbookView xWindow="0" yWindow="0" windowWidth="28800" windowHeight="18000" activeTab="4" xr2:uid="{00000000-000D-0000-FFFF-FFFF00000000}"/>
  </bookViews>
  <sheets>
    <sheet name="テーブル一覧" sheetId="1" r:id="rId1"/>
    <sheet name="テーブル定義_一覧" sheetId="2" r:id="rId2"/>
    <sheet name="型とバイト数" sheetId="3" r:id="rId3"/>
    <sheet name="|→マスターデータ" sheetId="4" r:id="rId4"/>
    <sheet name="各テーブル" sheetId="7" r:id="rId5"/>
    <sheet name="監査列" sheetId="8" r:id="rId6"/>
  </sheets>
  <definedNames>
    <definedName name="_xlnm._FilterDatabase" localSheetId="0" hidden="1">テーブル一覧!$A$1:$H$29</definedName>
    <definedName name="_xlnm._FilterDatabase" localSheetId="1" hidden="1">テーブル定義_一覧!$A$1:$U$277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70" i="2" l="1"/>
  <c r="I270" i="2"/>
  <c r="G270" i="2"/>
  <c r="F270" i="2"/>
  <c r="B270" i="2" s="1"/>
  <c r="M6" i="2"/>
  <c r="M262" i="2"/>
  <c r="M241" i="2"/>
  <c r="M240" i="2"/>
  <c r="M239" i="2"/>
  <c r="M238" i="2"/>
  <c r="M237" i="2"/>
  <c r="M236" i="2"/>
  <c r="M235" i="2"/>
  <c r="M232" i="2"/>
  <c r="M231" i="2"/>
  <c r="M230" i="2"/>
  <c r="M229" i="2"/>
  <c r="M228" i="2"/>
  <c r="M227" i="2"/>
  <c r="M226" i="2"/>
  <c r="M224" i="2"/>
  <c r="M223" i="2"/>
  <c r="M222" i="2"/>
  <c r="M221" i="2"/>
  <c r="M220" i="2"/>
  <c r="M219" i="2"/>
  <c r="M218" i="2"/>
  <c r="M217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6" i="2"/>
  <c r="M154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2" i="2"/>
  <c r="M131" i="2"/>
  <c r="M130" i="2"/>
  <c r="M129" i="2"/>
  <c r="M128" i="2"/>
  <c r="M127" i="2"/>
  <c r="M126" i="2"/>
  <c r="M125" i="2"/>
  <c r="M123" i="2"/>
  <c r="M122" i="2"/>
  <c r="M121" i="2"/>
  <c r="M120" i="2"/>
  <c r="M119" i="2"/>
  <c r="M118" i="2"/>
  <c r="M117" i="2"/>
  <c r="M116" i="2"/>
  <c r="M115" i="2"/>
  <c r="M114" i="2"/>
  <c r="M112" i="2"/>
  <c r="M111" i="2"/>
  <c r="M110" i="2"/>
  <c r="M109" i="2"/>
  <c r="M108" i="2"/>
  <c r="M107" i="2"/>
  <c r="M106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3" i="2"/>
  <c r="M62" i="2"/>
  <c r="M61" i="2"/>
  <c r="M60" i="2"/>
  <c r="M59" i="2"/>
  <c r="M58" i="2"/>
  <c r="M57" i="2"/>
  <c r="M56" i="2"/>
  <c r="M53" i="2"/>
  <c r="M52" i="2"/>
  <c r="M51" i="2"/>
  <c r="M50" i="2"/>
  <c r="M49" i="2"/>
  <c r="M48" i="2"/>
  <c r="M47" i="2"/>
  <c r="M46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4" i="2"/>
  <c r="M13" i="2"/>
  <c r="M12" i="2"/>
  <c r="M11" i="2"/>
  <c r="M10" i="2"/>
  <c r="M9" i="2"/>
  <c r="M8" i="2"/>
  <c r="M3" i="2"/>
  <c r="M2" i="2"/>
  <c r="I262" i="2"/>
  <c r="G262" i="2"/>
  <c r="F262" i="2"/>
  <c r="B262" i="2" s="1"/>
  <c r="I241" i="2"/>
  <c r="G241" i="2"/>
  <c r="F241" i="2"/>
  <c r="B241" i="2" s="1"/>
  <c r="I232" i="2"/>
  <c r="G232" i="2"/>
  <c r="F232" i="2"/>
  <c r="I224" i="2"/>
  <c r="G224" i="2"/>
  <c r="F224" i="2"/>
  <c r="B224" i="2" s="1"/>
  <c r="I214" i="2"/>
  <c r="G214" i="2"/>
  <c r="F214" i="2"/>
  <c r="B214" i="2" s="1"/>
  <c r="I207" i="2"/>
  <c r="G207" i="2"/>
  <c r="F207" i="2"/>
  <c r="B207" i="2" s="1"/>
  <c r="I193" i="2"/>
  <c r="G193" i="2"/>
  <c r="F193" i="2"/>
  <c r="B193" i="2" s="1"/>
  <c r="I178" i="2"/>
  <c r="G178" i="2"/>
  <c r="F178" i="2"/>
  <c r="B178" i="2" s="1"/>
  <c r="I171" i="2"/>
  <c r="G171" i="2"/>
  <c r="F171" i="2"/>
  <c r="B171" i="2" s="1"/>
  <c r="I164" i="2"/>
  <c r="G164" i="2"/>
  <c r="F164" i="2"/>
  <c r="B164" i="2" s="1"/>
  <c r="I150" i="2"/>
  <c r="G150" i="2"/>
  <c r="F150" i="2"/>
  <c r="B150" i="2" s="1"/>
  <c r="I143" i="2"/>
  <c r="G143" i="2"/>
  <c r="F143" i="2"/>
  <c r="B143" i="2" s="1"/>
  <c r="I132" i="2"/>
  <c r="G132" i="2"/>
  <c r="F132" i="2"/>
  <c r="B132" i="2" s="1"/>
  <c r="I122" i="2"/>
  <c r="G122" i="2"/>
  <c r="F122" i="2"/>
  <c r="B122" i="2" s="1"/>
  <c r="G112" i="2"/>
  <c r="F112" i="2"/>
  <c r="B112" i="2" s="1"/>
  <c r="I103" i="2"/>
  <c r="G103" i="2"/>
  <c r="F103" i="2"/>
  <c r="B103" i="2" s="1"/>
  <c r="G95" i="2"/>
  <c r="F95" i="2"/>
  <c r="B95" i="2" s="1"/>
  <c r="I87" i="2"/>
  <c r="G87" i="2"/>
  <c r="F87" i="2"/>
  <c r="B87" i="2" s="1"/>
  <c r="G76" i="2"/>
  <c r="F76" i="2"/>
  <c r="B76" i="2" s="1"/>
  <c r="G63" i="2"/>
  <c r="F63" i="2"/>
  <c r="B63" i="2" s="1"/>
  <c r="G53" i="2"/>
  <c r="F53" i="2"/>
  <c r="B53" i="2" s="1"/>
  <c r="G43" i="2"/>
  <c r="F43" i="2"/>
  <c r="B43" i="2" s="1"/>
  <c r="G36" i="2"/>
  <c r="F36" i="2"/>
  <c r="B36" i="2" s="1"/>
  <c r="F29" i="2"/>
  <c r="B29" i="2" s="1"/>
  <c r="G29" i="2"/>
  <c r="G22" i="2"/>
  <c r="G13" i="2"/>
  <c r="G2" i="2"/>
  <c r="F22" i="2"/>
  <c r="B22" i="2" s="1"/>
  <c r="F13" i="2"/>
  <c r="B13" i="2" s="1"/>
  <c r="F2" i="2"/>
  <c r="J2" i="7"/>
  <c r="K2" i="7" s="1"/>
  <c r="L2" i="7" s="1"/>
  <c r="M2" i="7" s="1"/>
  <c r="H2" i="7"/>
  <c r="I2" i="7" s="1"/>
  <c r="C2" i="8"/>
  <c r="D2" i="8"/>
  <c r="E2" i="8" s="1"/>
  <c r="F2" i="8" s="1"/>
  <c r="G2" i="8" s="1"/>
  <c r="C2" i="7"/>
  <c r="D2" i="7" s="1"/>
  <c r="E2" i="7" s="1"/>
  <c r="F2" i="7" s="1"/>
  <c r="G2" i="7" s="1"/>
  <c r="I116" i="2"/>
  <c r="I115" i="2"/>
  <c r="C115" i="2"/>
  <c r="I123" i="2"/>
  <c r="E19" i="3"/>
  <c r="I234" i="2"/>
  <c r="I4" i="2"/>
  <c r="B29" i="1"/>
  <c r="I272" i="2"/>
  <c r="M269" i="2"/>
  <c r="I269" i="2"/>
  <c r="C269" i="2"/>
  <c r="M268" i="2"/>
  <c r="I268" i="2"/>
  <c r="C268" i="2"/>
  <c r="M267" i="2"/>
  <c r="I267" i="2"/>
  <c r="C267" i="2"/>
  <c r="M266" i="2"/>
  <c r="I266" i="2"/>
  <c r="C266" i="2"/>
  <c r="M265" i="2"/>
  <c r="I265" i="2"/>
  <c r="C265" i="2"/>
  <c r="C264" i="2"/>
  <c r="C263" i="2"/>
  <c r="C262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7" i="2"/>
  <c r="I38" i="2"/>
  <c r="I39" i="2"/>
  <c r="I40" i="2"/>
  <c r="I41" i="2"/>
  <c r="I42" i="2"/>
  <c r="I46" i="2"/>
  <c r="I48" i="2"/>
  <c r="I49" i="2"/>
  <c r="I50" i="2"/>
  <c r="I51" i="2"/>
  <c r="I52" i="2"/>
  <c r="I57" i="2"/>
  <c r="I58" i="2"/>
  <c r="I59" i="2"/>
  <c r="I60" i="2"/>
  <c r="I61" i="2"/>
  <c r="I62" i="2"/>
  <c r="I69" i="2"/>
  <c r="I71" i="2"/>
  <c r="I72" i="2"/>
  <c r="I73" i="2"/>
  <c r="I74" i="2"/>
  <c r="I75" i="2"/>
  <c r="I77" i="2"/>
  <c r="I78" i="2"/>
  <c r="I82" i="2"/>
  <c r="I83" i="2"/>
  <c r="I84" i="2"/>
  <c r="I85" i="2"/>
  <c r="I86" i="2"/>
  <c r="I88" i="2"/>
  <c r="I89" i="2"/>
  <c r="I90" i="2"/>
  <c r="I91" i="2"/>
  <c r="I92" i="2"/>
  <c r="I93" i="2"/>
  <c r="I94" i="2"/>
  <c r="I96" i="2"/>
  <c r="I97" i="2"/>
  <c r="I98" i="2"/>
  <c r="I99" i="2"/>
  <c r="I100" i="2"/>
  <c r="I101" i="2"/>
  <c r="I102" i="2"/>
  <c r="I104" i="2"/>
  <c r="I106" i="2"/>
  <c r="I107" i="2"/>
  <c r="I108" i="2"/>
  <c r="I109" i="2"/>
  <c r="I110" i="2"/>
  <c r="I111" i="2"/>
  <c r="I112" i="2"/>
  <c r="I117" i="2"/>
  <c r="I118" i="2"/>
  <c r="I119" i="2"/>
  <c r="I120" i="2"/>
  <c r="I121" i="2"/>
  <c r="I125" i="2"/>
  <c r="I126" i="2"/>
  <c r="I127" i="2"/>
  <c r="I128" i="2"/>
  <c r="I129" i="2"/>
  <c r="I130" i="2"/>
  <c r="I131" i="2"/>
  <c r="I136" i="2"/>
  <c r="I137" i="2"/>
  <c r="I138" i="2"/>
  <c r="I139" i="2"/>
  <c r="I140" i="2"/>
  <c r="I141" i="2"/>
  <c r="I142" i="2"/>
  <c r="I144" i="2"/>
  <c r="I145" i="2"/>
  <c r="I146" i="2"/>
  <c r="I147" i="2"/>
  <c r="I148" i="2"/>
  <c r="I149" i="2"/>
  <c r="I151" i="2"/>
  <c r="I152" i="2"/>
  <c r="I154" i="2"/>
  <c r="I156" i="2"/>
  <c r="I159" i="2"/>
  <c r="I160" i="2"/>
  <c r="I161" i="2"/>
  <c r="I162" i="2"/>
  <c r="I163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80" i="2"/>
  <c r="I181" i="2"/>
  <c r="I182" i="2"/>
  <c r="I183" i="2"/>
  <c r="I187" i="2"/>
  <c r="I188" i="2"/>
  <c r="I189" i="2"/>
  <c r="I190" i="2"/>
  <c r="I191" i="2"/>
  <c r="I192" i="2"/>
  <c r="I194" i="2"/>
  <c r="I195" i="2"/>
  <c r="I196" i="2"/>
  <c r="I197" i="2"/>
  <c r="I201" i="2"/>
  <c r="I202" i="2"/>
  <c r="I203" i="2"/>
  <c r="I204" i="2"/>
  <c r="I205" i="2"/>
  <c r="I206" i="2"/>
  <c r="I208" i="2"/>
  <c r="I209" i="2"/>
  <c r="I210" i="2"/>
  <c r="I211" i="2"/>
  <c r="I212" i="2"/>
  <c r="I213" i="2"/>
  <c r="I217" i="2"/>
  <c r="I218" i="2"/>
  <c r="I219" i="2"/>
  <c r="I220" i="2"/>
  <c r="I221" i="2"/>
  <c r="I222" i="2"/>
  <c r="I223" i="2"/>
  <c r="I226" i="2"/>
  <c r="I227" i="2"/>
  <c r="I228" i="2"/>
  <c r="I229" i="2"/>
  <c r="I230" i="2"/>
  <c r="I231" i="2"/>
  <c r="I235" i="2"/>
  <c r="I236" i="2"/>
  <c r="I237" i="2"/>
  <c r="I238" i="2"/>
  <c r="I239" i="2"/>
  <c r="I240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7" i="2"/>
  <c r="I258" i="2"/>
  <c r="I259" i="2"/>
  <c r="I260" i="2"/>
  <c r="I261" i="2"/>
  <c r="I273" i="2"/>
  <c r="I274" i="2"/>
  <c r="I275" i="2"/>
  <c r="I276" i="2"/>
  <c r="I277" i="2"/>
  <c r="I3" i="2"/>
  <c r="I2" i="2"/>
  <c r="C270" i="2"/>
  <c r="C271" i="2"/>
  <c r="C272" i="2"/>
  <c r="M277" i="2"/>
  <c r="C277" i="2"/>
  <c r="M276" i="2"/>
  <c r="C276" i="2"/>
  <c r="M275" i="2"/>
  <c r="C275" i="2"/>
  <c r="M274" i="2"/>
  <c r="C274" i="2"/>
  <c r="M273" i="2"/>
  <c r="C273" i="2"/>
  <c r="B232" i="2"/>
  <c r="B2" i="2"/>
  <c r="B28" i="1"/>
  <c r="C243" i="2"/>
  <c r="B27" i="1"/>
  <c r="C242" i="2"/>
  <c r="M261" i="2"/>
  <c r="C261" i="2"/>
  <c r="M260" i="2"/>
  <c r="C260" i="2"/>
  <c r="M259" i="2"/>
  <c r="C259" i="2"/>
  <c r="M258" i="2"/>
  <c r="C258" i="2"/>
  <c r="M257" i="2"/>
  <c r="C257" i="2"/>
  <c r="M256" i="2"/>
  <c r="C256" i="2"/>
  <c r="M255" i="2"/>
  <c r="C255" i="2"/>
  <c r="M254" i="2"/>
  <c r="C254" i="2"/>
  <c r="M253" i="2"/>
  <c r="C253" i="2"/>
  <c r="M252" i="2"/>
  <c r="C252" i="2"/>
  <c r="M251" i="2"/>
  <c r="C251" i="2"/>
  <c r="M250" i="2"/>
  <c r="C250" i="2"/>
  <c r="M249" i="2"/>
  <c r="C249" i="2"/>
  <c r="M248" i="2"/>
  <c r="C248" i="2"/>
  <c r="M247" i="2"/>
  <c r="C247" i="2"/>
  <c r="M246" i="2"/>
  <c r="C246" i="2"/>
  <c r="M245" i="2"/>
  <c r="C245" i="2"/>
  <c r="M244" i="2"/>
  <c r="C244" i="2"/>
  <c r="C241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B24" i="1"/>
  <c r="B25" i="1"/>
  <c r="B26" i="1"/>
  <c r="E18" i="3"/>
  <c r="E54" i="3"/>
  <c r="E53" i="3"/>
  <c r="E52" i="3"/>
  <c r="E51" i="3"/>
  <c r="E50" i="3"/>
  <c r="E49" i="3"/>
  <c r="E48" i="3"/>
  <c r="E47" i="3"/>
  <c r="E46" i="3"/>
  <c r="E45" i="3"/>
  <c r="I66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56" i="2" s="1"/>
  <c r="E15" i="3"/>
  <c r="E14" i="3"/>
  <c r="E13" i="3"/>
  <c r="E12" i="3"/>
  <c r="E11" i="3"/>
  <c r="E10" i="3"/>
  <c r="E9" i="3"/>
  <c r="E8" i="3"/>
  <c r="E7" i="3"/>
  <c r="E6" i="3"/>
  <c r="E5" i="3"/>
  <c r="E4" i="3"/>
  <c r="I185" i="2" s="1"/>
  <c r="E3" i="3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144" i="2" a="1"/>
  <c r="E77" i="2" a="1"/>
  <c r="E14" i="2" a="1"/>
  <c r="D30" i="2" a="1"/>
  <c r="D3" i="2" a="1"/>
  <c r="E242" i="2" a="1"/>
  <c r="E263" i="2" a="1"/>
  <c r="D113" i="2" a="1"/>
  <c r="E44" i="2" a="1"/>
  <c r="D23" i="2" a="1"/>
  <c r="E123" i="2" a="1"/>
  <c r="D263" i="2" a="1"/>
  <c r="D88" i="2" a="1"/>
  <c r="E151" i="2" a="1"/>
  <c r="E23" i="2" a="1"/>
  <c r="D54" i="2" a="1"/>
  <c r="D144" i="2" a="1"/>
  <c r="D104" i="2" a="1"/>
  <c r="E133" i="2" a="1"/>
  <c r="E104" i="2" a="1"/>
  <c r="D242" i="2" a="1"/>
  <c r="E113" i="2" a="1"/>
  <c r="E54" i="2" a="1"/>
  <c r="E215" i="2" a="1"/>
  <c r="D44" i="2" a="1"/>
  <c r="E172" i="2" a="1"/>
  <c r="D96" i="2" a="1"/>
  <c r="E64" i="2" a="1"/>
  <c r="D208" i="2" a="1"/>
  <c r="E88" i="2" a="1"/>
  <c r="D77" i="2" a="1"/>
  <c r="E208" i="2" a="1"/>
  <c r="E37" i="2" a="1"/>
  <c r="D271" i="2" a="1"/>
  <c r="D133" i="2" a="1"/>
  <c r="E96" i="2" a="1"/>
  <c r="D165" i="2" a="1"/>
  <c r="D64" i="2" a="1"/>
  <c r="D37" i="2" a="1"/>
  <c r="D14" i="2" a="1"/>
  <c r="E30" i="2" a="1"/>
  <c r="E165" i="2" a="1"/>
  <c r="E271" i="2" a="1"/>
  <c r="E233" i="2" a="1"/>
  <c r="D151" i="2" a="1"/>
  <c r="D123" i="2" a="1"/>
  <c r="D233" i="2" a="1"/>
  <c r="E3" i="2" a="1"/>
  <c r="D172" i="2" a="1"/>
  <c r="I43" i="2" l="1"/>
  <c r="I80" i="2"/>
  <c r="I81" i="2"/>
  <c r="I199" i="2"/>
  <c r="I113" i="2"/>
  <c r="I114" i="2"/>
  <c r="I198" i="2"/>
  <c r="I70" i="2"/>
  <c r="I124" i="2"/>
  <c r="I95" i="2"/>
  <c r="I16" i="2"/>
  <c r="I133" i="2"/>
  <c r="I200" i="2"/>
  <c r="I68" i="2"/>
  <c r="I134" i="2"/>
  <c r="I67" i="2"/>
  <c r="I13" i="2"/>
  <c r="I135" i="2"/>
  <c r="I63" i="2"/>
  <c r="I36" i="2"/>
  <c r="I153" i="2"/>
  <c r="I155" i="2"/>
  <c r="I157" i="2"/>
  <c r="I158" i="2"/>
  <c r="I179" i="2"/>
  <c r="I215" i="2"/>
  <c r="I5" i="2"/>
  <c r="I216" i="2"/>
  <c r="I56" i="2"/>
  <c r="I7" i="2"/>
  <c r="I225" i="2"/>
  <c r="I186" i="2"/>
  <c r="I53" i="2"/>
  <c r="I29" i="2"/>
  <c r="I15" i="2"/>
  <c r="I233" i="2"/>
  <c r="I44" i="2"/>
  <c r="I184" i="2"/>
  <c r="I105" i="2"/>
  <c r="I45" i="2"/>
  <c r="I242" i="2"/>
  <c r="I79" i="2"/>
  <c r="I54" i="2"/>
  <c r="I243" i="2"/>
  <c r="I55" i="2"/>
  <c r="I263" i="2"/>
  <c r="I64" i="2"/>
  <c r="I264" i="2"/>
  <c r="I76" i="2"/>
  <c r="I47" i="2"/>
  <c r="I23" i="2"/>
  <c r="I65" i="2"/>
  <c r="I271" i="2"/>
  <c r="I22" i="2"/>
  <c r="D263" i="2"/>
  <c r="E263" i="2"/>
  <c r="D271" i="2"/>
  <c r="B271" i="2" s="1"/>
  <c r="E271" i="2"/>
  <c r="D242" i="2"/>
  <c r="B242" i="2" s="1"/>
  <c r="E242" i="2"/>
  <c r="D233" i="2"/>
  <c r="B233" i="2" s="1"/>
  <c r="E233" i="2"/>
  <c r="E215" i="2"/>
  <c r="B215" i="2"/>
  <c r="D208" i="2"/>
  <c r="B208" i="2" s="1"/>
  <c r="E208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D264" i="2" a="1"/>
  <c r="D209" i="2" a="1"/>
  <c r="D24" i="2" a="1"/>
  <c r="D225" i="2" a="1"/>
  <c r="E89" i="2" a="1"/>
  <c r="D89" i="2" a="1"/>
  <c r="D55" i="2" a="1"/>
  <c r="E78" i="2" a="1"/>
  <c r="E55" i="2" a="1"/>
  <c r="D15" i="2" a="1"/>
  <c r="D114" i="2" a="1"/>
  <c r="E243" i="2" a="1"/>
  <c r="E179" i="2" a="1"/>
  <c r="D97" i="2" a="1"/>
  <c r="D234" i="2" a="1"/>
  <c r="D78" i="2" a="1"/>
  <c r="E216" i="2" a="1"/>
  <c r="E194" i="2" a="1"/>
  <c r="E45" i="2" a="1"/>
  <c r="D243" i="2" a="1"/>
  <c r="E24" i="2" a="1"/>
  <c r="D179" i="2" a="1"/>
  <c r="E15" i="2" a="1"/>
  <c r="D194" i="2" a="1"/>
  <c r="D134" i="2" a="1"/>
  <c r="D152" i="2" a="1"/>
  <c r="E152" i="2" a="1"/>
  <c r="E134" i="2" a="1"/>
  <c r="D216" i="2" a="1"/>
  <c r="E225" i="2" a="1"/>
  <c r="E4" i="2" a="1"/>
  <c r="E234" i="2" a="1"/>
  <c r="D4" i="2" a="1"/>
  <c r="D272" i="2" a="1"/>
  <c r="E65" i="2" a="1"/>
  <c r="D65" i="2" a="1"/>
  <c r="E209" i="2" a="1"/>
  <c r="D45" i="2" a="1"/>
  <c r="E272" i="2" a="1"/>
  <c r="E114" i="2" a="1"/>
  <c r="E264" i="2" a="1"/>
  <c r="E97" i="2" a="1"/>
  <c r="B3" i="2" l="1"/>
  <c r="E264" i="2"/>
  <c r="D264" i="2"/>
  <c r="B263" i="2"/>
  <c r="E272" i="2"/>
  <c r="D272" i="2"/>
  <c r="B272" i="2" s="1"/>
  <c r="D243" i="2"/>
  <c r="B243" i="2" s="1"/>
  <c r="E243" i="2"/>
  <c r="E234" i="2"/>
  <c r="D234" i="2"/>
  <c r="B234" i="2" s="1"/>
  <c r="E225" i="2"/>
  <c r="D225" i="2"/>
  <c r="B225" i="2" s="1"/>
  <c r="E216" i="2"/>
  <c r="D216" i="2"/>
  <c r="B216" i="2" s="1"/>
  <c r="D209" i="2"/>
  <c r="B209" i="2" s="1"/>
  <c r="E209" i="2"/>
  <c r="E194" i="2"/>
  <c r="D194" i="2"/>
  <c r="B194" i="2" s="1"/>
  <c r="D179" i="2"/>
  <c r="B179" i="2" s="1"/>
  <c r="E179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E210" i="2" a="1"/>
  <c r="D210" i="2" a="1"/>
  <c r="D56" i="2" a="1"/>
  <c r="E195" i="2" a="1"/>
  <c r="E46" i="2" a="1"/>
  <c r="E105" i="2" a="1"/>
  <c r="E173" i="2" a="1"/>
  <c r="D25" i="2" a="1"/>
  <c r="E124" i="2" a="1"/>
  <c r="D180" i="2" a="1"/>
  <c r="E5" i="2" a="1"/>
  <c r="E226" i="2" a="1"/>
  <c r="D145" i="2" a="1"/>
  <c r="E166" i="2" a="1"/>
  <c r="D226" i="2" a="1"/>
  <c r="D124" i="2" a="1"/>
  <c r="D98" i="2" a="1"/>
  <c r="D105" i="2" a="1"/>
  <c r="E135" i="2" a="1"/>
  <c r="E115" i="2" a="1"/>
  <c r="D135" i="2" a="1"/>
  <c r="E244" i="2" a="1"/>
  <c r="D265" i="2" a="1"/>
  <c r="E16" i="2" a="1"/>
  <c r="D153" i="2" a="1"/>
  <c r="E217" i="2" a="1"/>
  <c r="D166" i="2" a="1"/>
  <c r="D235" i="2" a="1"/>
  <c r="E145" i="2" a="1"/>
  <c r="E180" i="2" a="1"/>
  <c r="E79" i="2" a="1"/>
  <c r="E25" i="2" a="1"/>
  <c r="E31" i="2" a="1"/>
  <c r="D38" i="2" a="1"/>
  <c r="E98" i="2" a="1"/>
  <c r="D90" i="2" a="1"/>
  <c r="E265" i="2" a="1"/>
  <c r="D244" i="2" a="1"/>
  <c r="D5" i="2" a="1"/>
  <c r="E90" i="2" a="1"/>
  <c r="E66" i="2" a="1"/>
  <c r="E235" i="2" a="1"/>
  <c r="E273" i="2" a="1"/>
  <c r="E153" i="2" a="1"/>
  <c r="E56" i="2" a="1"/>
  <c r="D115" i="2" a="1"/>
  <c r="D16" i="2" a="1"/>
  <c r="D273" i="2" a="1"/>
  <c r="D195" i="2" a="1"/>
  <c r="D31" i="2" a="1"/>
  <c r="D66" i="2" a="1"/>
  <c r="D46" i="2" a="1"/>
  <c r="D79" i="2" a="1"/>
  <c r="D173" i="2" a="1"/>
  <c r="D217" i="2" a="1"/>
  <c r="E38" i="2" a="1"/>
  <c r="D115" i="2" l="1"/>
  <c r="E115" i="2"/>
  <c r="B114" i="2"/>
  <c r="D265" i="2"/>
  <c r="E265" i="2"/>
  <c r="B264" i="2"/>
  <c r="D273" i="2"/>
  <c r="E273" i="2"/>
  <c r="E244" i="2"/>
  <c r="D244" i="2"/>
  <c r="B244" i="2" s="1"/>
  <c r="D235" i="2"/>
  <c r="B235" i="2" s="1"/>
  <c r="E235" i="2"/>
  <c r="D226" i="2"/>
  <c r="B226" i="2" s="1"/>
  <c r="E226" i="2"/>
  <c r="E217" i="2"/>
  <c r="D217" i="2"/>
  <c r="B217" i="2" s="1"/>
  <c r="D210" i="2"/>
  <c r="B210" i="2" s="1"/>
  <c r="E210" i="2"/>
  <c r="E195" i="2"/>
  <c r="D195" i="2"/>
  <c r="B195" i="2" s="1"/>
  <c r="D180" i="2"/>
  <c r="B180" i="2" s="1"/>
  <c r="E180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E218" i="2" a="1"/>
  <c r="E181" i="2" a="1"/>
  <c r="D146" i="2" a="1"/>
  <c r="D116" i="2" a="1"/>
  <c r="E136" i="2" a="1"/>
  <c r="D80" i="2" a="1"/>
  <c r="D167" i="2" a="1"/>
  <c r="D136" i="2" a="1"/>
  <c r="E174" i="2" a="1"/>
  <c r="E274" i="2" a="1"/>
  <c r="E211" i="2" a="1"/>
  <c r="D196" i="2" a="1"/>
  <c r="D99" i="2" a="1"/>
  <c r="E6" i="2" a="1"/>
  <c r="D211" i="2" a="1"/>
  <c r="D245" i="2" a="1"/>
  <c r="E106" i="2" a="1"/>
  <c r="D67" i="2" a="1"/>
  <c r="E196" i="2" a="1"/>
  <c r="D174" i="2" a="1"/>
  <c r="E39" i="2" a="1"/>
  <c r="D57" i="2" a="1"/>
  <c r="E245" i="2" a="1"/>
  <c r="D47" i="2" a="1"/>
  <c r="D236" i="2" a="1"/>
  <c r="E116" i="2" a="1"/>
  <c r="E47" i="2" a="1"/>
  <c r="D17" i="2" a="1"/>
  <c r="E125" i="2" a="1"/>
  <c r="E80" i="2" a="1"/>
  <c r="D26" i="2" a="1"/>
  <c r="D6" i="2" a="1"/>
  <c r="D274" i="2" a="1"/>
  <c r="E236" i="2" a="1"/>
  <c r="E227" i="2" a="1"/>
  <c r="E32" i="2" a="1"/>
  <c r="D39" i="2" a="1"/>
  <c r="D125" i="2" a="1"/>
  <c r="E91" i="2" a="1"/>
  <c r="E67" i="2" a="1"/>
  <c r="E26" i="2" a="1"/>
  <c r="D32" i="2" a="1"/>
  <c r="E17" i="2" a="1"/>
  <c r="D218" i="2" a="1"/>
  <c r="E266" i="2" a="1"/>
  <c r="D154" i="2" a="1"/>
  <c r="E154" i="2" a="1"/>
  <c r="D181" i="2" a="1"/>
  <c r="E167" i="2" a="1"/>
  <c r="D91" i="2" a="1"/>
  <c r="D227" i="2" a="1"/>
  <c r="D106" i="2" a="1"/>
  <c r="D266" i="2" a="1"/>
  <c r="E146" i="2" a="1"/>
  <c r="E57" i="2" a="1"/>
  <c r="E99" i="2" a="1"/>
  <c r="B5" i="2" l="1"/>
  <c r="E116" i="2"/>
  <c r="D116" i="2"/>
  <c r="B115" i="2"/>
  <c r="E266" i="2"/>
  <c r="D266" i="2"/>
  <c r="B265" i="2"/>
  <c r="E274" i="2"/>
  <c r="D274" i="2"/>
  <c r="B273" i="2"/>
  <c r="D245" i="2"/>
  <c r="B245" i="2" s="1"/>
  <c r="E245" i="2"/>
  <c r="E236" i="2"/>
  <c r="D236" i="2"/>
  <c r="B236" i="2" s="1"/>
  <c r="E227" i="2"/>
  <c r="D227" i="2"/>
  <c r="B227" i="2" s="1"/>
  <c r="E218" i="2"/>
  <c r="D218" i="2"/>
  <c r="B218" i="2" s="1"/>
  <c r="D211" i="2"/>
  <c r="B211" i="2" s="1"/>
  <c r="E211" i="2"/>
  <c r="E196" i="2"/>
  <c r="D196" i="2"/>
  <c r="B196" i="2" s="1"/>
  <c r="D181" i="2"/>
  <c r="B181" i="2" s="1"/>
  <c r="E181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E58" i="2" a="1"/>
  <c r="D40" i="2" a="1"/>
  <c r="E117" i="2" a="1"/>
  <c r="E81" i="2" a="1"/>
  <c r="D48" i="2" a="1"/>
  <c r="E92" i="2" a="1"/>
  <c r="E246" i="2" a="1"/>
  <c r="D168" i="2" a="1"/>
  <c r="D27" i="2" a="1"/>
  <c r="E155" i="2" a="1"/>
  <c r="E27" i="2" a="1"/>
  <c r="E107" i="2" a="1"/>
  <c r="D219" i="2" a="1"/>
  <c r="E219" i="2" a="1"/>
  <c r="E137" i="2" a="1"/>
  <c r="E100" i="2" a="1"/>
  <c r="D182" i="2" a="1"/>
  <c r="D155" i="2" a="1"/>
  <c r="E197" i="2" a="1"/>
  <c r="D275" i="2" a="1"/>
  <c r="D237" i="2" a="1"/>
  <c r="E175" i="2" a="1"/>
  <c r="D175" i="2" a="1"/>
  <c r="D68" i="2" a="1"/>
  <c r="E68" i="2" a="1"/>
  <c r="E267" i="2" a="1"/>
  <c r="D212" i="2" a="1"/>
  <c r="E228" i="2" a="1"/>
  <c r="D81" i="2" a="1"/>
  <c r="D33" i="2" a="1"/>
  <c r="E182" i="2" a="1"/>
  <c r="D228" i="2" a="1"/>
  <c r="D197" i="2" a="1"/>
  <c r="E275" i="2" a="1"/>
  <c r="D147" i="2" a="1"/>
  <c r="D126" i="2" a="1"/>
  <c r="D137" i="2" a="1"/>
  <c r="E48" i="2" a="1"/>
  <c r="E126" i="2" a="1"/>
  <c r="D267" i="2" a="1"/>
  <c r="E147" i="2" a="1"/>
  <c r="E18" i="2" a="1"/>
  <c r="E237" i="2" a="1"/>
  <c r="D92" i="2" a="1"/>
  <c r="D100" i="2" a="1"/>
  <c r="E40" i="2" a="1"/>
  <c r="D58" i="2" a="1"/>
  <c r="E168" i="2" a="1"/>
  <c r="D246" i="2" a="1"/>
  <c r="D18" i="2" a="1"/>
  <c r="E212" i="2" a="1"/>
  <c r="E33" i="2" a="1"/>
  <c r="D107" i="2" a="1"/>
  <c r="D117" i="2" a="1"/>
  <c r="B6" i="2" l="1"/>
  <c r="D117" i="2"/>
  <c r="E117" i="2"/>
  <c r="B116" i="2"/>
  <c r="D267" i="2"/>
  <c r="E267" i="2"/>
  <c r="B266" i="2"/>
  <c r="D275" i="2"/>
  <c r="E275" i="2"/>
  <c r="B274" i="2"/>
  <c r="E246" i="2"/>
  <c r="D246" i="2"/>
  <c r="B246" i="2" s="1"/>
  <c r="D237" i="2"/>
  <c r="B237" i="2" s="1"/>
  <c r="E237" i="2"/>
  <c r="D228" i="2"/>
  <c r="B228" i="2" s="1"/>
  <c r="E228" i="2"/>
  <c r="E219" i="2"/>
  <c r="D219" i="2"/>
  <c r="B219" i="2" s="1"/>
  <c r="D212" i="2"/>
  <c r="B212" i="2" s="1"/>
  <c r="E212" i="2"/>
  <c r="E197" i="2"/>
  <c r="D197" i="2"/>
  <c r="B197" i="2" s="1"/>
  <c r="D182" i="2"/>
  <c r="B182" i="2" s="1"/>
  <c r="E182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D156" i="2" a="1"/>
  <c r="E69" i="2" a="1"/>
  <c r="D169" i="2" a="1"/>
  <c r="D108" i="2" a="1"/>
  <c r="E34" i="2" a="1"/>
  <c r="D276" i="2" a="1"/>
  <c r="E276" i="2" a="1"/>
  <c r="E213" i="2" a="1"/>
  <c r="E59" i="2" a="1"/>
  <c r="E93" i="2" a="1"/>
  <c r="E101" i="2" a="1"/>
  <c r="E28" i="2" a="1"/>
  <c r="E220" i="2" a="1"/>
  <c r="D213" i="2" a="1"/>
  <c r="D198" i="2" a="1"/>
  <c r="D69" i="2" a="1"/>
  <c r="E268" i="2" a="1"/>
  <c r="D49" i="2" a="1"/>
  <c r="D28" i="2" a="1"/>
  <c r="E183" i="2" a="1"/>
  <c r="D268" i="2" a="1"/>
  <c r="D101" i="2" a="1"/>
  <c r="E156" i="2" a="1"/>
  <c r="D138" i="2" a="1"/>
  <c r="E41" i="2" a="1"/>
  <c r="E238" i="2" a="1"/>
  <c r="D238" i="2" a="1"/>
  <c r="D19" i="2" a="1"/>
  <c r="E82" i="2" a="1"/>
  <c r="D176" i="2" a="1"/>
  <c r="D183" i="2" a="1"/>
  <c r="E108" i="2" a="1"/>
  <c r="D7" i="2" a="1"/>
  <c r="D127" i="2" a="1"/>
  <c r="D118" i="2" a="1"/>
  <c r="E198" i="2" a="1"/>
  <c r="D93" i="2" a="1"/>
  <c r="D34" i="2" a="1"/>
  <c r="D220" i="2" a="1"/>
  <c r="E229" i="2" a="1"/>
  <c r="D82" i="2" a="1"/>
  <c r="E169" i="2" a="1"/>
  <c r="D229" i="2" a="1"/>
  <c r="D148" i="2" a="1"/>
  <c r="E176" i="2" a="1"/>
  <c r="E19" i="2" a="1"/>
  <c r="D59" i="2" a="1"/>
  <c r="E49" i="2" a="1"/>
  <c r="E138" i="2" a="1"/>
  <c r="E7" i="2" a="1"/>
  <c r="E127" i="2" a="1"/>
  <c r="E148" i="2" a="1"/>
  <c r="E118" i="2" a="1"/>
  <c r="D41" i="2" a="1"/>
  <c r="E118" i="2" l="1"/>
  <c r="D118" i="2"/>
  <c r="B117" i="2"/>
  <c r="E268" i="2"/>
  <c r="D268" i="2"/>
  <c r="B267" i="2"/>
  <c r="E276" i="2"/>
  <c r="D276" i="2"/>
  <c r="B275" i="2"/>
  <c r="E238" i="2"/>
  <c r="D238" i="2"/>
  <c r="B238" i="2" s="1"/>
  <c r="E229" i="2"/>
  <c r="D229" i="2"/>
  <c r="B229" i="2" s="1"/>
  <c r="E220" i="2"/>
  <c r="D220" i="2"/>
  <c r="B220" i="2" s="1"/>
  <c r="D213" i="2"/>
  <c r="B213" i="2" s="1"/>
  <c r="E213" i="2"/>
  <c r="E198" i="2"/>
  <c r="D198" i="2"/>
  <c r="B198" i="2" s="1"/>
  <c r="D183" i="2"/>
  <c r="B183" i="2" s="1"/>
  <c r="E183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E170" i="2" a="1"/>
  <c r="D50" i="2" a="1"/>
  <c r="D221" i="2" a="1"/>
  <c r="D35" i="2" a="1"/>
  <c r="E94" i="2" a="1"/>
  <c r="D239" i="2" a="1"/>
  <c r="D170" i="2" a="1"/>
  <c r="D277" i="2" a="1"/>
  <c r="D60" i="2" a="1"/>
  <c r="D177" i="2" a="1"/>
  <c r="E177" i="2" a="1"/>
  <c r="D199" i="2" a="1"/>
  <c r="E42" i="2" a="1"/>
  <c r="E102" i="2" a="1"/>
  <c r="E50" i="2" a="1"/>
  <c r="D42" i="2" a="1"/>
  <c r="E230" i="2" a="1"/>
  <c r="D230" i="2" a="1"/>
  <c r="D102" i="2" a="1"/>
  <c r="D184" i="2" a="1"/>
  <c r="D149" i="2" a="1"/>
  <c r="D269" i="2" a="1"/>
  <c r="E139" i="2" a="1"/>
  <c r="E109" i="2" a="1"/>
  <c r="E119" i="2" a="1"/>
  <c r="E277" i="2" a="1"/>
  <c r="E128" i="2" a="1"/>
  <c r="E60" i="2" a="1"/>
  <c r="E269" i="2" a="1"/>
  <c r="E70" i="2" a="1"/>
  <c r="D83" i="2" a="1"/>
  <c r="D128" i="2" a="1"/>
  <c r="D70" i="2" a="1"/>
  <c r="E20" i="2" a="1"/>
  <c r="E184" i="2" a="1"/>
  <c r="E83" i="2" a="1"/>
  <c r="D94" i="2" a="1"/>
  <c r="E239" i="2" a="1"/>
  <c r="E199" i="2" a="1"/>
  <c r="D109" i="2" a="1"/>
  <c r="D119" i="2" a="1"/>
  <c r="E247" i="2" a="1"/>
  <c r="D20" i="2" a="1"/>
  <c r="D139" i="2" a="1"/>
  <c r="E149" i="2" a="1"/>
  <c r="E221" i="2" a="1"/>
  <c r="E35" i="2" a="1"/>
  <c r="D247" i="2" a="1"/>
  <c r="B7" i="2" l="1"/>
  <c r="D119" i="2"/>
  <c r="E119" i="2"/>
  <c r="B118" i="2"/>
  <c r="D269" i="2"/>
  <c r="B269" i="2" s="1"/>
  <c r="E269" i="2"/>
  <c r="B268" i="2"/>
  <c r="D277" i="2"/>
  <c r="E277" i="2"/>
  <c r="B276" i="2"/>
  <c r="E247" i="2"/>
  <c r="D247" i="2"/>
  <c r="B247" i="2" s="1"/>
  <c r="D239" i="2"/>
  <c r="B239" i="2" s="1"/>
  <c r="E239" i="2"/>
  <c r="D230" i="2"/>
  <c r="B230" i="2" s="1"/>
  <c r="E230" i="2"/>
  <c r="E221" i="2"/>
  <c r="D221" i="2"/>
  <c r="B221" i="2" s="1"/>
  <c r="E199" i="2"/>
  <c r="D199" i="2"/>
  <c r="B199" i="2" s="1"/>
  <c r="D184" i="2"/>
  <c r="B184" i="2" s="1"/>
  <c r="E184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D222" i="2" a="1"/>
  <c r="D61" i="2" a="1"/>
  <c r="E140" i="2" a="1"/>
  <c r="D240" i="2" a="1"/>
  <c r="E61" i="2" a="1"/>
  <c r="D84" i="2" a="1"/>
  <c r="E8" i="2" a="1"/>
  <c r="D231" i="2" a="1"/>
  <c r="E200" i="2" a="1"/>
  <c r="D185" i="2" a="1"/>
  <c r="E51" i="2" a="1"/>
  <c r="E222" i="2" a="1"/>
  <c r="D140" i="2" a="1"/>
  <c r="D129" i="2" a="1"/>
  <c r="D110" i="2" a="1"/>
  <c r="D8" i="2" a="1"/>
  <c r="E240" i="2" a="1"/>
  <c r="D248" i="2" a="1"/>
  <c r="D71" i="2" a="1"/>
  <c r="D51" i="2" a="1"/>
  <c r="E185" i="2" a="1"/>
  <c r="E110" i="2" a="1"/>
  <c r="E120" i="2" a="1"/>
  <c r="E21" i="2" a="1"/>
  <c r="D21" i="2" a="1"/>
  <c r="D120" i="2" a="1"/>
  <c r="E84" i="2" a="1"/>
  <c r="E248" i="2" a="1"/>
  <c r="E129" i="2" a="1"/>
  <c r="D200" i="2" a="1"/>
  <c r="E231" i="2" a="1"/>
  <c r="E71" i="2" a="1"/>
  <c r="B277" i="2" l="1"/>
  <c r="E120" i="2"/>
  <c r="D120" i="2"/>
  <c r="B119" i="2"/>
  <c r="D248" i="2"/>
  <c r="B248" i="2" s="1"/>
  <c r="E248" i="2"/>
  <c r="E240" i="2"/>
  <c r="D240" i="2"/>
  <c r="B240" i="2" s="1"/>
  <c r="E231" i="2"/>
  <c r="D231" i="2"/>
  <c r="B231" i="2" s="1"/>
  <c r="E222" i="2"/>
  <c r="D222" i="2"/>
  <c r="B222" i="2" s="1"/>
  <c r="E200" i="2"/>
  <c r="D200" i="2"/>
  <c r="B200" i="2" s="1"/>
  <c r="D185" i="2"/>
  <c r="B185" i="2" s="1"/>
  <c r="E185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E72" i="2" a="1"/>
  <c r="E141" i="2" a="1"/>
  <c r="E111" i="2" a="1"/>
  <c r="E130" i="2" a="1"/>
  <c r="D201" i="2" a="1"/>
  <c r="E85" i="2" a="1"/>
  <c r="D223" i="2" a="1"/>
  <c r="D111" i="2" a="1"/>
  <c r="D85" i="2" a="1"/>
  <c r="E121" i="2" a="1"/>
  <c r="E186" i="2" a="1"/>
  <c r="D52" i="2" a="1"/>
  <c r="D186" i="2" a="1"/>
  <c r="E223" i="2" a="1"/>
  <c r="E52" i="2" a="1"/>
  <c r="E9" i="2" a="1"/>
  <c r="E249" i="2" a="1"/>
  <c r="E62" i="2" a="1"/>
  <c r="D130" i="2" a="1"/>
  <c r="D72" i="2" a="1"/>
  <c r="D141" i="2" a="1"/>
  <c r="D121" i="2" a="1"/>
  <c r="D9" i="2" a="1"/>
  <c r="D249" i="2" a="1"/>
  <c r="E201" i="2" a="1"/>
  <c r="D62" i="2" a="1"/>
  <c r="B8" i="2" l="1"/>
  <c r="D121" i="2"/>
  <c r="B121" i="2" s="1"/>
  <c r="E121" i="2"/>
  <c r="B120" i="2"/>
  <c r="E249" i="2"/>
  <c r="D249" i="2"/>
  <c r="B249" i="2" s="1"/>
  <c r="E223" i="2"/>
  <c r="D223" i="2"/>
  <c r="B223" i="2" s="1"/>
  <c r="E201" i="2"/>
  <c r="D201" i="2"/>
  <c r="B201" i="2" s="1"/>
  <c r="D186" i="2"/>
  <c r="B186" i="2" s="1"/>
  <c r="E186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D142" i="2" a="1"/>
  <c r="E142" i="2" a="1"/>
  <c r="D86" i="2" a="1"/>
  <c r="D131" i="2" a="1"/>
  <c r="D187" i="2" a="1"/>
  <c r="D10" i="2" a="1"/>
  <c r="E202" i="2" a="1"/>
  <c r="D250" i="2" a="1"/>
  <c r="E187" i="2" a="1"/>
  <c r="D202" i="2" a="1"/>
  <c r="E250" i="2" a="1"/>
  <c r="E131" i="2" a="1"/>
  <c r="E86" i="2" a="1"/>
  <c r="D73" i="2" a="1"/>
  <c r="E10" i="2" a="1"/>
  <c r="E73" i="2" a="1"/>
  <c r="B9" i="2" l="1"/>
  <c r="D250" i="2"/>
  <c r="B250" i="2" s="1"/>
  <c r="E250" i="2"/>
  <c r="E202" i="2"/>
  <c r="D202" i="2"/>
  <c r="B202" i="2" s="1"/>
  <c r="D187" i="2"/>
  <c r="B187" i="2" s="1"/>
  <c r="E187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E251" i="2" a="1"/>
  <c r="D157" i="2" a="1"/>
  <c r="D74" i="2" a="1"/>
  <c r="D188" i="2" a="1"/>
  <c r="E188" i="2" a="1"/>
  <c r="E157" i="2" a="1"/>
  <c r="E203" i="2" a="1"/>
  <c r="D11" i="2" a="1"/>
  <c r="E11" i="2" a="1"/>
  <c r="D203" i="2" a="1"/>
  <c r="E74" i="2" a="1"/>
  <c r="D251" i="2" a="1"/>
  <c r="B10" i="2" l="1"/>
  <c r="E251" i="2"/>
  <c r="D251" i="2"/>
  <c r="B251" i="2" s="1"/>
  <c r="E203" i="2"/>
  <c r="D203" i="2"/>
  <c r="B203" i="2" s="1"/>
  <c r="D188" i="2"/>
  <c r="B188" i="2" s="1"/>
  <c r="E188" i="2"/>
  <c r="D157" i="2"/>
  <c r="B157" i="2" s="1"/>
  <c r="E157" i="2"/>
  <c r="D74" i="2"/>
  <c r="B74" i="2" s="1"/>
  <c r="E74" i="2"/>
  <c r="E11" i="2"/>
  <c r="D11" i="2"/>
  <c r="E189" i="2" a="1"/>
  <c r="E12" i="2" a="1"/>
  <c r="D158" i="2" a="1"/>
  <c r="E75" i="2" a="1"/>
  <c r="E252" i="2" a="1"/>
  <c r="D252" i="2" a="1"/>
  <c r="E158" i="2" a="1"/>
  <c r="D204" i="2" a="1"/>
  <c r="D12" i="2" a="1"/>
  <c r="E204" i="2" a="1"/>
  <c r="D189" i="2" a="1"/>
  <c r="D75" i="2" a="1"/>
  <c r="B11" i="2" l="1"/>
  <c r="D252" i="2"/>
  <c r="B252" i="2" s="1"/>
  <c r="E252" i="2"/>
  <c r="E204" i="2"/>
  <c r="D204" i="2"/>
  <c r="B204" i="2" s="1"/>
  <c r="D189" i="2"/>
  <c r="B189" i="2" s="1"/>
  <c r="E189" i="2"/>
  <c r="D158" i="2"/>
  <c r="B158" i="2" s="1"/>
  <c r="E158" i="2"/>
  <c r="D75" i="2"/>
  <c r="B75" i="2" s="1"/>
  <c r="E75" i="2"/>
  <c r="E12" i="2"/>
  <c r="D12" i="2"/>
  <c r="D205" i="2" a="1"/>
  <c r="E253" i="2" a="1"/>
  <c r="D253" i="2" a="1"/>
  <c r="E205" i="2" a="1"/>
  <c r="D190" i="2" a="1"/>
  <c r="E190" i="2" a="1"/>
  <c r="D159" i="2" a="1"/>
  <c r="E159" i="2" a="1"/>
  <c r="B12" i="2" l="1"/>
  <c r="E253" i="2"/>
  <c r="D253" i="2"/>
  <c r="B253" i="2" s="1"/>
  <c r="E205" i="2"/>
  <c r="D205" i="2"/>
  <c r="B205" i="2" s="1"/>
  <c r="D190" i="2"/>
  <c r="B190" i="2" s="1"/>
  <c r="E190" i="2"/>
  <c r="D159" i="2"/>
  <c r="B159" i="2" s="1"/>
  <c r="E159" i="2"/>
  <c r="E160" i="2" a="1"/>
  <c r="D191" i="2" a="1"/>
  <c r="D254" i="2" a="1"/>
  <c r="E254" i="2" a="1"/>
  <c r="E191" i="2" a="1"/>
  <c r="D206" i="2" a="1"/>
  <c r="D160" i="2" a="1"/>
  <c r="E206" i="2" a="1"/>
  <c r="D254" i="2" l="1"/>
  <c r="B254" i="2" s="1"/>
  <c r="E254" i="2"/>
  <c r="E206" i="2"/>
  <c r="D206" i="2"/>
  <c r="B206" i="2" s="1"/>
  <c r="D191" i="2"/>
  <c r="B191" i="2" s="1"/>
  <c r="E191" i="2"/>
  <c r="D160" i="2"/>
  <c r="B160" i="2" s="1"/>
  <c r="E160" i="2"/>
  <c r="D161" i="2" a="1"/>
  <c r="D192" i="2" a="1"/>
  <c r="E255" i="2" a="1"/>
  <c r="D255" i="2" a="1"/>
  <c r="E192" i="2" a="1"/>
  <c r="E161" i="2" a="1"/>
  <c r="E255" i="2" l="1"/>
  <c r="D255" i="2"/>
  <c r="B255" i="2" s="1"/>
  <c r="D192" i="2"/>
  <c r="B192" i="2" s="1"/>
  <c r="E192" i="2"/>
  <c r="D161" i="2"/>
  <c r="B161" i="2" s="1"/>
  <c r="E161" i="2"/>
  <c r="E256" i="2" a="1"/>
  <c r="E162" i="2" a="1"/>
  <c r="D162" i="2" a="1"/>
  <c r="D256" i="2" a="1"/>
  <c r="D256" i="2" l="1"/>
  <c r="B256" i="2" s="1"/>
  <c r="E256" i="2"/>
  <c r="D162" i="2"/>
  <c r="B162" i="2" s="1"/>
  <c r="E162" i="2"/>
  <c r="D163" i="2" a="1"/>
  <c r="E257" i="2" a="1"/>
  <c r="D257" i="2" a="1"/>
  <c r="E163" i="2" a="1"/>
  <c r="E257" i="2" l="1"/>
  <c r="D257" i="2"/>
  <c r="B257" i="2" s="1"/>
  <c r="D163" i="2"/>
  <c r="B163" i="2" s="1"/>
  <c r="E163" i="2"/>
  <c r="E258" i="2" a="1"/>
  <c r="D258" i="2" a="1"/>
  <c r="D258" i="2" l="1"/>
  <c r="B258" i="2" s="1"/>
  <c r="E258" i="2"/>
  <c r="E259" i="2" a="1"/>
  <c r="D259" i="2" a="1"/>
  <c r="E259" i="2" l="1"/>
  <c r="D259" i="2"/>
  <c r="B259" i="2" s="1"/>
  <c r="E260" i="2" a="1"/>
  <c r="D260" i="2" a="1"/>
  <c r="D260" i="2" l="1"/>
  <c r="B260" i="2" s="1"/>
  <c r="E260" i="2"/>
  <c r="E261" i="2" a="1"/>
  <c r="D261" i="2" a="1"/>
  <c r="E261" i="2" l="1"/>
  <c r="D261" i="2"/>
  <c r="H5" i="7" l="1" a="1"/>
  <c r="H5" i="7" s="1"/>
  <c r="I5" i="7" a="1"/>
  <c r="I5" i="7" s="1"/>
  <c r="I6" i="7" a="1"/>
  <c r="I6" i="7" s="1"/>
  <c r="H6" i="7" a="1"/>
  <c r="H6" i="7" s="1"/>
  <c r="H7" i="7" a="1"/>
  <c r="H7" i="7" s="1"/>
  <c r="I7" i="7" a="1"/>
  <c r="I7" i="7" s="1"/>
  <c r="H3" i="7" a="1"/>
  <c r="H3" i="7" s="1"/>
  <c r="H10" i="7" a="1"/>
  <c r="H10" i="7" s="1"/>
  <c r="H9" i="7" a="1"/>
  <c r="H9" i="7" s="1"/>
  <c r="H8" i="7" a="1"/>
  <c r="H8" i="7" s="1"/>
  <c r="H4" i="7" a="1"/>
  <c r="H4" i="7" s="1"/>
  <c r="H11" i="7" a="1"/>
  <c r="H11" i="7" s="1"/>
  <c r="I11" i="7" a="1"/>
  <c r="I11" i="7" s="1"/>
  <c r="I10" i="7" a="1"/>
  <c r="I10" i="7" s="1"/>
  <c r="I9" i="7" a="1"/>
  <c r="I9" i="7" s="1"/>
  <c r="I4" i="7" a="1"/>
  <c r="I4" i="7" s="1"/>
  <c r="I8" i="7" a="1"/>
  <c r="I8" i="7" s="1"/>
  <c r="I3" i="7" a="1"/>
  <c r="I3" i="7" s="1"/>
  <c r="B261" i="2"/>
  <c r="M105" i="2" s="1"/>
  <c r="L7" i="7" s="1" a="1"/>
  <c r="L7" i="7" s="1"/>
  <c r="M272" i="2"/>
  <c r="C2" i="1" a="1"/>
  <c r="A29" i="1" s="1"/>
  <c r="J4" i="7" l="1" a="1"/>
  <c r="J4" i="7" s="1"/>
  <c r="L9" i="7" a="1"/>
  <c r="L9" i="7" s="1"/>
  <c r="M10" i="7" a="1"/>
  <c r="M10" i="7" s="1"/>
  <c r="K7" i="7" a="1"/>
  <c r="K7" i="7" s="1"/>
  <c r="J6" i="7" a="1"/>
  <c r="J6" i="7" s="1"/>
  <c r="J8" i="7" a="1"/>
  <c r="J8" i="7" s="1"/>
  <c r="L3" i="7" a="1"/>
  <c r="L3" i="7" s="1"/>
  <c r="M4" i="7" a="1"/>
  <c r="M4" i="7" s="1"/>
  <c r="J7" i="7" a="1"/>
  <c r="J7" i="7" s="1"/>
  <c r="J9" i="7" a="1"/>
  <c r="J9" i="7" s="1"/>
  <c r="M9" i="7" a="1"/>
  <c r="M9" i="7" s="1"/>
  <c r="K11" i="7" a="1"/>
  <c r="K11" i="7" s="1"/>
  <c r="M5" i="7" a="1"/>
  <c r="M5" i="7" s="1"/>
  <c r="J10" i="7" a="1"/>
  <c r="J10" i="7" s="1"/>
  <c r="M3" i="7" a="1"/>
  <c r="M3" i="7" s="1"/>
  <c r="K8" i="7" a="1"/>
  <c r="K8" i="7" s="1"/>
  <c r="L5" i="7" a="1"/>
  <c r="L5" i="7" s="1"/>
  <c r="M11" i="7" a="1"/>
  <c r="M11" i="7" s="1"/>
  <c r="K10" i="7" a="1"/>
  <c r="K10" i="7" s="1"/>
  <c r="L11" i="7" a="1"/>
  <c r="L11" i="7" s="1"/>
  <c r="L6" i="7" a="1"/>
  <c r="L6" i="7" s="1"/>
  <c r="K5" i="7" a="1"/>
  <c r="K5" i="7" s="1"/>
  <c r="M8" i="7" a="1"/>
  <c r="M8" i="7" s="1"/>
  <c r="K4" i="7" a="1"/>
  <c r="K4" i="7" s="1"/>
  <c r="L8" i="7" a="1"/>
  <c r="L8" i="7" s="1"/>
  <c r="M6" i="7" a="1"/>
  <c r="M6" i="7" s="1"/>
  <c r="J5" i="7" a="1"/>
  <c r="J5" i="7" s="1"/>
  <c r="J11" i="7" a="1"/>
  <c r="J11" i="7" s="1"/>
  <c r="K9" i="7" a="1"/>
  <c r="K9" i="7" s="1"/>
  <c r="L10" i="7" a="1"/>
  <c r="L10" i="7" s="1"/>
  <c r="M7" i="7" a="1"/>
  <c r="M7" i="7" s="1"/>
  <c r="K6" i="7" a="1"/>
  <c r="K6" i="7" s="1"/>
  <c r="J3" i="7" a="1"/>
  <c r="J3" i="7" s="1"/>
  <c r="K3" i="7" a="1"/>
  <c r="K3" i="7" s="1"/>
  <c r="L4" i="7" a="1"/>
  <c r="L4" i="7" s="1"/>
  <c r="M54" i="2"/>
  <c r="M65" i="2"/>
  <c r="M124" i="2"/>
  <c r="M5" i="2"/>
  <c r="M15" i="2"/>
  <c r="M157" i="2"/>
  <c r="M7" i="2"/>
  <c r="M45" i="2"/>
  <c r="M134" i="2"/>
  <c r="M233" i="2"/>
  <c r="M155" i="2"/>
  <c r="M153" i="2"/>
  <c r="M64" i="2"/>
  <c r="M225" i="2"/>
  <c r="M113" i="2"/>
  <c r="M44" i="2"/>
  <c r="M55" i="2"/>
  <c r="M135" i="2"/>
  <c r="M215" i="2"/>
  <c r="M242" i="2"/>
  <c r="M81" i="2"/>
  <c r="M4" i="2"/>
  <c r="M133" i="2"/>
  <c r="M179" i="2"/>
  <c r="M66" i="2"/>
  <c r="M234" i="2"/>
  <c r="M158" i="2"/>
  <c r="M80" i="2"/>
  <c r="M216" i="2"/>
  <c r="M264" i="2"/>
  <c r="M271" i="2"/>
  <c r="M263" i="2"/>
  <c r="E28" i="1"/>
  <c r="E29" i="1"/>
  <c r="D29" i="1"/>
  <c r="D14" i="1"/>
  <c r="A11" i="1"/>
  <c r="A25" i="1"/>
  <c r="D23" i="1"/>
  <c r="A17" i="1"/>
  <c r="A23" i="1"/>
  <c r="A14" i="1"/>
  <c r="A24" i="1"/>
  <c r="D19" i="1"/>
  <c r="A26" i="1"/>
  <c r="D25" i="1"/>
  <c r="D7" i="1"/>
  <c r="A9" i="1"/>
  <c r="A6" i="1"/>
  <c r="A5" i="1"/>
  <c r="A27" i="1"/>
  <c r="D15" i="1"/>
  <c r="D13" i="1"/>
  <c r="D12" i="1"/>
  <c r="A15" i="1"/>
  <c r="D21" i="1"/>
  <c r="A13" i="1"/>
  <c r="A12" i="1"/>
  <c r="A10" i="1"/>
  <c r="D5" i="1"/>
  <c r="D4" i="1"/>
  <c r="D27" i="1"/>
  <c r="D3" i="1"/>
  <c r="D22" i="1"/>
  <c r="C2" i="1"/>
  <c r="A2" i="1" s="1"/>
  <c r="A4" i="1"/>
  <c r="A3" i="1"/>
  <c r="D24" i="1"/>
  <c r="A16" i="1"/>
  <c r="D11" i="1"/>
  <c r="D10" i="1"/>
  <c r="A21" i="1"/>
  <c r="D9" i="1"/>
  <c r="D8" i="1"/>
  <c r="A20" i="1"/>
  <c r="D6" i="1"/>
  <c r="A8" i="1"/>
  <c r="A7" i="1"/>
  <c r="D26" i="1"/>
  <c r="A28" i="1"/>
  <c r="D18" i="1"/>
  <c r="D28" i="1"/>
  <c r="D20" i="1"/>
  <c r="A22" i="1"/>
  <c r="D17" i="1"/>
  <c r="A19" i="1"/>
  <c r="D16" i="1"/>
  <c r="A18" i="1"/>
  <c r="D2" i="1"/>
  <c r="E27" i="1" l="1"/>
  <c r="E2" i="1" l="1"/>
  <c r="E24" i="1"/>
  <c r="E26" i="1"/>
  <c r="E25" i="1"/>
  <c r="E7" i="1"/>
  <c r="E4" i="1"/>
  <c r="E5" i="1"/>
  <c r="E8" i="1"/>
  <c r="E14" i="1"/>
  <c r="E3" i="1"/>
  <c r="E9" i="1"/>
  <c r="E21" i="1"/>
  <c r="E19" i="1"/>
  <c r="E15" i="1"/>
  <c r="E18" i="1"/>
  <c r="E20" i="1"/>
  <c r="E17" i="1"/>
  <c r="E6" i="1"/>
  <c r="E23" i="1"/>
  <c r="E13" i="1"/>
  <c r="E16" i="1"/>
  <c r="E22" i="1"/>
  <c r="E10" i="1"/>
  <c r="E12" i="1"/>
  <c r="E11" i="1"/>
  <c r="M243" i="2" l="1"/>
  <c r="C5" i="7" l="1" a="1"/>
  <c r="C5" i="7" s="1"/>
  <c r="F5" i="7" a="1"/>
  <c r="F5" i="7" s="1"/>
  <c r="G5" i="7" a="1"/>
  <c r="G5" i="7" s="1"/>
  <c r="D5" i="7" a="1"/>
  <c r="D5" i="7" s="1"/>
  <c r="E5" i="7" a="1"/>
  <c r="E5" i="7" s="1"/>
  <c r="E6" i="7" a="1"/>
  <c r="E6" i="7" s="1"/>
  <c r="G6" i="7" a="1"/>
  <c r="G6" i="7" s="1"/>
  <c r="D6" i="7" a="1"/>
  <c r="D6" i="7" s="1"/>
  <c r="C6" i="7" a="1"/>
  <c r="C6" i="7" s="1"/>
  <c r="F6" i="7" a="1"/>
  <c r="F6" i="7" s="1"/>
  <c r="D7" i="7" a="1"/>
  <c r="D7" i="7" s="1"/>
  <c r="C7" i="7" a="1"/>
  <c r="C7" i="7" s="1"/>
  <c r="F7" i="7" a="1"/>
  <c r="F7" i="7" s="1"/>
  <c r="E7" i="7" a="1"/>
  <c r="E7" i="7" s="1"/>
  <c r="G7" i="7" a="1"/>
  <c r="G7" i="7" s="1"/>
  <c r="E3" i="7" a="1"/>
  <c r="E3" i="7" s="1"/>
  <c r="E8" i="7" a="1"/>
  <c r="E8" i="7" s="1"/>
  <c r="E11" i="7" a="1"/>
  <c r="E11" i="7" s="1"/>
  <c r="F4" i="7" a="1"/>
  <c r="F4" i="7" s="1"/>
  <c r="E4" i="7" a="1"/>
  <c r="E4" i="7" s="1"/>
  <c r="D8" i="7" a="1"/>
  <c r="D8" i="7" s="1"/>
  <c r="F10" i="7" a="1"/>
  <c r="F10" i="7" s="1"/>
  <c r="D11" i="7" a="1"/>
  <c r="D11" i="7" s="1"/>
  <c r="F11" i="7" a="1"/>
  <c r="F11" i="7" s="1"/>
  <c r="G9" i="7" a="1"/>
  <c r="G9" i="7" s="1"/>
  <c r="D3" i="7" a="1"/>
  <c r="D3" i="7" s="1"/>
  <c r="D4" i="7" a="1"/>
  <c r="D4" i="7" s="1"/>
  <c r="G8" i="7" a="1"/>
  <c r="G8" i="7" s="1"/>
  <c r="F9" i="7" a="1"/>
  <c r="F9" i="7" s="1"/>
  <c r="E9" i="7" a="1"/>
  <c r="E9" i="7" s="1"/>
  <c r="G3" i="7" a="1"/>
  <c r="G3" i="7" s="1"/>
  <c r="D9" i="7" a="1"/>
  <c r="D9" i="7" s="1"/>
  <c r="F3" i="7" a="1"/>
  <c r="F3" i="7" s="1"/>
  <c r="G4" i="7" a="1"/>
  <c r="G4" i="7" s="1"/>
  <c r="E10" i="7" a="1"/>
  <c r="E10" i="7" s="1"/>
  <c r="D10" i="7" a="1"/>
  <c r="D10" i="7" s="1"/>
  <c r="G10" i="7" a="1"/>
  <c r="G10" i="7" s="1"/>
  <c r="F8" i="7" a="1"/>
  <c r="F8" i="7" s="1"/>
  <c r="G11" i="7" a="1"/>
  <c r="G11" i="7" s="1"/>
  <c r="C10" i="7" a="1"/>
  <c r="C10" i="7" s="1"/>
  <c r="C9" i="7" a="1"/>
  <c r="C9" i="7" s="1"/>
  <c r="C8" i="7" a="1"/>
  <c r="C8" i="7" s="1"/>
  <c r="C4" i="7" a="1"/>
  <c r="C4" i="7" s="1"/>
  <c r="C11" i="7" a="1"/>
  <c r="C11" i="7" s="1"/>
  <c r="C3" i="7" a="1"/>
  <c r="C3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<sst xmlns="http://schemas.openxmlformats.org/spreadsheetml/2006/main" count="2291" uniqueCount="593">
  <si>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</si>
  <si>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</si>
  <si>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</si>
  <si>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</si>
  <si>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</si>
  <si>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</si>
  <si>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</si>
  <si>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</si>
  <si>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</si>
  <si>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</si>
  <si>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</si>
  <si>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</si>
  <si>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</si>
  <si>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</si>
  <si>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</si>
  <si>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</si>
  <si>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</si>
  <si>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</si>
  <si>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</si>
  <si>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</si>
  <si>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</si>
  <si>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</si>
  <si>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</si>
  <si>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</si>
  <si>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</si>
  <si>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</si>
  <si>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</si>
  <si>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</si>
  <si>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</si>
  <si>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</si>
  <si>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</si>
  <si>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</si>
  <si>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</si>
  <si>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</si>
  <si>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</si>
  <si>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</si>
  <si>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</si>
  <si>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</si>
  <si>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</si>
  <si>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</si>
  <si>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</si>
  <si>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</si>
  <si>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</si>
  <si>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</si>
  <si>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</si>
  <si>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</si>
  <si>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</si>
  <si>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</si>
  <si>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</si>
  <si>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</si>
  <si>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</si>
  <si>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</si>
  <si>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</si>
  <si>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</si>
  <si>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</si>
  <si>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</si>
  <si>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</si>
  <si>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</si>
  <si>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</si>
  <si>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</si>
  <si>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</si>
  <si>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</si>
  <si>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</si>
  <si>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</si>
  <si>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</si>
  <si>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</si>
  <si>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</si>
  <si>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</si>
  <si>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</si>
  <si>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</si>
  <si>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</si>
  <si>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</si>
  <si>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</si>
  <si>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</si>
  <si>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</si>
  <si>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</si>
  <si>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</si>
  <si>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</si>
  <si>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</si>
  <si>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</si>
  <si>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</si>
  <si>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</si>
  <si>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</si>
  <si>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</si>
  <si>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</si>
  <si>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</si>
  <si>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</si>
  <si>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</si>
  <si>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</si>
  <si>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</si>
  <si>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</si>
  <si>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</si>
  <si>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</si>
  <si>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</si>
  <si>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</si>
  <si>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</si>
  <si>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</si>
  <si>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</si>
  <si>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</si>
  <si>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</si>
  <si>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</si>
  <si>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</si>
  <si>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</si>
  <si>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</si>
  <si>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</si>
  <si>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</si>
  <si>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</si>
  <si>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</si>
  <si>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</si>
  <si>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</si>
  <si>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</si>
  <si>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</si>
  <si>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</si>
  <si>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</si>
  <si>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</si>
  <si>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</si>
  <si>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</si>
  <si>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</si>
  <si>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</si>
  <si>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</si>
  <si>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</si>
  <si>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</si>
  <si>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</si>
  <si>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</si>
  <si>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</si>
  <si>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</si>
  <si>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</si>
  <si>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</si>
  <si>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</si>
  <si>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</si>
  <si>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</si>
  <si>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</si>
  <si>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</si>
  <si>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</si>
  <si>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</si>
  <si>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</si>
  <si>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</si>
  <si>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</si>
  <si>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</si>
  <si>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</si>
  <si>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</si>
  <si>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</si>
  <si>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</si>
  <si>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</si>
  <si>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</si>
  <si>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</si>
  <si>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</si>
  <si>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</si>
  <si>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</si>
  <si>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</si>
  <si>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</si>
  <si>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</si>
  <si>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</si>
  <si>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</si>
  <si>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</si>
  <si>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</si>
  <si>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</si>
  <si>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</si>
  <si>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</si>
  <si>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</si>
  <si>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</si>
  <si>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</si>
  <si>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</si>
  <si>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</si>
  <si>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</si>
  <si>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</si>
  <si>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</si>
  <si>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</si>
  <si>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</si>
  <si>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</si>
  <si>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</si>
  <si>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</si>
  <si>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</si>
  <si>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</si>
  <si>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</si>
  <si>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</si>
  <si>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</si>
  <si>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</si>
  <si>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</si>
  <si>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</si>
  <si>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</si>
  <si>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</si>
  <si>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</si>
  <si>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</si>
  <si>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</si>
  <si>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</si>
  <si>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</si>
  <si>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</si>
  <si>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</si>
  <si>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</si>
  <si>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</si>
  <si>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</si>
  <si>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</si>
  <si>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</si>
  <si>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</si>
  <si>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</si>
  <si>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</si>
  <si>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</si>
  <si>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</si>
  <si>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</si>
  <si>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</si>
  <si>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</si>
  <si>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</si>
  <si>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</si>
  <si>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</si>
  <si>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</si>
  <si>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</si>
  <si>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</si>
  <si>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</si>
  <si>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</si>
  <si>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</si>
  <si>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</si>
  <si>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</si>
  <si>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</si>
  <si>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</si>
  <si>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</si>
  <si>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</si>
  <si>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</si>
  <si>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</si>
  <si>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</si>
  <si>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</si>
  <si>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</si>
  <si>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</si>
  <si>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</si>
  <si>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</si>
  <si>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</si>
  <si>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</si>
  <si>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</si>
  <si>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</si>
  <si>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</si>
  <si>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</si>
  <si>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</si>
  <si>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</si>
  <si>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</si>
  <si>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</si>
  <si>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</si>
  <si>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</si>
  <si>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</si>
  <si>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</si>
  <si>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</si>
  <si>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</si>
  <si>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</si>
  <si>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</si>
  <si>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</si>
  <si>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</si>
  <si>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</si>
  <si>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</si>
  <si>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</si>
  <si>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</si>
  <si>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</si>
  <si>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</si>
  <si>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</si>
  <si>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</si>
  <si>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</si>
  <si>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</si>
  <si>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</si>
  <si>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</si>
  <si>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</si>
  <si>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</si>
  <si>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</si>
  <si>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</si>
  <si>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</si>
  <si>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</si>
  <si>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</si>
  <si>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</si>
  <si>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</si>
  <si>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</si>
  <si>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</si>
  <si>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</si>
  <si>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</si>
  <si>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</si>
  <si>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</si>
  <si>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</si>
  <si>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</si>
  <si>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</si>
  <si>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</si>
  <si>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</si>
  <si>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</si>
  <si>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</si>
  <si>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</si>
  <si>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</si>
  <si>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</si>
  <si>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</si>
  <si>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</si>
  <si>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</si>
  <si>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</si>
  <si>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</si>
  <si>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</si>
  <si>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</si>
  <si>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</si>
  <si>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</si>
  <si>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</si>
  <si>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</si>
  <si>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</si>
  <si>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</si>
  <si>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</si>
  <si>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</si>
  <si>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</si>
  <si>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</si>
  <si>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</si>
  <si>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</si>
  <si>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</si>
  <si>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</si>
  <si>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</si>
  <si>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</si>
  <si>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</si>
  <si>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</si>
  <si>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</si>
  <si>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</si>
  <si>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</si>
  <si>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</si>
  <si>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</si>
  <si>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</si>
  <si>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</si>
  <si>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</si>
  <si>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</si>
  <si>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</si>
  <si>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</si>
  <si>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</si>
  <si>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</si>
  <si>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</si>
  <si>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</si>
  <si>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</si>
  <si>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</si>
  <si>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</si>
  <si>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</si>
  <si>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</si>
  <si>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</si>
  <si>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</si>
  <si>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</si>
  <si>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</si>
  <si>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</si>
  <si>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</si>
  <si>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</si>
  <si>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</si>
  <si>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</si>
  <si>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</si>
  <si>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</si>
  <si>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</si>
  <si>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</si>
  <si>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</si>
  <si>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</si>
  <si>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</si>
  <si>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</si>
  <si>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</si>
  <si>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</si>
  <si>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</si>
  <si>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</si>
  <si>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</si>
  <si>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</si>
  <si>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</si>
  <si>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</si>
  <si>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</si>
  <si>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</si>
  <si>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</si>
  <si>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</si>
  <si>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</si>
  <si>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</si>
  <si>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</si>
  <si>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</si>
  <si>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</si>
  <si>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</si>
  <si>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</si>
  <si>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</si>
  <si>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</si>
  <si>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</si>
  <si>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</si>
  <si>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</si>
  <si>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</si>
  <si>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</si>
  <si>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</si>
  <si>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</si>
  <si>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</si>
  <si>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</si>
  <si>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</si>
  <si>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</si>
  <si>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</si>
  <si>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</si>
  <si>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</si>
  <si>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</si>
  <si>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</si>
  <si>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</si>
  <si>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</si>
  <si>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</si>
  <si>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</si>
  <si>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</si>
  <si>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</si>
  <si>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</si>
  <si>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</si>
  <si>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</si>
  <si>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</si>
  <si>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</si>
  <si>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</si>
  <si>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</si>
  <si>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</si>
  <si>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</si>
  <si>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</si>
  <si>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</si>
  <si>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</si>
  <si>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</si>
  <si>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</si>
  <si>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</si>
  <si>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</si>
  <si>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</si>
  <si>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</si>
  <si>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</si>
  <si>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</si>
  <si>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</si>
  <si>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</si>
  <si>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</si>
  <si>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</si>
  <si>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</si>
  <si>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</si>
  <si>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</si>
  <si>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</si>
  <si>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</si>
  <si>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</si>
  <si>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</si>
  <si>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</si>
  <si>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</si>
  <si>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</si>
  <si>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</si>
  <si>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</si>
  <si>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</si>
  <si>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</si>
  <si>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</si>
  <si>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</si>
  <si>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</si>
  <si>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</si>
  <si>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</si>
  <si>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</si>
  <si>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</si>
  <si>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</si>
  <si>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</si>
  <si>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</si>
  <si>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</si>
  <si>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</si>
  <si>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</si>
  <si>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</si>
  <si>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</si>
  <si>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</si>
  <si>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</si>
  <si>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</si>
  <si>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</si>
  <si>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</si>
  <si>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</si>
  <si>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</si>
  <si>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</si>
  <si>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</si>
  <si>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</si>
  <si>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</si>
  <si>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</si>
  <si>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</si>
  <si>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</si>
  <si>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</si>
  <si>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</si>
  <si>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</si>
  <si>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</si>
  <si>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</si>
  <si>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</si>
  <si>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</si>
  <si>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</si>
  <si>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</si>
  <si>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</si>
  <si>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</si>
  <si>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</si>
  <si>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</si>
  <si>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</si>
  <si>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</si>
  <si>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vtuber_profiles_id</t>
    <phoneticPr fontId="3"/>
  </si>
  <si>
    <t>tag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</si>
  <si>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</si>
  <si>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</si>
  <si>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</si>
  <si>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</si>
  <si>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likes</t>
    <phoneticPr fontId="3"/>
  </si>
  <si>
    <t>likes_do_user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</si>
  <si>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</si>
  <si>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</si>
  <si>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</si>
  <si>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</si>
  <si>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</si>
  <si>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</si>
  <si>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</si>
  <si>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</si>
  <si>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</si>
  <si>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</si>
  <si>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</si>
  <si>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</si>
  <si>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</si>
  <si>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</si>
  <si>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管理者向けのため、日本語固定</t>
    <phoneticPr fontId="3"/>
  </si>
  <si>
    <t>文言種別</t>
    <rPh sb="0" eb="4">
      <t>モンゴンシュベツ</t>
    </rPh>
    <phoneticPr fontId="3"/>
  </si>
  <si>
    <t>message_type</t>
    <phoneticPr fontId="3"/>
  </si>
  <si>
    <t>実際に表示されるワード</t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</si>
  <si>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</si>
  <si>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</si>
  <si>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</si>
  <si>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</si>
  <si>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</si>
  <si>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</si>
  <si>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</si>
  <si>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</si>
  <si>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</si>
  <si>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</si>
  <si>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</si>
  <si>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</si>
  <si>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</si>
  <si>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</si>
  <si>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</si>
  <si>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</si>
  <si>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</si>
  <si>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</si>
  <si>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</si>
  <si>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</si>
  <si>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</si>
  <si>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</si>
  <si>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</si>
  <si>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</si>
  <si>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</si>
  <si>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</si>
  <si>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</si>
  <si>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</si>
  <si>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</si>
  <si>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</si>
  <si>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</si>
  <si>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</si>
  <si>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</si>
  <si>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</si>
  <si>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</si>
  <si>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</si>
  <si>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</si>
  <si>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</si>
  <si>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</si>
  <si>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</si>
  <si>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</si>
  <si>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</si>
  <si>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</si>
  <si>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</si>
  <si>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</si>
  <si>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</si>
  <si>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other_tables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</si>
  <si>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</si>
  <si>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</si>
  <si>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</si>
  <si>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</si>
  <si>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dev</t>
    <phoneticPr fontId="3"/>
  </si>
  <si>
    <t>japan</t>
    <phoneticPr fontId="3"/>
  </si>
  <si>
    <t>NULL</t>
    <phoneticPr fontId="3"/>
  </si>
  <si>
    <t>serial</t>
    <phoneticPr fontId="3"/>
  </si>
  <si>
    <t>vtuber_profiles</t>
    <phoneticPr fontId="3"/>
  </si>
  <si>
    <t>SEQUENCE</t>
    <phoneticPr fontId="3"/>
  </si>
  <si>
    <t>serial</t>
    <phoneticPr fontId="3"/>
  </si>
  <si>
    <t>Vtuberプロフィール</t>
    <phoneticPr fontId="3"/>
  </si>
  <si>
    <t>URLに使用する。可変</t>
    <rPh sb="9" eb="11">
      <t>カヘン</t>
    </rPh>
    <phoneticPr fontId="3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</si>
  <si>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</si>
  <si>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</si>
  <si>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</si>
  <si>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</si>
  <si>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</si>
  <si>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</si>
  <si>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</si>
  <si>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</si>
  <si>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</si>
  <si>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</si>
  <si>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</si>
  <si>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</si>
  <si>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</si>
  <si>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</si>
  <si>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3"/>
  </si>
  <si>
    <t>screen_element.screen_element_sequence_idかそれ以外のテーブルのものかを管理する</t>
    <rPh sb="44" eb="46">
      <t>イガイ</t>
    </rPh>
    <rPh sb="56" eb="58">
      <t>カンリ</t>
    </rPh>
    <phoneticPr fontId="3"/>
  </si>
  <si>
    <t>"default"のID</t>
    <phoneticPr fontId="3"/>
  </si>
  <si>
    <t>"japan"のID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</si>
  <si>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</si>
  <si>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</si>
  <si>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</si>
  <si>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</si>
  <si>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</si>
  <si>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t>ワードの検索キー。screen_element.screen_element_sequence_idかそれ以外のテーブルの対象IDが入る(実質的なFKとして運用)</t>
    <rPh sb="69" eb="72">
      <t xml:space="preserve">ジッシツテキナ </t>
    </rPh>
    <rPh sb="78" eb="80">
      <t xml:space="preserve">ウンヨウ </t>
    </rPh>
    <phoneticPr fontId="3"/>
  </si>
  <si>
    <t>紐づけられたVtuberアカウント。型はFK参照先と同じ整数型</t>
    <rPh sb="18" eb="19">
      <t xml:space="preserve">カタハ </t>
    </rPh>
    <phoneticPr fontId="3"/>
  </si>
  <si>
    <t>型はFK参照先と同じ整数型</t>
  </si>
  <si>
    <t>SNSアイコン。型はFK参照先と同じ整数型</t>
    <phoneticPr fontId="3"/>
  </si>
  <si>
    <t>型はFK参照先と同じ整数型</t>
    <phoneticPr fontId="3"/>
  </si>
  <si>
    <t>likes_do_user + likes_target_user + likes_type で UNIQUEにする。型はFK参照先と同じ整数型</t>
    <phoneticPr fontId="3"/>
  </si>
  <si>
    <t>likes_do_user + likes_target_user + likes_type で UNIQUEにする。型はFK参照先と同じ整数型</t>
    <rPh sb="58" eb="59">
      <t>。</t>
    </rPh>
    <phoneticPr fontId="3"/>
  </si>
  <si>
    <t>node_from + node_to で UNIQUEにする。型はFK参照先と同じ整数型</t>
    <phoneticPr fontId="3"/>
  </si>
  <si>
    <t>node_from + node_to で UNIQUEにする。型はFK参照先と同じ整数型</t>
    <rPh sb="31" eb="32">
      <t>。</t>
    </rPh>
    <phoneticPr fontId="3"/>
  </si>
  <si>
    <t>vtuber_profiles_id + lang で UNIQUEにする。型はFK参照先と同じ整数型</t>
    <phoneticPr fontId="3"/>
  </si>
  <si>
    <t>vtuber_profiles_id + lang で UNIQUEにする。型はFK参照先と同じ整数型</t>
    <rPh sb="37" eb="38">
      <t>。</t>
    </rPh>
    <phoneticPr fontId="3"/>
  </si>
  <si>
    <t>vtuber_profiles_id + tag で UNIQUEにする。型はFK参照先と同じ整数型</t>
    <phoneticPr fontId="3"/>
  </si>
  <si>
    <t>vtuber_profiles_id + tag で UNIQUEにする。型はFK参照先と同じ整数型</t>
    <rPh sb="36" eb="37">
      <t>。</t>
    </rPh>
    <phoneticPr fontId="3"/>
  </si>
  <si>
    <t>vtuber_profiles_id + activity で UNIQUEにする。型はFK参照先と同じ整数型</t>
    <phoneticPr fontId="3"/>
  </si>
  <si>
    <t>images_system.images_system_sequence_id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</si>
</sst>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0" fillId="8" borderId="2" xfId="0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3" fillId="7" borderId="2" xfId="0" applyFont="1" applyFill="1" applyBorder="1" applyAlignment="1">
      <alignment vertical="center"/>
    </xf>
    <xf numFmtId="0" fontId="14" fillId="7" borderId="2" xfId="0" applyFont="1" applyFill="1" applyBorder="1" applyAlignment="1">
      <alignment vertical="center"/>
    </xf>
    <xf numFmtId="0" fontId="15" fillId="7" borderId="2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4" sqref="C14:F14"/>
    </sheetView>
  </sheetViews>
  <sheetFormatPr baseColWidth="10" defaultColWidth="14.5" defaultRowHeight="15" customHeight="1"/>
  <cols>
    <col min="1" max="1" width="8.6640625" customWidth="1"/>
    <col min="2" max="2" width="3.83203125" customWidth="1"/>
    <col min="3" max="3" width="23.83203125" bestFit="1" customWidth="1"/>
    <col min="4" max="4" width="31.33203125" bestFit="1" customWidth="1"/>
    <col min="5" max="5" width="28.5" customWidth="1"/>
    <col min="6" max="6" width="21.6640625" bestFit="1" customWidth="1"/>
    <col min="7" max="7" width="110.6640625" customWidth="1"/>
    <col min="8" max="26" width="8.6640625" customWidth="1"/>
  </cols>
  <sheetData>
    <row r="1" spans="1:8" ht="18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>
      <c r="A2" s="1" t="str">
        <f ca="1">IF(COUNTIFS(テーブル定義_一覧!$D:$D,$C2,テーブル定義_一覧!$A:$A,"")&gt;0,"","〇")</f>
        <v>〇</v>
      </c>
      <c r="B2" s="2">
        <f t="shared" ref="B2:B29" si="0">ROW()-1</f>
        <v>1</v>
      </c>
      <c r="C2" s="3" t="str" cm="1">
        <f t="array" aca="1" ref="C2:C29" ca="1">_xlfn.UNIQUE(_xlfn._xlws.FILTER(テーブル定義_一覧!D:D,(テーブル定義_一覧!D:D&lt;&gt;"")*(テーブル定義_一覧!D:D&lt;&gt;"テーブル名(物理名)")))</f>
        <v>vtuber_profiles</v>
      </c>
      <c r="D2" s="3" t="str">
        <f ca="1">_xlfn.XLOOKUP(C2,テーブル定義_一覧!D:D,テーブル定義_一覧!E:E,"error")</f>
        <v>Vtuberプロフィール</v>
      </c>
      <c r="E2" s="3">
        <f ca="1">SUMIF(テーブル定義_一覧!D:D,C2,テーブル定義_一覧!I:I)</f>
        <v>904</v>
      </c>
      <c r="F2" s="3" t="s">
        <v>8</v>
      </c>
      <c r="G2" s="3" t="s">
        <v>454</v>
      </c>
      <c r="H2" s="3"/>
    </row>
    <row r="3" spans="1:8" ht="18.75" customHeight="1">
      <c r="A3" s="1" t="str">
        <f ca="1">IF(COUNTIFS(テーブル定義_一覧!$D:$D,$C3,テーブル定義_一覧!$A:$A,"")&gt;0,"","〇")</f>
        <v>〇</v>
      </c>
      <c r="B3" s="2">
        <f t="shared" si="0"/>
        <v>2</v>
      </c>
      <c r="C3" s="3" t="str">
        <f ca="1"/>
        <v>join_group</v>
      </c>
      <c r="D3" s="3" t="str">
        <f ca="1">_xlfn.XLOOKUP(C3,テーブル定義_一覧!D:D,テーブル定義_一覧!E:E,"error")</f>
        <v>所属</v>
      </c>
      <c r="E3" s="3">
        <f ca="1">SUMIF(テーブル定義_一覧!D:D,C3,テーブル定義_一覧!I:I)</f>
        <v>1224</v>
      </c>
      <c r="F3" s="3" t="s">
        <v>8</v>
      </c>
      <c r="G3" s="3" t="s">
        <v>9</v>
      </c>
      <c r="H3" s="3"/>
    </row>
    <row r="4" spans="1:8" ht="18.75" customHeight="1">
      <c r="A4" s="1" t="str">
        <f ca="1">IF(COUNTIFS(テーブル定義_一覧!$D:$D,$C4,テーブル定義_一覧!$A:$A,"")&gt;0,"","〇")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>_xlfn.XLOOKUP(C4,テーブル定義_一覧!D:D,テーブル定義_一覧!E:E,"error")</f>
        <v>タグ</v>
      </c>
      <c r="E4" s="3">
        <f ca="1">SUMIF(テーブル定義_一覧!D:D,C4,テーブル定義_一覧!I:I)</f>
        <v>680</v>
      </c>
      <c r="F4" s="3" t="s">
        <v>8</v>
      </c>
      <c r="G4" s="3" t="s">
        <v>10</v>
      </c>
      <c r="H4" s="3"/>
    </row>
    <row r="5" spans="1:8" ht="18.75" customHeight="1">
      <c r="A5" s="1" t="str">
        <f ca="1">IF(COUNTIFS(テーブル定義_一覧!$D:$D,$C5,テーブル定義_一覧!$A:$A,"")&gt;0,"","〇")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>_xlfn.XLOOKUP(C5,テーブル定義_一覧!D:D,テーブル定義_一覧!E:E,"error")</f>
        <v>バッジ</v>
      </c>
      <c r="E5" s="3">
        <f ca="1">SUMIF(テーブル定義_一覧!D:D,C5,テーブル定義_一覧!I:I)</f>
        <v>872</v>
      </c>
      <c r="F5" s="3" t="s">
        <v>11</v>
      </c>
      <c r="G5" s="3" t="s">
        <v>12</v>
      </c>
      <c r="H5" s="3"/>
    </row>
    <row r="6" spans="1:8" ht="18.75" customHeight="1">
      <c r="A6" s="1" t="str">
        <f ca="1">IF(COUNTIFS(テーブル定義_一覧!$D:$D,$C6,テーブル定義_一覧!$A:$A,"")&gt;0,"","〇")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>_xlfn.XLOOKUP(C6,テーブル定義_一覧!D:D,テーブル定義_一覧!E:E,"error")</f>
        <v>活動状態</v>
      </c>
      <c r="E6" s="3">
        <f ca="1">SUMIF(テーブル定義_一覧!D:D,C6,テーブル定義_一覧!I:I)</f>
        <v>744</v>
      </c>
      <c r="F6" s="3" t="s">
        <v>11</v>
      </c>
      <c r="G6" s="3" t="s">
        <v>13</v>
      </c>
      <c r="H6" s="3"/>
    </row>
    <row r="7" spans="1:8" ht="18.75" customHeight="1">
      <c r="A7" s="1" t="str">
        <f ca="1">IF(COUNTIFS(テーブル定義_一覧!$D:$D,$C7,テーブル定義_一覧!$A:$A,"")&gt;0,"","〇")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>_xlfn.XLOOKUP(C7,テーブル定義_一覧!D:D,テーブル定義_一覧!E:E,"error")</f>
        <v>SNSリンク</v>
      </c>
      <c r="E7" s="3">
        <f ca="1">SUMIF(テーブル定義_一覧!D:D,C7,テーブル定義_一覧!I:I)</f>
        <v>1000</v>
      </c>
      <c r="F7" s="3" t="s">
        <v>8</v>
      </c>
      <c r="G7" s="3" t="s">
        <v>14</v>
      </c>
      <c r="H7" s="3"/>
    </row>
    <row r="8" spans="1:8" ht="18.75" customHeight="1">
      <c r="A8" s="1" t="str">
        <f ca="1">IF(COUNTIFS(テーブル定義_一覧!$D:$D,$C8,テーブル定義_一覧!$A:$A,"")&gt;0,"","〇")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>_xlfn.XLOOKUP(C8,テーブル定義_一覧!D:D,テーブル定義_一覧!E:E,"error")</f>
        <v>BBS</v>
      </c>
      <c r="E8" s="3">
        <f ca="1">SUMIF(テーブル定義_一覧!D:D,C8,テーブル定義_一覧!I:I)</f>
        <v>808</v>
      </c>
      <c r="F8" s="3" t="s">
        <v>8</v>
      </c>
      <c r="G8" s="3" t="s">
        <v>15</v>
      </c>
      <c r="H8" s="3"/>
    </row>
    <row r="9" spans="1:8" ht="18.75" customHeight="1">
      <c r="A9" s="1" t="str">
        <f ca="1">IF(COUNTIFS(テーブル定義_一覧!$D:$D,$C9,テーブル定義_一覧!$A:$A,"")&gt;0,"","〇")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>_xlfn.XLOOKUP(C9,テーブル定義_一覧!D:D,テーブル定義_一覧!E:E,"error")</f>
        <v>ページ編集者</v>
      </c>
      <c r="E9" s="3">
        <f ca="1">SUMIF(テーブル定義_一覧!D:D,C9,テーブル定義_一覧!I:I)</f>
        <v>872</v>
      </c>
      <c r="F9" s="3" t="s">
        <v>8</v>
      </c>
      <c r="G9" s="3" t="s">
        <v>16</v>
      </c>
      <c r="H9" s="3"/>
    </row>
    <row r="10" spans="1:8" ht="18.75" customHeight="1">
      <c r="A10" s="1" t="str">
        <f ca="1">IF(COUNTIFS(テーブル定義_一覧!$D:$D,$C10,テーブル定義_一覧!$A:$A,"")&gt;0,"","〇")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>_xlfn.XLOOKUP(C10,テーブル定義_一覧!D:D,テーブル定義_一覧!E:E,"error")</f>
        <v>問い合わせ</v>
      </c>
      <c r="E10" s="3">
        <f ca="1">SUMIF(テーブル定義_一覧!D:D,C10,テーブル定義_一覧!I:I)</f>
        <v>4824</v>
      </c>
      <c r="F10" s="3" t="s">
        <v>8</v>
      </c>
      <c r="G10" s="3" t="s">
        <v>17</v>
      </c>
      <c r="H10" s="3"/>
    </row>
    <row r="11" spans="1:8" ht="18.75" customHeight="1">
      <c r="A11" s="1" t="str">
        <f ca="1">IF(COUNTIFS(テーブル定義_一覧!$D:$D,$C11,テーブル定義_一覧!$A:$A,"")&gt;0,"","〇")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>_xlfn.XLOOKUP(C11,テーブル定義_一覧!D:D,テーブル定義_一覧!E:E,"error")</f>
        <v>優先度</v>
      </c>
      <c r="E11" s="3">
        <f ca="1">SUMIF(テーブル定義_一覧!D:D,C11,テーブル定義_一覧!I:I)</f>
        <v>808</v>
      </c>
      <c r="F11" s="3" t="s">
        <v>11</v>
      </c>
      <c r="G11" s="3" t="s">
        <v>18</v>
      </c>
      <c r="H11" s="3"/>
    </row>
    <row r="12" spans="1:8" ht="18.75" customHeight="1">
      <c r="A12" s="1" t="str">
        <f ca="1">IF(COUNTIFS(テーブル定義_一覧!$D:$D,$C12,テーブル定義_一覧!$A:$A,"")&gt;0,"","〇")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>_xlfn.XLOOKUP(C12,テーブル定義_一覧!D:D,テーブル定義_一覧!E:E,"error")</f>
        <v>対応状況</v>
      </c>
      <c r="E12" s="3">
        <f ca="1">SUMIF(テーブル定義_一覧!D:D,C12,テーブル定義_一覧!I:I)</f>
        <v>808</v>
      </c>
      <c r="F12" s="3" t="s">
        <v>11</v>
      </c>
      <c r="G12" s="3" t="s">
        <v>19</v>
      </c>
      <c r="H12" s="3"/>
    </row>
    <row r="13" spans="1:8" ht="18.75" customHeight="1">
      <c r="A13" s="1" t="str">
        <f ca="1">IF(COUNTIFS(テーブル定義_一覧!$D:$D,$C13,テーブル定義_一覧!$A:$A,"")&gt;0,"","〇")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>_xlfn.XLOOKUP(C13,テーブル定義_一覧!D:D,テーブル定義_一覧!E:E,"error")</f>
        <v>表示言語</v>
      </c>
      <c r="E13" s="3">
        <f ca="1">SUMIF(テーブル定義_一覧!D:D,C13,テーブル定義_一覧!I:I)</f>
        <v>848</v>
      </c>
      <c r="F13" s="3" t="s">
        <v>11</v>
      </c>
      <c r="G13" s="3" t="s">
        <v>20</v>
      </c>
      <c r="H13" s="3"/>
    </row>
    <row r="14" spans="1:8" ht="18.75" customHeight="1">
      <c r="A14" s="1" t="str">
        <f ca="1">IF(COUNTIFS(テーブル定義_一覧!$D:$D,$C14,テーブル定義_一覧!$A:$A,"")&gt;0,"","〇")</f>
        <v>〇</v>
      </c>
      <c r="B14" s="2">
        <f t="shared" si="0"/>
        <v>13</v>
      </c>
      <c r="C14" s="3" t="str">
        <f ca="1"/>
        <v>screen_word</v>
      </c>
      <c r="D14" s="3" t="str">
        <f ca="1">_xlfn.XLOOKUP(C14,テーブル定義_一覧!D:D,テーブル定義_一覧!E:E,"error")</f>
        <v>画面文言</v>
      </c>
      <c r="E14" s="3">
        <f ca="1">SUMIF(テーブル定義_一覧!D:D,C14,テーブル定義_一覧!I:I)</f>
        <v>744</v>
      </c>
      <c r="F14" s="3" t="s">
        <v>11</v>
      </c>
      <c r="G14" s="3" t="s">
        <v>21</v>
      </c>
      <c r="H14" s="3"/>
    </row>
    <row r="15" spans="1:8" ht="18.75" customHeight="1">
      <c r="A15" s="1" t="str">
        <f ca="1">IF(COUNTIFS(テーブル定義_一覧!$D:$D,$C15,テーブル定義_一覧!$A:$A,"")&gt;0,"","〇")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>_xlfn.XLOOKUP(C15,テーブル定義_一覧!D:D,テーブル定義_一覧!E:E,"error")</f>
        <v>サポートするSNS</v>
      </c>
      <c r="E15" s="3">
        <f ca="1">SUMIF(テーブル定義_一覧!D:D,C15,テーブル定義_一覧!I:I)</f>
        <v>984</v>
      </c>
      <c r="F15" s="3" t="s">
        <v>11</v>
      </c>
      <c r="G15" s="3" t="s">
        <v>22</v>
      </c>
      <c r="H15" s="3"/>
    </row>
    <row r="16" spans="1:8" ht="18.75" customHeight="1">
      <c r="A16" s="1" t="str">
        <f ca="1">IF(COUNTIFS(テーブル定義_一覧!$D:$D,$C16,テーブル定義_一覧!$A:$A,"")&gt;0,"","〇")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>_xlfn.XLOOKUP(C16,テーブル定義_一覧!D:D,テーブル定義_一覧!E:E,"error")</f>
        <v>プロフィール通報</v>
      </c>
      <c r="E16" s="3">
        <f ca="1">SUMIF(テーブル定義_一覧!D:D,C16,テーブル定義_一覧!I:I)</f>
        <v>840</v>
      </c>
      <c r="F16" s="3" t="s">
        <v>8</v>
      </c>
      <c r="G16" s="3" t="s">
        <v>23</v>
      </c>
      <c r="H16" s="3"/>
    </row>
    <row r="17" spans="1:8" ht="18.75" customHeight="1">
      <c r="A17" s="1" t="str">
        <f ca="1">IF(COUNTIFS(テーブル定義_一覧!$D:$D,$C17,テーブル定義_一覧!$A:$A,"")&gt;0,"","〇")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>_xlfn.XLOOKUP(C17,テーブル定義_一覧!D:D,テーブル定義_一覧!E:E,"error")</f>
        <v>通報理由</v>
      </c>
      <c r="E17" s="3">
        <f ca="1">SUMIF(テーブル定義_一覧!D:D,C17,テーブル定義_一覧!I:I)</f>
        <v>808</v>
      </c>
      <c r="F17" s="3" t="s">
        <v>11</v>
      </c>
      <c r="G17" s="3" t="s">
        <v>24</v>
      </c>
      <c r="H17" s="3"/>
    </row>
    <row r="18" spans="1:8" ht="18.75" customHeight="1">
      <c r="A18" s="1" t="str">
        <f ca="1">IF(COUNTIFS(テーブル定義_一覧!$D:$D,$C18,テーブル定義_一覧!$A:$A,"")&gt;0,"","〇")</f>
        <v>〇</v>
      </c>
      <c r="B18" s="2">
        <f t="shared" si="0"/>
        <v>17</v>
      </c>
      <c r="C18" s="3" t="str">
        <f ca="1"/>
        <v>users</v>
      </c>
      <c r="D18" s="3" t="str">
        <f ca="1">_xlfn.XLOOKUP(C18,テーブル定義_一覧!D:D,テーブル定義_一覧!E:E,"error")</f>
        <v>ユーザー</v>
      </c>
      <c r="E18" s="3">
        <f ca="1">SUMIF(テーブル定義_一覧!D:D,C18,テーブル定義_一覧!I:I)</f>
        <v>1456</v>
      </c>
      <c r="F18" s="3" t="s">
        <v>8</v>
      </c>
      <c r="G18" s="3" t="s">
        <v>25</v>
      </c>
      <c r="H18" s="3"/>
    </row>
    <row r="19" spans="1:8" ht="18.75" customHeight="1">
      <c r="A19" s="1" t="str">
        <f ca="1">IF(COUNTIFS(テーブル定義_一覧!$D:$D,$C19,テーブル定義_一覧!$A:$A,"")&gt;0,"","〇")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>_xlfn.XLOOKUP(C19,テーブル定義_一覧!D:D,テーブル定義_一覧!E:E,"error")</f>
        <v>画面テーマ</v>
      </c>
      <c r="E19" s="3">
        <f ca="1">SUMIF(テーブル定義_一覧!D:D,C19,テーブル定義_一覧!I:I)</f>
        <v>808</v>
      </c>
      <c r="F19" s="3" t="s">
        <v>11</v>
      </c>
      <c r="G19" s="3" t="s">
        <v>26</v>
      </c>
      <c r="H19" s="3"/>
    </row>
    <row r="20" spans="1:8" ht="18.75" customHeight="1">
      <c r="A20" s="1" t="str">
        <f ca="1">IF(COUNTIFS(テーブル定義_一覧!$D:$D,$C20,テーブル定義_一覧!$A:$A,"")&gt;0,"","〇")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>_xlfn.XLOOKUP(C20,テーブル定義_一覧!D:D,テーブル定義_一覧!E:E,"error")</f>
        <v>ユーザー権限</v>
      </c>
      <c r="E20" s="3">
        <f ca="1">SUMIF(テーブル定義_一覧!D:D,C20,テーブル定義_一覧!I:I)</f>
        <v>744</v>
      </c>
      <c r="F20" s="3" t="s">
        <v>11</v>
      </c>
      <c r="G20" s="3" t="s">
        <v>27</v>
      </c>
      <c r="H20" s="3"/>
    </row>
    <row r="21" spans="1:8" ht="18.75" customHeight="1">
      <c r="A21" s="1" t="str">
        <f ca="1">IF(COUNTIFS(テーブル定義_一覧!$D:$D,$C21,テーブル定義_一覧!$A:$A,"")&gt;0,"","〇")</f>
        <v>〇</v>
      </c>
      <c r="B21" s="2">
        <f t="shared" si="0"/>
        <v>20</v>
      </c>
      <c r="C21" s="3" t="str">
        <f ca="1"/>
        <v>images_contents</v>
      </c>
      <c r="D21" s="3" t="str">
        <f ca="1">_xlfn.XLOOKUP(C21,テーブル定義_一覧!D:D,テーブル定義_一覧!E:E,"error")</f>
        <v>画像(ユーザー投稿)</v>
      </c>
      <c r="E21" s="3">
        <f ca="1">SUMIF(テーブル定義_一覧!D:D,C21,テーブル定義_一覧!I:I)</f>
        <v>12240</v>
      </c>
      <c r="F21" s="3" t="s">
        <v>8</v>
      </c>
      <c r="G21" s="3" t="s">
        <v>28</v>
      </c>
      <c r="H21" s="3"/>
    </row>
    <row r="22" spans="1:8" ht="18.75" customHeight="1">
      <c r="A22" s="1" t="str">
        <f ca="1">IF(COUNTIFS(テーブル定義_一覧!$D:$D,$C22,テーブル定義_一覧!$A:$A,"")&gt;0,"","〇")</f>
        <v>〇</v>
      </c>
      <c r="B22" s="2">
        <f t="shared" si="0"/>
        <v>21</v>
      </c>
      <c r="C22" s="3" t="str">
        <f ca="1"/>
        <v>images_system</v>
      </c>
      <c r="D22" s="3" t="str">
        <f ca="1">_xlfn.XLOOKUP(C22,テーブル定義_一覧!D:D,テーブル定義_一覧!E:E,"error")</f>
        <v>画像(システム管理)</v>
      </c>
      <c r="E22" s="3">
        <f ca="1">SUMIF(テーブル定義_一覧!D:D,C22,テーブル定義_一覧!I:I)</f>
        <v>12208</v>
      </c>
      <c r="F22" s="3" t="s">
        <v>11</v>
      </c>
      <c r="G22" s="3" t="s">
        <v>29</v>
      </c>
      <c r="H22" s="3"/>
    </row>
    <row r="23" spans="1:8" ht="18.75" customHeight="1">
      <c r="A23" s="1" t="str">
        <f ca="1">IF(COUNTIFS(テーブル定義_一覧!$D:$D,$C23,テーブル定義_一覧!$A:$A,"")&gt;0,"","〇")</f>
        <v>〇</v>
      </c>
      <c r="B23" s="2">
        <f t="shared" si="0"/>
        <v>22</v>
      </c>
      <c r="C23" s="5" t="str">
        <f ca="1"/>
        <v>screen_element</v>
      </c>
      <c r="D23" s="3" t="str">
        <f ca="1">_xlfn.XLOOKUP(C23,テーブル定義_一覧!D:D,テーブル定義_一覧!E:E,"error")</f>
        <v>画面要素</v>
      </c>
      <c r="E23" s="5">
        <f ca="1">SUMIF(テーブル定義_一覧!D:D,C23,テーブル定義_一覧!I:I)</f>
        <v>808</v>
      </c>
      <c r="F23" s="5" t="s">
        <v>11</v>
      </c>
      <c r="G23" s="5" t="s">
        <v>30</v>
      </c>
      <c r="H23" s="5"/>
    </row>
    <row r="24" spans="1:8" ht="18.75" customHeight="1">
      <c r="A24" s="1" t="str">
        <f ca="1">IF(COUNTIFS(テーブル定義_一覧!$D:$D,$C24,テーブル定義_一覧!$A:$A,"")&gt;0,"","〇")</f>
        <v>〇</v>
      </c>
      <c r="B24" s="4">
        <f t="shared" si="0"/>
        <v>23</v>
      </c>
      <c r="C24" s="6" t="str">
        <f ca="1"/>
        <v>likes</v>
      </c>
      <c r="D24" s="3" t="str">
        <f ca="1">_xlfn.XLOOKUP(C24,テーブル定義_一覧!D:D,テーブル定義_一覧!E:E,"error")</f>
        <v>いいね</v>
      </c>
      <c r="E24" s="6">
        <f ca="1">SUMIF(テーブル定義_一覧!D:D,C24,テーブル定義_一覧!I:I)</f>
        <v>808</v>
      </c>
      <c r="F24" s="3" t="s">
        <v>8</v>
      </c>
      <c r="G24" s="6" t="s">
        <v>446</v>
      </c>
      <c r="H24" s="6"/>
    </row>
    <row r="25" spans="1:8" ht="18.75" customHeight="1">
      <c r="A25" s="1" t="str">
        <f ca="1">IF(COUNTIFS(テーブル定義_一覧!$D:$D,$C25,テーブル定義_一覧!$A:$A,"")&gt;0,"","〇")</f>
        <v>〇</v>
      </c>
      <c r="B25" s="4">
        <f t="shared" si="0"/>
        <v>24</v>
      </c>
      <c r="C25" s="6" t="str">
        <f ca="1"/>
        <v>movie_link</v>
      </c>
      <c r="D25" s="3" t="str">
        <f ca="1">_xlfn.XLOOKUP(C25,テーブル定義_一覧!D:D,テーブル定義_一覧!E:E,"error")</f>
        <v>動画リンク</v>
      </c>
      <c r="E25" s="6">
        <f ca="1">SUMIF(テーブル定義_一覧!D:D,C25,テーブル定義_一覧!I:I)</f>
        <v>712</v>
      </c>
      <c r="F25" s="3" t="s">
        <v>8</v>
      </c>
      <c r="G25" s="6" t="s">
        <v>447</v>
      </c>
      <c r="H25" s="6"/>
    </row>
    <row r="26" spans="1:8" ht="18.75" customHeight="1">
      <c r="A26" s="1" t="str">
        <f ca="1">IF(COUNTIFS(テーブル定義_一覧!$D:$D,$C26,テーブル定義_一覧!$A:$A,"")&gt;0,"","〇")</f>
        <v>〇</v>
      </c>
      <c r="B26" s="4">
        <f t="shared" si="0"/>
        <v>25</v>
      </c>
      <c r="C26" s="6" t="str">
        <f ca="1"/>
        <v>relation</v>
      </c>
      <c r="D26" s="3" t="str">
        <f ca="1">_xlfn.XLOOKUP(C26,テーブル定義_一覧!D:D,テーブル定義_一覧!E:E,"error")</f>
        <v>関係値</v>
      </c>
      <c r="E26" s="6">
        <f ca="1">SUMIF(テーブル定義_一覧!D:D,C26,テーブル定義_一覧!I:I)</f>
        <v>1000</v>
      </c>
      <c r="F26" s="3" t="s">
        <v>8</v>
      </c>
      <c r="G26" s="6" t="s">
        <v>448</v>
      </c>
      <c r="H26" s="6"/>
    </row>
    <row r="27" spans="1:8" ht="18.75" customHeight="1">
      <c r="A27" s="1" t="str">
        <f ca="1">IF(COUNTIFS(テーブル定義_一覧!$D:$D,$C27,テーブル定義_一覧!$A:$A,"")&gt;0,"","〇")</f>
        <v>〇</v>
      </c>
      <c r="B27" s="4">
        <f t="shared" si="0"/>
        <v>26</v>
      </c>
      <c r="C27" s="8" t="str">
        <f ca="1"/>
        <v>vtuber_profiles_lang</v>
      </c>
      <c r="D27" s="5" t="str">
        <f ca="1">_xlfn.XLOOKUP(C27,テーブル定義_一覧!D:D,テーブル定義_一覧!E:E,"error")</f>
        <v>Vtuberプロフィール(各言語)</v>
      </c>
      <c r="E27" s="8">
        <f ca="1">SUMIF(テーブル定義_一覧!D:D,C27,テーブル定義_一覧!I:I)</f>
        <v>5864</v>
      </c>
      <c r="F27" s="5" t="s">
        <v>8</v>
      </c>
      <c r="G27" s="5" t="s">
        <v>455</v>
      </c>
      <c r="H27" s="5"/>
    </row>
    <row r="28" spans="1:8" ht="18">
      <c r="A28" s="1" t="str">
        <f ca="1">IF(COUNTIFS(テーブル定義_一覧!$D:$D,$C28,テーブル定義_一覧!$A:$A,"")&gt;0,"","〇")</f>
        <v>〇</v>
      </c>
      <c r="B28" s="4">
        <f t="shared" si="0"/>
        <v>27</v>
      </c>
      <c r="C28" s="6" t="str">
        <f ca="1"/>
        <v>profile_tag</v>
      </c>
      <c r="D28" s="6" t="str">
        <f ca="1">_xlfn.XLOOKUP(C28,テーブル定義_一覧!D:D,テーブル定義_一覧!E:E,"error")</f>
        <v>プロフィールのタグ</v>
      </c>
      <c r="E28" s="6">
        <f ca="1">SUMIF(テーブル定義_一覧!D:D,C28,テーブル定義_一覧!I:I)</f>
        <v>744</v>
      </c>
      <c r="F28" s="6" t="s">
        <v>8</v>
      </c>
      <c r="G28" s="6" t="s">
        <v>461</v>
      </c>
      <c r="H28" s="6"/>
    </row>
    <row r="29" spans="1:8" ht="18">
      <c r="A29" s="1" t="str">
        <f ca="1">IF(COUNTIFS(テーブル定義_一覧!$D:$D,$C29,テーブル定義_一覧!$A:$A,"")&gt;0,"","〇")</f>
        <v>〇</v>
      </c>
      <c r="B29" s="4">
        <f t="shared" si="0"/>
        <v>28</v>
      </c>
      <c r="C29" s="18" t="str">
        <f ca="1"/>
        <v>profile_activity</v>
      </c>
      <c r="D29" s="6" t="str">
        <f ca="1">_xlfn.XLOOKUP(C29,テーブル定義_一覧!D:D,テーブル定義_一覧!E:E,"error")</f>
        <v>プロフィールの活動ジャンル</v>
      </c>
      <c r="E29" s="6">
        <f ca="1">SUMIF(テーブル定義_一覧!D:D,C29,テーブル定義_一覧!I:I)</f>
        <v>840</v>
      </c>
      <c r="F29" s="6" t="s">
        <v>8</v>
      </c>
      <c r="G29" s="6" t="s">
        <v>486</v>
      </c>
      <c r="H29" s="6"/>
    </row>
  </sheetData>
  <autoFilter ref="A1:H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7"/>
  <sheetViews>
    <sheetView workbookViewId="0">
      <pane xSplit="3" ySplit="1" topLeftCell="D91" activePane="bottomRight" state="frozen"/>
      <selection pane="topRight" activeCell="D1" sqref="D1"/>
      <selection pane="bottomLeft" activeCell="A2" sqref="A2"/>
      <selection pane="bottomRight" activeCell="L105" sqref="L105"/>
    </sheetView>
  </sheetViews>
  <sheetFormatPr baseColWidth="10" defaultColWidth="14.5" defaultRowHeight="15" customHeight="1"/>
  <cols>
    <col min="1" max="1" width="9" style="7" customWidth="1"/>
    <col min="2" max="2" width="18.83203125" style="7" customWidth="1"/>
    <col min="3" max="3" width="4.5" style="7" customWidth="1"/>
    <col min="4" max="4" width="23.83203125" style="7" bestFit="1" customWidth="1"/>
    <col min="5" max="5" width="31.33203125" style="7" bestFit="1" customWidth="1"/>
    <col min="6" max="6" width="36.83203125" style="7" bestFit="1" customWidth="1"/>
    <col min="7" max="7" width="41.5" style="7" bestFit="1" customWidth="1"/>
    <col min="8" max="8" width="14.5" style="7" bestFit="1" customWidth="1"/>
    <col min="9" max="9" width="8.6640625" style="7" bestFit="1" customWidth="1"/>
    <col min="10" max="10" width="4" style="7" customWidth="1"/>
    <col min="11" max="11" width="3.83203125" style="7" customWidth="1"/>
    <col min="12" max="12" width="11.5" style="7" customWidth="1"/>
    <col min="13" max="13" width="14.1640625" style="7" customWidth="1"/>
    <col min="14" max="14" width="8.5" style="7" customWidth="1"/>
    <col min="15" max="15" width="7.6640625" style="7" customWidth="1"/>
    <col min="16" max="16" width="31.5" style="7" bestFit="1" customWidth="1"/>
    <col min="17" max="17" width="46.1640625" style="7" bestFit="1" customWidth="1"/>
    <col min="18" max="20" width="13" style="7" customWidth="1"/>
    <col min="21" max="21" width="84.5" style="7" customWidth="1"/>
    <col min="22" max="16384" width="14.5" style="7"/>
  </cols>
  <sheetData>
    <row r="1" spans="1:21" ht="18.75" customHeight="1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>
      <c r="A2" s="9" t="s">
        <v>46</v>
      </c>
      <c r="B2" s="9" t="str">
        <f>D2&amp;"."&amp;F2</f>
        <v>vtuber_profiles.vtuber_profiles_sequence_id</v>
      </c>
      <c r="C2" s="10">
        <f t="shared" ref="C2:C196" si="0">ROW()-1</f>
        <v>1</v>
      </c>
      <c r="D2" s="11" t="s">
        <v>550</v>
      </c>
      <c r="E2" s="11" t="s">
        <v>553</v>
      </c>
      <c r="F2" s="11" t="str">
        <f>D2&amp;"_sequence_id"</f>
        <v>vtuber_profiles_sequence_id</v>
      </c>
      <c r="G2" s="11" t="str">
        <f>E2&amp;"ID"</f>
        <v>VtuberプロフィールID</v>
      </c>
      <c r="H2" s="11" t="s">
        <v>549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11" t="s">
        <v>466</v>
      </c>
      <c r="K2" s="11"/>
      <c r="L2" s="9"/>
      <c r="M2" s="11" t="str">
        <f>IF(K2="","",IF(L2="","参照先未定義",_xlfn.XLOOKUP(L2,B:B,C:C,"エラー")))</f>
        <v/>
      </c>
      <c r="N2" s="11" t="s">
        <v>474</v>
      </c>
      <c r="O2" s="11" t="s">
        <v>474</v>
      </c>
      <c r="P2" s="11" t="s">
        <v>551</v>
      </c>
      <c r="Q2" s="11"/>
      <c r="R2" s="9"/>
      <c r="S2" s="9"/>
      <c r="T2" s="9"/>
      <c r="U2" s="11"/>
    </row>
    <row r="3" spans="1:21" ht="18.75" customHeight="1">
      <c r="A3" s="9" t="s">
        <v>46</v>
      </c>
      <c r="B3" s="9" t="str">
        <f t="shared" ref="B3:B62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469</v>
      </c>
      <c r="G3" s="11" t="s">
        <v>50</v>
      </c>
      <c r="H3" s="11" t="s">
        <v>51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>IF(K3="","",IF(L3="","参照先未定義",_xlfn.XLOOKUP(L3,B:B,C:C,"エラー")))</f>
        <v/>
      </c>
      <c r="N3" s="11" t="s">
        <v>466</v>
      </c>
      <c r="O3" s="11" t="s">
        <v>466</v>
      </c>
      <c r="P3" s="11"/>
      <c r="Q3" s="11"/>
      <c r="R3" s="9"/>
      <c r="S3" s="9"/>
      <c r="T3" s="9"/>
      <c r="U3" s="11" t="s">
        <v>554</v>
      </c>
    </row>
    <row r="4" spans="1:21" ht="18.75" customHeight="1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569</v>
      </c>
      <c r="G4" s="11" t="s">
        <v>54</v>
      </c>
      <c r="H4" s="11" t="s">
        <v>99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32</v>
      </c>
      <c r="J4" s="11"/>
      <c r="K4" s="11" t="s">
        <v>48</v>
      </c>
      <c r="L4" s="9" t="s">
        <v>555</v>
      </c>
      <c r="M4" s="11">
        <f ca="1">IF(K4="","",IF(L4="","参照先未定義",_xlfn.XLOOKUP(L4,B:B,C:C,"エラー")))</f>
        <v>149</v>
      </c>
      <c r="N4" s="11"/>
      <c r="O4" s="11"/>
      <c r="P4" s="11"/>
      <c r="Q4" s="11" t="s">
        <v>579</v>
      </c>
      <c r="R4" s="9"/>
      <c r="S4" s="9"/>
      <c r="T4" s="9"/>
      <c r="U4" s="11"/>
    </row>
    <row r="5" spans="1:21" ht="18.75" customHeight="1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459</v>
      </c>
      <c r="G5" s="11" t="s">
        <v>61</v>
      </c>
      <c r="H5" s="11" t="s">
        <v>99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32</v>
      </c>
      <c r="J5" s="11"/>
      <c r="K5" s="11" t="s">
        <v>48</v>
      </c>
      <c r="L5" s="9" t="s">
        <v>556</v>
      </c>
      <c r="M5" s="11">
        <f ca="1">IF(K5="","",IF(L5="","参照先未定義",_xlfn.XLOOKUP(L5,B:B,C:C,"エラー")))</f>
        <v>12</v>
      </c>
      <c r="N5" s="11"/>
      <c r="O5" s="11"/>
      <c r="P5" s="11"/>
      <c r="Q5" s="11" t="s">
        <v>580</v>
      </c>
      <c r="R5" s="9"/>
      <c r="S5" s="9"/>
      <c r="T5" s="9" t="s">
        <v>48</v>
      </c>
      <c r="U5" s="11"/>
    </row>
    <row r="6" spans="1:21" ht="18.75" customHeight="1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66</v>
      </c>
      <c r="G6" s="11" t="s">
        <v>67</v>
      </c>
      <c r="H6" s="11" t="s">
        <v>488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>IF(K6="","",IF(L6="","参照先未定義",_xlfn.XLOOKUP(L6,B:B,C:C,"エラー")))</f>
        <v/>
      </c>
      <c r="N6" s="11"/>
      <c r="O6" s="11"/>
      <c r="P6" s="11"/>
      <c r="Q6" s="11"/>
      <c r="R6" s="9"/>
      <c r="S6" s="9"/>
      <c r="T6" s="9" t="s">
        <v>48</v>
      </c>
      <c r="U6" s="11"/>
    </row>
    <row r="7" spans="1:21" ht="18.75" customHeight="1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100</v>
      </c>
      <c r="G7" s="11" t="s">
        <v>101</v>
      </c>
      <c r="H7" s="11" t="s">
        <v>99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32</v>
      </c>
      <c r="J7" s="11"/>
      <c r="K7" s="11" t="s">
        <v>48</v>
      </c>
      <c r="L7" s="9" t="s">
        <v>557</v>
      </c>
      <c r="M7" s="11">
        <f ca="1">IF(K7="","",IF(L7="","参照先未定義",_xlfn.XLOOKUP(L7,B:B,C:C,"エラー")))</f>
        <v>35</v>
      </c>
      <c r="N7" s="11" t="s">
        <v>48</v>
      </c>
      <c r="O7" s="11"/>
      <c r="P7" s="11"/>
      <c r="Q7" s="11" t="s">
        <v>580</v>
      </c>
      <c r="R7" s="9"/>
      <c r="S7" s="9"/>
      <c r="T7" s="9"/>
      <c r="U7" s="11"/>
    </row>
    <row r="8" spans="1:21" ht="18.75" customHeight="1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104</v>
      </c>
      <c r="G8" s="11" t="s">
        <v>105</v>
      </c>
      <c r="H8" s="11" t="s">
        <v>488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>IF(K8="","",IF(L8="","参照先未定義",_xlfn.XLOOKUP(L8,B:B,C:C,"エラー")))</f>
        <v/>
      </c>
      <c r="N8" s="11" t="s">
        <v>48</v>
      </c>
      <c r="O8" s="11"/>
      <c r="P8" s="11" t="s">
        <v>106</v>
      </c>
      <c r="Q8" s="11"/>
      <c r="R8" s="9"/>
      <c r="S8" s="9"/>
      <c r="T8" s="9"/>
      <c r="U8" s="11"/>
    </row>
    <row r="9" spans="1:21" ht="18.75" customHeight="1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107</v>
      </c>
      <c r="G9" s="11" t="s">
        <v>108</v>
      </c>
      <c r="H9" s="11" t="s">
        <v>65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>IF(K9="","",IF(L9="","参照先未定義",_xlfn.XLOOKUP(L9,B:B,C:C,"エラー")))</f>
        <v/>
      </c>
      <c r="N9" s="11" t="s">
        <v>48</v>
      </c>
      <c r="O9" s="11"/>
      <c r="P9" s="11" t="s">
        <v>109</v>
      </c>
      <c r="Q9" s="11"/>
      <c r="R9" s="9"/>
      <c r="S9" s="9"/>
      <c r="T9" s="9"/>
      <c r="U9" s="11" t="s">
        <v>110</v>
      </c>
    </row>
    <row r="10" spans="1:21" ht="18.75" customHeight="1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111</v>
      </c>
      <c r="G10" s="11" t="s">
        <v>112</v>
      </c>
      <c r="H10" s="11" t="s">
        <v>487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>IF(K10="","",IF(L10="","参照先未定義",_xlfn.XLOOKUP(L10,B:B,C:C,"エラー")))</f>
        <v/>
      </c>
      <c r="N10" s="11" t="s">
        <v>48</v>
      </c>
      <c r="O10" s="11"/>
      <c r="P10" s="11" t="s">
        <v>106</v>
      </c>
      <c r="Q10" s="11"/>
      <c r="R10" s="9"/>
      <c r="S10" s="9"/>
      <c r="T10" s="9"/>
      <c r="U10" s="11"/>
    </row>
    <row r="11" spans="1:21" ht="18.75" customHeight="1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113</v>
      </c>
      <c r="G11" s="11" t="s">
        <v>114</v>
      </c>
      <c r="H11" s="11" t="s">
        <v>65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>IF(K11="","",IF(L11="","参照先未定義",_xlfn.XLOOKUP(L11,B:B,C:C,"エラー")))</f>
        <v/>
      </c>
      <c r="N11" s="11" t="s">
        <v>48</v>
      </c>
      <c r="O11" s="11"/>
      <c r="P11" s="11" t="s">
        <v>109</v>
      </c>
      <c r="Q11" s="11"/>
      <c r="R11" s="9"/>
      <c r="S11" s="9"/>
      <c r="T11" s="9"/>
      <c r="U11" s="11" t="s">
        <v>110</v>
      </c>
    </row>
    <row r="12" spans="1:21" ht="18.75" customHeight="1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115</v>
      </c>
      <c r="G12" s="11" t="s">
        <v>116</v>
      </c>
      <c r="H12" s="11" t="s">
        <v>490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>IF(K12="","",IF(L12="","参照先未定義",_xlfn.XLOOKUP(L12,B:B,C:C,"エラー")))</f>
        <v/>
      </c>
      <c r="N12" s="11" t="s">
        <v>48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>
      <c r="A13" s="9" t="s">
        <v>46</v>
      </c>
      <c r="B13" s="9" t="str">
        <f t="shared" si="1"/>
        <v>join_group.join_group_sequence_id</v>
      </c>
      <c r="C13" s="10">
        <f t="shared" si="0"/>
        <v>12</v>
      </c>
      <c r="D13" s="11" t="s">
        <v>459</v>
      </c>
      <c r="E13" s="11" t="s">
        <v>61</v>
      </c>
      <c r="F13" s="11" t="str">
        <f>D13&amp;"_sequence_id"</f>
        <v>join_group_sequence_id</v>
      </c>
      <c r="G13" s="11" t="str">
        <f>E13&amp;"ID"</f>
        <v>所属ID</v>
      </c>
      <c r="H13" s="11" t="s">
        <v>552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32</v>
      </c>
      <c r="J13" s="11" t="s">
        <v>466</v>
      </c>
      <c r="K13" s="11"/>
      <c r="L13" s="9"/>
      <c r="M13" s="11" t="str">
        <f>IF(K13="","",IF(L13="","参照先未定義",_xlfn.XLOOKUP(L13,B:B,C:C,"エラー")))</f>
        <v/>
      </c>
      <c r="N13" s="11" t="s">
        <v>474</v>
      </c>
      <c r="O13" s="11" t="s">
        <v>474</v>
      </c>
      <c r="P13" s="11" t="s">
        <v>551</v>
      </c>
      <c r="Q13" s="11"/>
      <c r="R13" s="9"/>
      <c r="S13" s="9"/>
      <c r="T13" s="9"/>
      <c r="U13" s="11"/>
    </row>
    <row r="14" spans="1:21" ht="18.75" customHeight="1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117</v>
      </c>
      <c r="G14" s="11" t="s">
        <v>118</v>
      </c>
      <c r="H14" s="11" t="s">
        <v>62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>IF(K14="","",IF(L14="","参照先未定義",_xlfn.XLOOKUP(L14,B:B,C:C,"エラー")))</f>
        <v/>
      </c>
      <c r="N14" s="11" t="s">
        <v>466</v>
      </c>
      <c r="O14" s="11" t="s">
        <v>466</v>
      </c>
      <c r="P14" s="11"/>
      <c r="Q14" s="11"/>
      <c r="R14" s="9"/>
      <c r="S14" s="9"/>
      <c r="T14" s="9" t="s">
        <v>48</v>
      </c>
      <c r="U14" s="11"/>
    </row>
    <row r="15" spans="1:21" ht="18.75" customHeight="1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119</v>
      </c>
      <c r="G15" s="11" t="s">
        <v>120</v>
      </c>
      <c r="H15" s="11" t="s">
        <v>99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32</v>
      </c>
      <c r="J15" s="11"/>
      <c r="K15" s="11" t="s">
        <v>48</v>
      </c>
      <c r="L15" s="9" t="s">
        <v>557</v>
      </c>
      <c r="M15" s="11">
        <f ca="1">IF(K15="","",IF(L15="","参照先未定義",_xlfn.XLOOKUP(L15,B:B,C:C,"エラー")))</f>
        <v>35</v>
      </c>
      <c r="N15" s="11"/>
      <c r="O15" s="11"/>
      <c r="P15" s="11"/>
      <c r="Q15" s="11" t="s">
        <v>580</v>
      </c>
      <c r="R15" s="9"/>
      <c r="S15" s="9"/>
      <c r="T15" s="9"/>
      <c r="U15" s="11"/>
    </row>
    <row r="16" spans="1:21" ht="18.75" customHeight="1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121</v>
      </c>
      <c r="G16" s="11" t="s">
        <v>122</v>
      </c>
      <c r="H16" s="11" t="s">
        <v>81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>IF(K16="","",IF(L16="","参照先未定義",_xlfn.XLOOKUP(L16,B:B,C:C,"エラー")))</f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104</v>
      </c>
      <c r="G17" s="11" t="s">
        <v>105</v>
      </c>
      <c r="H17" s="11" t="s">
        <v>488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>IF(K17="","",IF(L17="","参照先未定義",_xlfn.XLOOKUP(L17,B:B,C:C,"エラー")))</f>
        <v/>
      </c>
      <c r="N17" s="11" t="s">
        <v>48</v>
      </c>
      <c r="O17" s="11"/>
      <c r="P17" s="11" t="s">
        <v>106</v>
      </c>
      <c r="Q17" s="11"/>
      <c r="R17" s="9"/>
      <c r="S17" s="9"/>
      <c r="T17" s="9"/>
      <c r="U17" s="11"/>
    </row>
    <row r="18" spans="1:21" ht="18.75" customHeight="1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107</v>
      </c>
      <c r="G18" s="11" t="s">
        <v>108</v>
      </c>
      <c r="H18" s="11" t="s">
        <v>65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>IF(K18="","",IF(L18="","参照先未定義",_xlfn.XLOOKUP(L18,B:B,C:C,"エラー")))</f>
        <v/>
      </c>
      <c r="N18" s="11" t="s">
        <v>48</v>
      </c>
      <c r="O18" s="11"/>
      <c r="P18" s="11" t="s">
        <v>109</v>
      </c>
      <c r="Q18" s="11"/>
      <c r="R18" s="9"/>
      <c r="S18" s="9"/>
      <c r="T18" s="9"/>
      <c r="U18" s="11" t="s">
        <v>110</v>
      </c>
    </row>
    <row r="19" spans="1:21" ht="18.75" customHeight="1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111</v>
      </c>
      <c r="G19" s="11" t="s">
        <v>112</v>
      </c>
      <c r="H19" s="11" t="s">
        <v>488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>IF(K19="","",IF(L19="","参照先未定義",_xlfn.XLOOKUP(L19,B:B,C:C,"エラー")))</f>
        <v/>
      </c>
      <c r="N19" s="11" t="s">
        <v>48</v>
      </c>
      <c r="O19" s="11"/>
      <c r="P19" s="11" t="s">
        <v>106</v>
      </c>
      <c r="Q19" s="11"/>
      <c r="R19" s="9"/>
      <c r="S19" s="9"/>
      <c r="T19" s="9"/>
      <c r="U19" s="11"/>
    </row>
    <row r="20" spans="1:21" ht="18.75" customHeight="1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113</v>
      </c>
      <c r="G20" s="11" t="s">
        <v>114</v>
      </c>
      <c r="H20" s="11" t="s">
        <v>65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>IF(K20="","",IF(L20="","参照先未定義",_xlfn.XLOOKUP(L20,B:B,C:C,"エラー")))</f>
        <v/>
      </c>
      <c r="N20" s="11" t="s">
        <v>48</v>
      </c>
      <c r="O20" s="11"/>
      <c r="P20" s="11" t="s">
        <v>109</v>
      </c>
      <c r="Q20" s="11"/>
      <c r="R20" s="9"/>
      <c r="S20" s="9"/>
      <c r="T20" s="9"/>
      <c r="U20" s="11" t="s">
        <v>110</v>
      </c>
    </row>
    <row r="21" spans="1:21" ht="18.75" customHeight="1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115</v>
      </c>
      <c r="G21" s="11" t="s">
        <v>116</v>
      </c>
      <c r="H21" s="11" t="s">
        <v>490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>IF(K21="","",IF(L21="","参照先未定義",_xlfn.XLOOKUP(L21,B:B,C:C,"エラー")))</f>
        <v/>
      </c>
      <c r="N21" s="11" t="s">
        <v>48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>
      <c r="A22" s="9" t="s">
        <v>46</v>
      </c>
      <c r="B22" s="9" t="str">
        <f t="shared" si="1"/>
        <v>tag.tag_sequence_id</v>
      </c>
      <c r="C22" s="10">
        <f t="shared" si="0"/>
        <v>21</v>
      </c>
      <c r="D22" s="11" t="s">
        <v>123</v>
      </c>
      <c r="E22" s="11" t="s">
        <v>74</v>
      </c>
      <c r="F22" s="11" t="str">
        <f>D22&amp;"_sequence_id"</f>
        <v>tag_sequence_id</v>
      </c>
      <c r="G22" s="11" t="str">
        <f>E22&amp;"ID"</f>
        <v>タグID</v>
      </c>
      <c r="H22" s="11" t="s">
        <v>552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32</v>
      </c>
      <c r="J22" s="11" t="s">
        <v>466</v>
      </c>
      <c r="K22" s="11"/>
      <c r="L22" s="9"/>
      <c r="M22" s="11" t="str">
        <f>IF(K22="","",IF(L22="","参照先未定義",_xlfn.XLOOKUP(L22,B:B,C:C,"エラー")))</f>
        <v/>
      </c>
      <c r="N22" s="11" t="s">
        <v>474</v>
      </c>
      <c r="O22" s="11" t="s">
        <v>474</v>
      </c>
      <c r="P22" s="11" t="s">
        <v>551</v>
      </c>
      <c r="Q22" s="11"/>
      <c r="R22" s="9"/>
      <c r="S22" s="9"/>
      <c r="T22" s="9"/>
      <c r="U22" s="11"/>
    </row>
    <row r="23" spans="1:21" ht="18.75" customHeight="1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123</v>
      </c>
      <c r="G23" s="11" t="s">
        <v>124</v>
      </c>
      <c r="H23" s="11" t="s">
        <v>81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>IF(K23="","",IF(L23="","参照先未定義",_xlfn.XLOOKUP(L23,B:B,C:C,"エラー")))</f>
        <v/>
      </c>
      <c r="N23" s="11" t="s">
        <v>466</v>
      </c>
      <c r="O23" s="11" t="s">
        <v>466</v>
      </c>
      <c r="P23" s="11"/>
      <c r="Q23" s="11"/>
      <c r="R23" s="9"/>
      <c r="S23" s="9"/>
      <c r="T23" s="9" t="s">
        <v>48</v>
      </c>
      <c r="U23" s="11"/>
    </row>
    <row r="24" spans="1:21" ht="18.75" customHeight="1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104</v>
      </c>
      <c r="G24" s="11" t="s">
        <v>105</v>
      </c>
      <c r="H24" s="11" t="s">
        <v>488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>IF(K24="","",IF(L24="","参照先未定義",_xlfn.XLOOKUP(L24,B:B,C:C,"エラー")))</f>
        <v/>
      </c>
      <c r="N24" s="11" t="s">
        <v>48</v>
      </c>
      <c r="O24" s="11"/>
      <c r="P24" s="11" t="s">
        <v>106</v>
      </c>
      <c r="Q24" s="11"/>
      <c r="R24" s="9"/>
      <c r="S24" s="9"/>
      <c r="T24" s="9"/>
      <c r="U24" s="11"/>
    </row>
    <row r="25" spans="1:21" ht="18.75" customHeight="1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107</v>
      </c>
      <c r="G25" s="11" t="s">
        <v>108</v>
      </c>
      <c r="H25" s="11" t="s">
        <v>65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>IF(K25="","",IF(L25="","参照先未定義",_xlfn.XLOOKUP(L25,B:B,C:C,"エラー")))</f>
        <v/>
      </c>
      <c r="N25" s="11" t="s">
        <v>48</v>
      </c>
      <c r="O25" s="11"/>
      <c r="P25" s="11" t="s">
        <v>109</v>
      </c>
      <c r="Q25" s="11"/>
      <c r="R25" s="9"/>
      <c r="S25" s="9"/>
      <c r="T25" s="9"/>
      <c r="U25" s="11" t="s">
        <v>110</v>
      </c>
    </row>
    <row r="26" spans="1:21" ht="18.75" customHeight="1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111</v>
      </c>
      <c r="G26" s="11" t="s">
        <v>112</v>
      </c>
      <c r="H26" s="11" t="s">
        <v>488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>IF(K26="","",IF(L26="","参照先未定義",_xlfn.XLOOKUP(L26,B:B,C:C,"エラー")))</f>
        <v/>
      </c>
      <c r="N26" s="11" t="s">
        <v>48</v>
      </c>
      <c r="O26" s="11"/>
      <c r="P26" s="11" t="s">
        <v>106</v>
      </c>
      <c r="Q26" s="11"/>
      <c r="R26" s="9"/>
      <c r="S26" s="9"/>
      <c r="T26" s="9"/>
      <c r="U26" s="11"/>
    </row>
    <row r="27" spans="1:21" ht="18.75" customHeight="1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113</v>
      </c>
      <c r="G27" s="11" t="s">
        <v>114</v>
      </c>
      <c r="H27" s="11" t="s">
        <v>65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>IF(K27="","",IF(L27="","参照先未定義",_xlfn.XLOOKUP(L27,B:B,C:C,"エラー")))</f>
        <v/>
      </c>
      <c r="N27" s="11" t="s">
        <v>48</v>
      </c>
      <c r="O27" s="11"/>
      <c r="P27" s="11" t="s">
        <v>109</v>
      </c>
      <c r="Q27" s="11"/>
      <c r="R27" s="9"/>
      <c r="S27" s="9"/>
      <c r="T27" s="9"/>
      <c r="U27" s="11" t="s">
        <v>110</v>
      </c>
    </row>
    <row r="28" spans="1:21" ht="18.75" customHeight="1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115</v>
      </c>
      <c r="G28" s="11" t="s">
        <v>116</v>
      </c>
      <c r="H28" s="11" t="s">
        <v>490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>IF(K28="","",IF(L28="","参照先未定義",_xlfn.XLOOKUP(L28,B:B,C:C,"エラー")))</f>
        <v/>
      </c>
      <c r="N28" s="11" t="s">
        <v>48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>
      <c r="A29" s="9" t="s">
        <v>46</v>
      </c>
      <c r="B29" s="9" t="str">
        <f t="shared" si="1"/>
        <v>badge.badge_sequence_id</v>
      </c>
      <c r="C29" s="10">
        <f t="shared" si="0"/>
        <v>28</v>
      </c>
      <c r="D29" s="11" t="s">
        <v>125</v>
      </c>
      <c r="E29" s="11" t="s">
        <v>126</v>
      </c>
      <c r="F29" s="11" t="str">
        <f>D29&amp;"_sequence_id"</f>
        <v>badge_sequence_id</v>
      </c>
      <c r="G29" s="11" t="str">
        <f>E29&amp;"ID"</f>
        <v>バッジID</v>
      </c>
      <c r="H29" s="11" t="s">
        <v>552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32</v>
      </c>
      <c r="J29" s="11" t="s">
        <v>466</v>
      </c>
      <c r="K29" s="11"/>
      <c r="L29" s="9"/>
      <c r="M29" s="11" t="str">
        <f>IF(K29="","",IF(L29="","参照先未定義",_xlfn.XLOOKUP(L29,B:B,C:C,"エラー")))</f>
        <v/>
      </c>
      <c r="N29" s="11" t="s">
        <v>474</v>
      </c>
      <c r="O29" s="11" t="s">
        <v>474</v>
      </c>
      <c r="P29" s="11" t="s">
        <v>551</v>
      </c>
      <c r="Q29" s="11"/>
      <c r="R29" s="9"/>
      <c r="S29" s="9"/>
      <c r="T29" s="9"/>
      <c r="U29" s="11"/>
    </row>
    <row r="30" spans="1:21" ht="18.75" customHeight="1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127</v>
      </c>
      <c r="G30" s="11" t="s">
        <v>128</v>
      </c>
      <c r="H30" s="11" t="s">
        <v>129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>IF(K30="","",IF(L30="","参照先未定義",_xlfn.XLOOKUP(L30,B:B,C:C,"エラー")))</f>
        <v/>
      </c>
      <c r="N30" s="11" t="s">
        <v>466</v>
      </c>
      <c r="O30" s="11" t="s">
        <v>466</v>
      </c>
      <c r="P30" s="11"/>
      <c r="Q30" s="11"/>
      <c r="R30" s="9"/>
      <c r="S30" s="9"/>
      <c r="T30" s="9" t="s">
        <v>48</v>
      </c>
      <c r="U30" s="11" t="s">
        <v>497</v>
      </c>
    </row>
    <row r="31" spans="1:21" ht="18.75" customHeight="1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104</v>
      </c>
      <c r="G31" s="11" t="s">
        <v>105</v>
      </c>
      <c r="H31" s="11" t="s">
        <v>488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64</v>
      </c>
      <c r="J31" s="11"/>
      <c r="K31" s="11"/>
      <c r="L31" s="9"/>
      <c r="M31" s="11" t="str">
        <f>IF(K31="","",IF(L31="","参照先未定義",_xlfn.XLOOKUP(L31,B:B,C:C,"エラー")))</f>
        <v/>
      </c>
      <c r="N31" s="11" t="s">
        <v>48</v>
      </c>
      <c r="O31" s="11"/>
      <c r="P31" s="11" t="s">
        <v>106</v>
      </c>
      <c r="Q31" s="11"/>
      <c r="R31" s="9"/>
      <c r="S31" s="9"/>
      <c r="T31" s="9"/>
      <c r="U31" s="11"/>
    </row>
    <row r="32" spans="1:21" ht="18.75" customHeight="1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107</v>
      </c>
      <c r="G32" s="11" t="s">
        <v>108</v>
      </c>
      <c r="H32" s="11" t="s">
        <v>65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256</v>
      </c>
      <c r="J32" s="11"/>
      <c r="K32" s="11"/>
      <c r="L32" s="9"/>
      <c r="M32" s="11" t="str">
        <f>IF(K32="","",IF(L32="","参照先未定義",_xlfn.XLOOKUP(L32,B:B,C:C,"エラー")))</f>
        <v/>
      </c>
      <c r="N32" s="11" t="s">
        <v>48</v>
      </c>
      <c r="O32" s="11"/>
      <c r="P32" s="11" t="s">
        <v>109</v>
      </c>
      <c r="Q32" s="11"/>
      <c r="R32" s="9"/>
      <c r="S32" s="9"/>
      <c r="T32" s="9"/>
      <c r="U32" s="11" t="s">
        <v>110</v>
      </c>
    </row>
    <row r="33" spans="1:21" ht="18.75" customHeight="1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111</v>
      </c>
      <c r="G33" s="11" t="s">
        <v>112</v>
      </c>
      <c r="H33" s="11" t="s">
        <v>488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64</v>
      </c>
      <c r="J33" s="11"/>
      <c r="K33" s="11"/>
      <c r="L33" s="9"/>
      <c r="M33" s="11" t="str">
        <f>IF(K33="","",IF(L33="","参照先未定義",_xlfn.XLOOKUP(L33,B:B,C:C,"エラー")))</f>
        <v/>
      </c>
      <c r="N33" s="11" t="s">
        <v>48</v>
      </c>
      <c r="O33" s="11"/>
      <c r="P33" s="11" t="s">
        <v>106</v>
      </c>
      <c r="Q33" s="11"/>
      <c r="R33" s="9"/>
      <c r="S33" s="9"/>
      <c r="T33" s="9"/>
      <c r="U33" s="11"/>
    </row>
    <row r="34" spans="1:21" ht="18.75" customHeight="1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113</v>
      </c>
      <c r="G34" s="11" t="s">
        <v>114</v>
      </c>
      <c r="H34" s="11" t="s">
        <v>65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256</v>
      </c>
      <c r="J34" s="11"/>
      <c r="K34" s="11"/>
      <c r="L34" s="9"/>
      <c r="M34" s="11" t="str">
        <f>IF(K34="","",IF(L34="","参照先未定義",_xlfn.XLOOKUP(L34,B:B,C:C,"エラー")))</f>
        <v/>
      </c>
      <c r="N34" s="11" t="s">
        <v>48</v>
      </c>
      <c r="O34" s="11"/>
      <c r="P34" s="11" t="s">
        <v>109</v>
      </c>
      <c r="Q34" s="11"/>
      <c r="R34" s="9"/>
      <c r="S34" s="9"/>
      <c r="T34" s="9"/>
      <c r="U34" s="11" t="s">
        <v>110</v>
      </c>
    </row>
    <row r="35" spans="1:21" ht="18.75" customHeight="1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115</v>
      </c>
      <c r="G35" s="11" t="s">
        <v>116</v>
      </c>
      <c r="H35" s="11" t="s">
        <v>490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8</v>
      </c>
      <c r="J35" s="11"/>
      <c r="K35" s="11"/>
      <c r="L35" s="9"/>
      <c r="M35" s="11" t="str">
        <f>IF(K35="","",IF(L35="","参照先未定義",_xlfn.XLOOKUP(L35,B:B,C:C,"エラー")))</f>
        <v/>
      </c>
      <c r="N35" s="11" t="s">
        <v>48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>
      <c r="A36" s="9" t="s">
        <v>46</v>
      </c>
      <c r="B36" s="9" t="str">
        <f t="shared" si="1"/>
        <v>activity_status.activity_status_sequence_id</v>
      </c>
      <c r="C36" s="10">
        <f t="shared" si="0"/>
        <v>35</v>
      </c>
      <c r="D36" s="11" t="s">
        <v>100</v>
      </c>
      <c r="E36" s="11" t="s">
        <v>101</v>
      </c>
      <c r="F36" s="11" t="str">
        <f>D36&amp;"_sequence_id"</f>
        <v>activity_status_sequence_id</v>
      </c>
      <c r="G36" s="11" t="str">
        <f>E36&amp;"ID"</f>
        <v>活動状態ID</v>
      </c>
      <c r="H36" s="11" t="s">
        <v>552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32</v>
      </c>
      <c r="J36" s="11" t="s">
        <v>466</v>
      </c>
      <c r="K36" s="11"/>
      <c r="L36" s="9"/>
      <c r="M36" s="11" t="str">
        <f>IF(K36="","",IF(L36="","参照先未定義",_xlfn.XLOOKUP(L36,B:B,C:C,"エラー")))</f>
        <v/>
      </c>
      <c r="N36" s="11" t="s">
        <v>474</v>
      </c>
      <c r="O36" s="11" t="s">
        <v>474</v>
      </c>
      <c r="P36" s="11" t="s">
        <v>551</v>
      </c>
      <c r="Q36" s="11"/>
      <c r="R36" s="9"/>
      <c r="S36" s="9"/>
      <c r="T36" s="9"/>
      <c r="U36" s="11"/>
    </row>
    <row r="37" spans="1:21" ht="18.75" customHeight="1">
      <c r="A37" s="9" t="s">
        <v>46</v>
      </c>
      <c r="B37" s="9" t="str">
        <f t="shared" ca="1" si="1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130</v>
      </c>
      <c r="G37" s="11" t="s">
        <v>131</v>
      </c>
      <c r="H37" s="11" t="s">
        <v>51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64</v>
      </c>
      <c r="J37" s="11"/>
      <c r="K37" s="11"/>
      <c r="L37" s="9"/>
      <c r="M37" s="11" t="str">
        <f>IF(K37="","",IF(L37="","参照先未定義",_xlfn.XLOOKUP(L37,B:B,C:C,"エラー")))</f>
        <v/>
      </c>
      <c r="N37" s="11" t="s">
        <v>466</v>
      </c>
      <c r="O37" s="11" t="s">
        <v>466</v>
      </c>
      <c r="P37" s="11"/>
      <c r="Q37" s="11"/>
      <c r="R37" s="9"/>
      <c r="S37" s="9"/>
      <c r="T37" s="9"/>
      <c r="U37" s="11" t="s">
        <v>498</v>
      </c>
    </row>
    <row r="38" spans="1:21" ht="18.75" customHeight="1">
      <c r="A38" s="9" t="s">
        <v>46</v>
      </c>
      <c r="B38" s="9" t="str">
        <f t="shared" ca="1" si="1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104</v>
      </c>
      <c r="G38" s="11" t="s">
        <v>105</v>
      </c>
      <c r="H38" s="11" t="s">
        <v>488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>IF(K38="","",IF(L38="","参照先未定義",_xlfn.XLOOKUP(L38,B:B,C:C,"エラー")))</f>
        <v/>
      </c>
      <c r="N38" s="11" t="s">
        <v>48</v>
      </c>
      <c r="O38" s="11"/>
      <c r="P38" s="11" t="s">
        <v>106</v>
      </c>
      <c r="Q38" s="11"/>
      <c r="R38" s="9"/>
      <c r="S38" s="9"/>
      <c r="T38" s="9"/>
      <c r="U38" s="11"/>
    </row>
    <row r="39" spans="1:21" ht="18.75" customHeight="1">
      <c r="A39" s="9" t="s">
        <v>46</v>
      </c>
      <c r="B39" s="9" t="str">
        <f t="shared" ca="1" si="1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107</v>
      </c>
      <c r="G39" s="11" t="s">
        <v>108</v>
      </c>
      <c r="H39" s="11" t="s">
        <v>65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256</v>
      </c>
      <c r="J39" s="11"/>
      <c r="K39" s="11"/>
      <c r="L39" s="9"/>
      <c r="M39" s="11" t="str">
        <f>IF(K39="","",IF(L39="","参照先未定義",_xlfn.XLOOKUP(L39,B:B,C:C,"エラー")))</f>
        <v/>
      </c>
      <c r="N39" s="11" t="s">
        <v>48</v>
      </c>
      <c r="O39" s="11"/>
      <c r="P39" s="11" t="s">
        <v>109</v>
      </c>
      <c r="Q39" s="11"/>
      <c r="R39" s="9"/>
      <c r="S39" s="9"/>
      <c r="T39" s="9"/>
      <c r="U39" s="11" t="s">
        <v>110</v>
      </c>
    </row>
    <row r="40" spans="1:21" ht="18.75" customHeight="1">
      <c r="A40" s="9" t="s">
        <v>46</v>
      </c>
      <c r="B40" s="9" t="str">
        <f t="shared" ca="1" si="1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111</v>
      </c>
      <c r="G40" s="11" t="s">
        <v>112</v>
      </c>
      <c r="H40" s="11" t="s">
        <v>488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>IF(K40="","",IF(L40="","参照先未定義",_xlfn.XLOOKUP(L40,B:B,C:C,"エラー")))</f>
        <v/>
      </c>
      <c r="N40" s="11" t="s">
        <v>48</v>
      </c>
      <c r="O40" s="11"/>
      <c r="P40" s="11" t="s">
        <v>106</v>
      </c>
      <c r="Q40" s="11"/>
      <c r="R40" s="9"/>
      <c r="S40" s="9"/>
      <c r="T40" s="9"/>
      <c r="U40" s="11"/>
    </row>
    <row r="41" spans="1:21" ht="18.75" customHeight="1">
      <c r="A41" s="9" t="s">
        <v>46</v>
      </c>
      <c r="B41" s="9" t="str">
        <f t="shared" ca="1" si="1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113</v>
      </c>
      <c r="G41" s="11" t="s">
        <v>114</v>
      </c>
      <c r="H41" s="11" t="s">
        <v>65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>IF(K41="","",IF(L41="","参照先未定義",_xlfn.XLOOKUP(L41,B:B,C:C,"エラー")))</f>
        <v/>
      </c>
      <c r="N41" s="11" t="s">
        <v>48</v>
      </c>
      <c r="O41" s="11"/>
      <c r="P41" s="11" t="s">
        <v>109</v>
      </c>
      <c r="Q41" s="11"/>
      <c r="R41" s="9"/>
      <c r="S41" s="9"/>
      <c r="T41" s="9"/>
      <c r="U41" s="11" t="s">
        <v>110</v>
      </c>
    </row>
    <row r="42" spans="1:21" ht="18.75" customHeight="1">
      <c r="A42" s="9" t="s">
        <v>46</v>
      </c>
      <c r="B42" s="9" t="str">
        <f t="shared" ca="1" si="1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115</v>
      </c>
      <c r="G42" s="11" t="s">
        <v>116</v>
      </c>
      <c r="H42" s="11" t="s">
        <v>490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8</v>
      </c>
      <c r="J42" s="11"/>
      <c r="K42" s="11"/>
      <c r="L42" s="9"/>
      <c r="M42" s="11" t="str">
        <f>IF(K42="","",IF(L42="","参照先未定義",_xlfn.XLOOKUP(L42,B:B,C:C,"エラー")))</f>
        <v/>
      </c>
      <c r="N42" s="11" t="s">
        <v>48</v>
      </c>
      <c r="O42" s="11"/>
      <c r="P42" s="11" t="b">
        <v>0</v>
      </c>
      <c r="Q42" s="11"/>
      <c r="R42" s="9"/>
      <c r="S42" s="9"/>
      <c r="T42" s="9"/>
      <c r="U42" s="11"/>
    </row>
    <row r="43" spans="1:21" ht="18.75" customHeight="1">
      <c r="A43" s="9" t="s">
        <v>46</v>
      </c>
      <c r="B43" s="9" t="str">
        <f t="shared" si="1"/>
        <v>sns_link.sns_link_sequence_id</v>
      </c>
      <c r="C43" s="10">
        <f t="shared" si="0"/>
        <v>42</v>
      </c>
      <c r="D43" s="11" t="s">
        <v>132</v>
      </c>
      <c r="E43" s="11" t="s">
        <v>75</v>
      </c>
      <c r="F43" s="11" t="str">
        <f>D43&amp;"_sequence_id"</f>
        <v>sns_link_sequence_id</v>
      </c>
      <c r="G43" s="11" t="str">
        <f>E43&amp;"ID"</f>
        <v>SNSリンクID</v>
      </c>
      <c r="H43" s="11" t="s">
        <v>552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32</v>
      </c>
      <c r="J43" s="11" t="s">
        <v>466</v>
      </c>
      <c r="K43" s="11"/>
      <c r="L43" s="9"/>
      <c r="M43" s="11" t="str">
        <f>IF(K43="","",IF(L43="","参照先未定義",_xlfn.XLOOKUP(L43,B:B,C:C,"エラー")))</f>
        <v/>
      </c>
      <c r="N43" s="11" t="s">
        <v>474</v>
      </c>
      <c r="O43" s="11" t="s">
        <v>474</v>
      </c>
      <c r="P43" s="11" t="s">
        <v>551</v>
      </c>
      <c r="Q43" s="11"/>
      <c r="R43" s="9"/>
      <c r="S43" s="9"/>
      <c r="T43" s="9"/>
      <c r="U43" s="11"/>
    </row>
    <row r="44" spans="1:21" ht="18.75" customHeight="1">
      <c r="A44" s="9" t="s">
        <v>46</v>
      </c>
      <c r="B44" s="9" t="str">
        <f t="shared" ca="1" si="1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49</v>
      </c>
      <c r="G44" s="11" t="s">
        <v>50</v>
      </c>
      <c r="H44" s="11" t="s">
        <v>99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32</v>
      </c>
      <c r="J44" s="11"/>
      <c r="K44" s="11" t="s">
        <v>48</v>
      </c>
      <c r="L44" s="9" t="s">
        <v>558</v>
      </c>
      <c r="M44" s="11">
        <f>IF(K44="","",IF(L44="","参照先未定義",_xlfn.XLOOKUP(L44,B:B,C:C,"エラー")))</f>
        <v>1</v>
      </c>
      <c r="N44" s="11" t="s">
        <v>48</v>
      </c>
      <c r="O44" s="11"/>
      <c r="P44" s="11"/>
      <c r="Q44" s="11" t="s">
        <v>580</v>
      </c>
      <c r="R44" s="9"/>
      <c r="S44" s="9"/>
      <c r="T44" s="9"/>
      <c r="U44" s="11"/>
    </row>
    <row r="45" spans="1:21" ht="18.75" customHeight="1">
      <c r="A45" s="9" t="s">
        <v>46</v>
      </c>
      <c r="B45" s="9" t="str">
        <f t="shared" ca="1" si="1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133</v>
      </c>
      <c r="G45" s="11" t="s">
        <v>134</v>
      </c>
      <c r="H45" s="11" t="s">
        <v>99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32</v>
      </c>
      <c r="J45" s="11"/>
      <c r="K45" s="11" t="s">
        <v>48</v>
      </c>
      <c r="L45" s="9" t="s">
        <v>559</v>
      </c>
      <c r="M45" s="11">
        <f ca="1">IF(K45="","",IF(L45="","参照先未定義",_xlfn.XLOOKUP(L45,B:B,C:C,"エラー")))</f>
        <v>121</v>
      </c>
      <c r="N45" s="11"/>
      <c r="O45" s="11"/>
      <c r="P45" s="11"/>
      <c r="Q45" s="11" t="s">
        <v>580</v>
      </c>
      <c r="R45" s="9"/>
      <c r="S45" s="9"/>
      <c r="T45" s="9"/>
      <c r="U45" s="11" t="s">
        <v>135</v>
      </c>
    </row>
    <row r="46" spans="1:21" ht="18.75" customHeight="1">
      <c r="A46" s="9" t="s">
        <v>46</v>
      </c>
      <c r="B46" s="9" t="str">
        <f t="shared" ca="1" si="1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136</v>
      </c>
      <c r="G46" s="11" t="s">
        <v>137</v>
      </c>
      <c r="H46" s="11" t="s">
        <v>65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256</v>
      </c>
      <c r="J46" s="11"/>
      <c r="K46" s="11"/>
      <c r="L46" s="9"/>
      <c r="M46" s="11" t="str">
        <f>IF(K46="","",IF(L46="","参照先未定義",_xlfn.XLOOKUP(L46,B:B,C:C,"エラー")))</f>
        <v/>
      </c>
      <c r="N46" s="11"/>
      <c r="O46" s="11"/>
      <c r="P46" s="11"/>
      <c r="Q46" s="11"/>
      <c r="R46" s="9"/>
      <c r="S46" s="9"/>
      <c r="T46" s="9"/>
      <c r="U46" s="11" t="s">
        <v>138</v>
      </c>
    </row>
    <row r="47" spans="1:21" ht="18.75" customHeight="1">
      <c r="A47" s="9" t="s">
        <v>46</v>
      </c>
      <c r="B47" s="9" t="str">
        <f t="shared" ca="1" si="1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139</v>
      </c>
      <c r="G47" s="11" t="s">
        <v>78</v>
      </c>
      <c r="H47" s="11" t="s">
        <v>81</v>
      </c>
      <c r="I47" s="11" t="str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-</v>
      </c>
      <c r="J47" s="11"/>
      <c r="K47" s="11"/>
      <c r="L47" s="9"/>
      <c r="M47" s="11" t="str">
        <f>IF(K47="","",IF(L47="","参照先未定義",_xlfn.XLOOKUP(L47,B:B,C:C,"エラー")))</f>
        <v/>
      </c>
      <c r="N47" s="11" t="s">
        <v>48</v>
      </c>
      <c r="O47" s="11"/>
      <c r="P47" s="11"/>
      <c r="Q47" s="11"/>
      <c r="R47" s="9"/>
      <c r="S47" s="9"/>
      <c r="T47" s="9"/>
      <c r="U47" s="11"/>
    </row>
    <row r="48" spans="1:21" ht="18.75" customHeight="1">
      <c r="A48" s="9" t="s">
        <v>46</v>
      </c>
      <c r="B48" s="9" t="str">
        <f t="shared" ca="1" si="1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104</v>
      </c>
      <c r="G48" s="11" t="s">
        <v>105</v>
      </c>
      <c r="H48" s="11" t="s">
        <v>488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64</v>
      </c>
      <c r="J48" s="11"/>
      <c r="K48" s="11"/>
      <c r="L48" s="9"/>
      <c r="M48" s="11" t="str">
        <f>IF(K48="","",IF(L48="","参照先未定義",_xlfn.XLOOKUP(L48,B:B,C:C,"エラー")))</f>
        <v/>
      </c>
      <c r="N48" s="11" t="s">
        <v>48</v>
      </c>
      <c r="O48" s="11"/>
      <c r="P48" s="11" t="s">
        <v>106</v>
      </c>
      <c r="Q48" s="11"/>
      <c r="R48" s="9"/>
      <c r="S48" s="9"/>
      <c r="T48" s="9"/>
      <c r="U48" s="11"/>
    </row>
    <row r="49" spans="1:21" ht="18.75" customHeight="1">
      <c r="A49" s="9" t="s">
        <v>46</v>
      </c>
      <c r="B49" s="9" t="str">
        <f t="shared" ca="1" si="1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107</v>
      </c>
      <c r="G49" s="11" t="s">
        <v>108</v>
      </c>
      <c r="H49" s="11" t="s">
        <v>65</v>
      </c>
      <c r="I49" s="11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256</v>
      </c>
      <c r="J49" s="11"/>
      <c r="K49" s="11"/>
      <c r="L49" s="9"/>
      <c r="M49" s="11" t="str">
        <f>IF(K49="","",IF(L49="","参照先未定義",_xlfn.XLOOKUP(L49,B:B,C:C,"エラー")))</f>
        <v/>
      </c>
      <c r="N49" s="11" t="s">
        <v>48</v>
      </c>
      <c r="O49" s="11"/>
      <c r="P49" s="11" t="s">
        <v>109</v>
      </c>
      <c r="Q49" s="11"/>
      <c r="R49" s="9"/>
      <c r="S49" s="9"/>
      <c r="T49" s="9"/>
      <c r="U49" s="11" t="s">
        <v>110</v>
      </c>
    </row>
    <row r="50" spans="1:21" ht="18.75" customHeight="1">
      <c r="A50" s="9" t="s">
        <v>46</v>
      </c>
      <c r="B50" s="9" t="str">
        <f t="shared" ca="1" si="1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111</v>
      </c>
      <c r="G50" s="11" t="s">
        <v>112</v>
      </c>
      <c r="H50" s="11" t="s">
        <v>488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>IF(K50="","",IF(L50="","参照先未定義",_xlfn.XLOOKUP(L50,B:B,C:C,"エラー")))</f>
        <v/>
      </c>
      <c r="N50" s="11" t="s">
        <v>48</v>
      </c>
      <c r="O50" s="11"/>
      <c r="P50" s="11" t="s">
        <v>106</v>
      </c>
      <c r="Q50" s="11"/>
      <c r="R50" s="9"/>
      <c r="S50" s="9"/>
      <c r="T50" s="9"/>
      <c r="U50" s="11"/>
    </row>
    <row r="51" spans="1:21" ht="18.75" customHeight="1">
      <c r="A51" s="9" t="s">
        <v>46</v>
      </c>
      <c r="B51" s="9" t="str">
        <f t="shared" ca="1" si="1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113</v>
      </c>
      <c r="G51" s="11" t="s">
        <v>114</v>
      </c>
      <c r="H51" s="11" t="s">
        <v>65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>IF(K51="","",IF(L51="","参照先未定義",_xlfn.XLOOKUP(L51,B:B,C:C,"エラー")))</f>
        <v/>
      </c>
      <c r="N51" s="11" t="s">
        <v>48</v>
      </c>
      <c r="O51" s="11"/>
      <c r="P51" s="11" t="s">
        <v>109</v>
      </c>
      <c r="Q51" s="11"/>
      <c r="R51" s="9"/>
      <c r="S51" s="9"/>
      <c r="T51" s="9"/>
      <c r="U51" s="11" t="s">
        <v>110</v>
      </c>
    </row>
    <row r="52" spans="1:21" ht="18.75" customHeight="1">
      <c r="A52" s="9" t="s">
        <v>46</v>
      </c>
      <c r="B52" s="9" t="str">
        <f t="shared" ca="1" si="1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115</v>
      </c>
      <c r="G52" s="11" t="s">
        <v>116</v>
      </c>
      <c r="H52" s="11" t="s">
        <v>490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8</v>
      </c>
      <c r="J52" s="11"/>
      <c r="K52" s="11"/>
      <c r="L52" s="9"/>
      <c r="M52" s="11" t="str">
        <f>IF(K52="","",IF(L52="","参照先未定義",_xlfn.XLOOKUP(L52,B:B,C:C,"エラー")))</f>
        <v/>
      </c>
      <c r="N52" s="11" t="s">
        <v>48</v>
      </c>
      <c r="O52" s="11"/>
      <c r="P52" s="11" t="b">
        <v>0</v>
      </c>
      <c r="Q52" s="11"/>
      <c r="R52" s="9"/>
      <c r="S52" s="9"/>
      <c r="T52" s="9"/>
      <c r="U52" s="11"/>
    </row>
    <row r="53" spans="1:21" ht="18.75" customHeight="1">
      <c r="A53" s="9" t="s">
        <v>46</v>
      </c>
      <c r="B53" s="9" t="str">
        <f t="shared" si="1"/>
        <v>bbs_res.bbs_res_sequence_id</v>
      </c>
      <c r="C53" s="10">
        <f t="shared" si="0"/>
        <v>52</v>
      </c>
      <c r="D53" s="11" t="s">
        <v>140</v>
      </c>
      <c r="E53" s="11" t="s">
        <v>102</v>
      </c>
      <c r="F53" s="11" t="str">
        <f>D53&amp;"_sequence_id"</f>
        <v>bbs_res_sequence_id</v>
      </c>
      <c r="G53" s="11" t="str">
        <f>E53&amp;"ID"</f>
        <v>BBSID</v>
      </c>
      <c r="H53" s="11" t="s">
        <v>552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32</v>
      </c>
      <c r="J53" s="11" t="s">
        <v>466</v>
      </c>
      <c r="K53" s="11"/>
      <c r="L53" s="9"/>
      <c r="M53" s="11" t="str">
        <f>IF(K53="","",IF(L53="","参照先未定義",_xlfn.XLOOKUP(L53,B:B,C:C,"エラー")))</f>
        <v/>
      </c>
      <c r="N53" s="11" t="s">
        <v>474</v>
      </c>
      <c r="O53" s="11" t="s">
        <v>474</v>
      </c>
      <c r="P53" s="11" t="s">
        <v>551</v>
      </c>
      <c r="Q53" s="11"/>
      <c r="R53" s="9"/>
      <c r="S53" s="9"/>
      <c r="T53" s="9"/>
      <c r="U53" s="11"/>
    </row>
    <row r="54" spans="1:21" ht="18.75" customHeight="1">
      <c r="A54" s="9" t="s">
        <v>46</v>
      </c>
      <c r="B54" s="9" t="str">
        <f t="shared" ca="1" si="1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49</v>
      </c>
      <c r="G54" s="11" t="s">
        <v>50</v>
      </c>
      <c r="H54" s="11" t="s">
        <v>99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32</v>
      </c>
      <c r="J54" s="11"/>
      <c r="K54" s="11" t="s">
        <v>48</v>
      </c>
      <c r="L54" s="9" t="s">
        <v>558</v>
      </c>
      <c r="M54" s="11">
        <f>IF(K54="","",IF(L54="","参照先未定義",_xlfn.XLOOKUP(L54,B:B,C:C,"エラー")))</f>
        <v>1</v>
      </c>
      <c r="N54" s="11" t="s">
        <v>48</v>
      </c>
      <c r="O54" s="11"/>
      <c r="P54" s="11"/>
      <c r="Q54" s="11" t="s">
        <v>580</v>
      </c>
      <c r="R54" s="9"/>
      <c r="S54" s="9"/>
      <c r="T54" s="9"/>
      <c r="U54" s="11"/>
    </row>
    <row r="55" spans="1:21" ht="18.75" customHeight="1">
      <c r="A55" s="9" t="s">
        <v>46</v>
      </c>
      <c r="B55" s="9" t="str">
        <f t="shared" ca="1" si="1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53</v>
      </c>
      <c r="G55" s="11" t="s">
        <v>54</v>
      </c>
      <c r="H55" s="11" t="s">
        <v>99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32</v>
      </c>
      <c r="J55" s="11"/>
      <c r="K55" s="11" t="s">
        <v>48</v>
      </c>
      <c r="L55" s="9" t="s">
        <v>555</v>
      </c>
      <c r="M55" s="11">
        <f ca="1">IF(K55="","",IF(L55="","参照先未定義",_xlfn.XLOOKUP(L55,B:B,C:C,"エラー")))</f>
        <v>149</v>
      </c>
      <c r="N55" s="11" t="s">
        <v>48</v>
      </c>
      <c r="O55" s="11"/>
      <c r="P55" s="11"/>
      <c r="Q55" s="11" t="s">
        <v>580</v>
      </c>
      <c r="R55" s="9"/>
      <c r="S55" s="9"/>
      <c r="T55" s="9"/>
      <c r="U55" s="11"/>
    </row>
    <row r="56" spans="1:21" ht="18.75" customHeight="1">
      <c r="A56" s="9" t="s">
        <v>46</v>
      </c>
      <c r="B56" s="9" t="str">
        <f t="shared" ca="1" si="1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143</v>
      </c>
      <c r="G56" s="11" t="s">
        <v>144</v>
      </c>
      <c r="H56" s="11" t="s">
        <v>81</v>
      </c>
      <c r="I56" s="11" t="str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-</v>
      </c>
      <c r="J56" s="11"/>
      <c r="K56" s="11"/>
      <c r="L56" s="9"/>
      <c r="M56" s="11" t="str">
        <f>IF(K56="","",IF(L56="","参照先未定義",_xlfn.XLOOKUP(L56,B:B,C:C,"エラー")))</f>
        <v/>
      </c>
      <c r="N56" s="11" t="s">
        <v>48</v>
      </c>
      <c r="O56" s="11"/>
      <c r="P56" s="11"/>
      <c r="Q56" s="11"/>
      <c r="R56" s="9"/>
      <c r="S56" s="9"/>
      <c r="T56" s="9"/>
      <c r="U56" s="11"/>
    </row>
    <row r="57" spans="1:21" ht="18.75" customHeight="1">
      <c r="A57" s="9" t="s">
        <v>46</v>
      </c>
      <c r="B57" s="9" t="str">
        <f t="shared" ca="1" si="1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145</v>
      </c>
      <c r="G57" s="11" t="s">
        <v>146</v>
      </c>
      <c r="H57" s="11" t="s">
        <v>488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64</v>
      </c>
      <c r="J57" s="11"/>
      <c r="K57" s="11"/>
      <c r="L57" s="9"/>
      <c r="M57" s="11" t="str">
        <f>IF(K57="","",IF(L57="","参照先未定義",_xlfn.XLOOKUP(L57,B:B,C:C,"エラー")))</f>
        <v/>
      </c>
      <c r="N57" s="11" t="s">
        <v>48</v>
      </c>
      <c r="O57" s="11"/>
      <c r="P57" s="11"/>
      <c r="Q57" s="11"/>
      <c r="R57" s="9"/>
      <c r="S57" s="9"/>
      <c r="T57" s="9"/>
      <c r="U57" s="11"/>
    </row>
    <row r="58" spans="1:21" ht="18.75" customHeight="1">
      <c r="A58" s="9" t="s">
        <v>46</v>
      </c>
      <c r="B58" s="9" t="str">
        <f t="shared" ca="1" si="1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104</v>
      </c>
      <c r="G58" s="11" t="s">
        <v>105</v>
      </c>
      <c r="H58" s="11" t="s">
        <v>488</v>
      </c>
      <c r="I58" s="11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64</v>
      </c>
      <c r="J58" s="11"/>
      <c r="K58" s="11"/>
      <c r="L58" s="9"/>
      <c r="M58" s="11" t="str">
        <f>IF(K58="","",IF(L58="","参照先未定義",_xlfn.XLOOKUP(L58,B:B,C:C,"エラー")))</f>
        <v/>
      </c>
      <c r="N58" s="11" t="s">
        <v>48</v>
      </c>
      <c r="O58" s="11"/>
      <c r="P58" s="11" t="s">
        <v>106</v>
      </c>
      <c r="Q58" s="11"/>
      <c r="R58" s="9"/>
      <c r="S58" s="9"/>
      <c r="T58" s="9"/>
      <c r="U58" s="11"/>
    </row>
    <row r="59" spans="1:21" ht="18.75" customHeight="1">
      <c r="A59" s="9" t="s">
        <v>46</v>
      </c>
      <c r="B59" s="9" t="str">
        <f t="shared" ca="1" si="1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107</v>
      </c>
      <c r="G59" s="11" t="s">
        <v>108</v>
      </c>
      <c r="H59" s="11" t="s">
        <v>65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256</v>
      </c>
      <c r="J59" s="11"/>
      <c r="K59" s="11"/>
      <c r="L59" s="9"/>
      <c r="M59" s="11" t="str">
        <f>IF(K59="","",IF(L59="","参照先未定義",_xlfn.XLOOKUP(L59,B:B,C:C,"エラー")))</f>
        <v/>
      </c>
      <c r="N59" s="11" t="s">
        <v>48</v>
      </c>
      <c r="O59" s="11"/>
      <c r="P59" s="11" t="s">
        <v>109</v>
      </c>
      <c r="Q59" s="11"/>
      <c r="R59" s="9"/>
      <c r="S59" s="9"/>
      <c r="T59" s="9"/>
      <c r="U59" s="11" t="s">
        <v>110</v>
      </c>
    </row>
    <row r="60" spans="1:21" ht="18.75" customHeight="1">
      <c r="A60" s="9" t="s">
        <v>46</v>
      </c>
      <c r="B60" s="9" t="str">
        <f t="shared" ca="1" si="1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111</v>
      </c>
      <c r="G60" s="11" t="s">
        <v>112</v>
      </c>
      <c r="H60" s="11" t="s">
        <v>488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>IF(K60="","",IF(L60="","参照先未定義",_xlfn.XLOOKUP(L60,B:B,C:C,"エラー")))</f>
        <v/>
      </c>
      <c r="N60" s="11" t="s">
        <v>48</v>
      </c>
      <c r="O60" s="11"/>
      <c r="P60" s="11" t="s">
        <v>106</v>
      </c>
      <c r="Q60" s="11"/>
      <c r="R60" s="9"/>
      <c r="S60" s="9"/>
      <c r="T60" s="9"/>
      <c r="U60" s="11"/>
    </row>
    <row r="61" spans="1:21" ht="18.75" customHeight="1">
      <c r="A61" s="9" t="s">
        <v>46</v>
      </c>
      <c r="B61" s="9" t="str">
        <f t="shared" ca="1" si="1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113</v>
      </c>
      <c r="G61" s="11" t="s">
        <v>114</v>
      </c>
      <c r="H61" s="11" t="s">
        <v>65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>IF(K61="","",IF(L61="","参照先未定義",_xlfn.XLOOKUP(L61,B:B,C:C,"エラー")))</f>
        <v/>
      </c>
      <c r="N61" s="11" t="s">
        <v>48</v>
      </c>
      <c r="O61" s="11"/>
      <c r="P61" s="11" t="s">
        <v>109</v>
      </c>
      <c r="Q61" s="11"/>
      <c r="R61" s="9"/>
      <c r="S61" s="9"/>
      <c r="T61" s="9"/>
      <c r="U61" s="11" t="s">
        <v>110</v>
      </c>
    </row>
    <row r="62" spans="1:21" ht="18.75" customHeight="1">
      <c r="A62" s="9" t="s">
        <v>46</v>
      </c>
      <c r="B62" s="9" t="str">
        <f t="shared" ca="1" si="1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115</v>
      </c>
      <c r="G62" s="11" t="s">
        <v>116</v>
      </c>
      <c r="H62" s="11" t="s">
        <v>490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8</v>
      </c>
      <c r="J62" s="11"/>
      <c r="K62" s="11"/>
      <c r="L62" s="9"/>
      <c r="M62" s="11" t="str">
        <f>IF(K62="","",IF(L62="","参照先未定義",_xlfn.XLOOKUP(L62,B:B,C:C,"エラー")))</f>
        <v/>
      </c>
      <c r="N62" s="11" t="s">
        <v>48</v>
      </c>
      <c r="O62" s="11"/>
      <c r="P62" s="11" t="b">
        <v>0</v>
      </c>
      <c r="Q62" s="11"/>
      <c r="R62" s="9"/>
      <c r="S62" s="9"/>
      <c r="T62" s="9"/>
      <c r="U62" s="11"/>
    </row>
    <row r="63" spans="1:21" ht="18.75" customHeight="1">
      <c r="A63" s="9" t="s">
        <v>46</v>
      </c>
      <c r="B63" s="9" t="str">
        <f t="shared" ref="B63:B125" si="2">D63&amp;"."&amp;F63</f>
        <v>page_author.page_author_sequence_id</v>
      </c>
      <c r="C63" s="10">
        <f t="shared" si="0"/>
        <v>62</v>
      </c>
      <c r="D63" s="11" t="s">
        <v>147</v>
      </c>
      <c r="E63" s="11" t="s">
        <v>97</v>
      </c>
      <c r="F63" s="11" t="str">
        <f>D63&amp;"_sequence_id"</f>
        <v>page_author_sequence_id</v>
      </c>
      <c r="G63" s="11" t="str">
        <f>E63&amp;"ID"</f>
        <v>ページ編集者ID</v>
      </c>
      <c r="H63" s="11" t="s">
        <v>552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32</v>
      </c>
      <c r="J63" s="11" t="s">
        <v>466</v>
      </c>
      <c r="K63" s="11"/>
      <c r="L63" s="9"/>
      <c r="M63" s="11" t="str">
        <f>IF(K63="","",IF(L63="","参照先未定義",_xlfn.XLOOKUP(L63,B:B,C:C,"エラー")))</f>
        <v/>
      </c>
      <c r="N63" s="11" t="s">
        <v>474</v>
      </c>
      <c r="O63" s="11" t="s">
        <v>474</v>
      </c>
      <c r="P63" s="11" t="s">
        <v>551</v>
      </c>
      <c r="Q63" s="11"/>
      <c r="R63" s="9"/>
      <c r="S63" s="9"/>
      <c r="T63" s="9"/>
      <c r="U63" s="11"/>
    </row>
    <row r="64" spans="1:21" ht="18.75" customHeight="1">
      <c r="A64" s="9" t="s">
        <v>46</v>
      </c>
      <c r="B64" s="9" t="str">
        <f t="shared" ca="1" si="2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53</v>
      </c>
      <c r="G64" s="11" t="s">
        <v>54</v>
      </c>
      <c r="H64" s="11" t="s">
        <v>99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32</v>
      </c>
      <c r="J64" s="11"/>
      <c r="K64" s="11" t="s">
        <v>48</v>
      </c>
      <c r="L64" s="9" t="s">
        <v>555</v>
      </c>
      <c r="M64" s="11">
        <f ca="1">IF(K64="","",IF(L64="","参照先未定義",_xlfn.XLOOKUP(L64,B:B,C:C,"エラー")))</f>
        <v>149</v>
      </c>
      <c r="N64" s="11" t="s">
        <v>48</v>
      </c>
      <c r="O64" s="11"/>
      <c r="P64" s="11"/>
      <c r="Q64" s="11" t="s">
        <v>580</v>
      </c>
      <c r="R64" s="9"/>
      <c r="S64" s="9"/>
      <c r="T64" s="9"/>
      <c r="U64" s="11"/>
    </row>
    <row r="65" spans="1:21" ht="18.75" customHeight="1">
      <c r="A65" s="9" t="s">
        <v>46</v>
      </c>
      <c r="B65" s="9" t="str">
        <f t="shared" ca="1" si="2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49</v>
      </c>
      <c r="G65" s="11" t="s">
        <v>54</v>
      </c>
      <c r="H65" s="11" t="s">
        <v>99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32</v>
      </c>
      <c r="J65" s="11"/>
      <c r="K65" s="11" t="s">
        <v>48</v>
      </c>
      <c r="L65" s="9" t="s">
        <v>558</v>
      </c>
      <c r="M65" s="11">
        <f>IF(K65="","",IF(L65="","参照先未定義",_xlfn.XLOOKUP(L65,B:B,C:C,"エラー")))</f>
        <v>1</v>
      </c>
      <c r="N65" s="11" t="s">
        <v>48</v>
      </c>
      <c r="O65" s="11"/>
      <c r="P65" s="11"/>
      <c r="Q65" s="11" t="s">
        <v>580</v>
      </c>
      <c r="R65" s="9"/>
      <c r="S65" s="9"/>
      <c r="T65" s="9"/>
      <c r="U65" s="11"/>
    </row>
    <row r="66" spans="1:21" ht="18.75" customHeight="1">
      <c r="A66" s="9" t="s">
        <v>46</v>
      </c>
      <c r="B66" s="9" t="str">
        <f t="shared" ca="1" si="2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148</v>
      </c>
      <c r="G66" s="11" t="s">
        <v>149</v>
      </c>
      <c r="H66" s="11" t="s">
        <v>99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32</v>
      </c>
      <c r="J66" s="11"/>
      <c r="K66" s="11" t="s">
        <v>48</v>
      </c>
      <c r="L66" s="9" t="s">
        <v>560</v>
      </c>
      <c r="M66" s="11">
        <f ca="1">IF(K66="","",IF(L66="","参照先未定義",_xlfn.XLOOKUP(L66,B:B,C:C,"エラー")))</f>
        <v>111</v>
      </c>
      <c r="N66" s="11" t="s">
        <v>48</v>
      </c>
      <c r="O66" s="11"/>
      <c r="P66" s="11"/>
      <c r="Q66" s="11" t="s">
        <v>580</v>
      </c>
      <c r="R66" s="9"/>
      <c r="S66" s="9"/>
      <c r="T66" s="9"/>
      <c r="U66" s="11"/>
    </row>
    <row r="67" spans="1:21" ht="18.75" customHeight="1">
      <c r="A67" s="9" t="s">
        <v>46</v>
      </c>
      <c r="B67" s="9" t="str">
        <f t="shared" ca="1" si="2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150</v>
      </c>
      <c r="G67" s="11" t="s">
        <v>151</v>
      </c>
      <c r="H67" s="11" t="s">
        <v>81</v>
      </c>
      <c r="I67" s="11" t="str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-</v>
      </c>
      <c r="J67" s="11"/>
      <c r="K67" s="11"/>
      <c r="L67" s="9"/>
      <c r="M67" s="11" t="str">
        <f>IF(K67="","",IF(L67="","参照先未定義",_xlfn.XLOOKUP(L67,B:B,C:C,"エラー")))</f>
        <v/>
      </c>
      <c r="N67" s="11" t="s">
        <v>48</v>
      </c>
      <c r="O67" s="11"/>
      <c r="P67" s="11"/>
      <c r="Q67" s="11"/>
      <c r="R67" s="9"/>
      <c r="S67" s="9"/>
      <c r="T67" s="9"/>
      <c r="U67" s="11"/>
    </row>
    <row r="68" spans="1:21" ht="18.75" customHeight="1">
      <c r="A68" s="9" t="s">
        <v>46</v>
      </c>
      <c r="B68" s="9" t="str">
        <f t="shared" ca="1" si="2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152</v>
      </c>
      <c r="G68" s="11" t="s">
        <v>153</v>
      </c>
      <c r="H68" s="11" t="s">
        <v>81</v>
      </c>
      <c r="I68" s="11" t="str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-</v>
      </c>
      <c r="J68" s="11"/>
      <c r="K68" s="11"/>
      <c r="L68" s="9"/>
      <c r="M68" s="11" t="str">
        <f>IF(K68="","",IF(L68="","参照先未定義",_xlfn.XLOOKUP(L68,B:B,C:C,"エラー")))</f>
        <v/>
      </c>
      <c r="N68" s="11" t="s">
        <v>48</v>
      </c>
      <c r="O68" s="11"/>
      <c r="P68" s="11"/>
      <c r="Q68" s="11"/>
      <c r="R68" s="9"/>
      <c r="S68" s="9"/>
      <c r="T68" s="9"/>
      <c r="U68" s="11"/>
    </row>
    <row r="69" spans="1:21" ht="18.75" customHeight="1">
      <c r="A69" s="9" t="s">
        <v>46</v>
      </c>
      <c r="B69" s="9" t="str">
        <f t="shared" ca="1" si="2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154</v>
      </c>
      <c r="G69" s="11" t="s">
        <v>155</v>
      </c>
      <c r="H69" s="11" t="s">
        <v>488</v>
      </c>
      <c r="I69" s="11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64</v>
      </c>
      <c r="J69" s="11"/>
      <c r="K69" s="11"/>
      <c r="L69" s="9"/>
      <c r="M69" s="11" t="str">
        <f>IF(K69="","",IF(L69="","参照先未定義",_xlfn.XLOOKUP(L69,B:B,C:C,"エラー")))</f>
        <v/>
      </c>
      <c r="N69" s="11" t="s">
        <v>48</v>
      </c>
      <c r="O69" s="11"/>
      <c r="P69" s="11" t="s">
        <v>106</v>
      </c>
      <c r="Q69" s="11"/>
      <c r="R69" s="9"/>
      <c r="S69" s="9"/>
      <c r="T69" s="9"/>
      <c r="U69" s="11"/>
    </row>
    <row r="70" spans="1:21" ht="18.75" customHeight="1">
      <c r="A70" s="9" t="s">
        <v>46</v>
      </c>
      <c r="B70" s="9" t="str">
        <f t="shared" ca="1" si="2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103</v>
      </c>
      <c r="G70" s="11" t="s">
        <v>156</v>
      </c>
      <c r="H70" s="11" t="s">
        <v>99</v>
      </c>
      <c r="I70" s="11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32</v>
      </c>
      <c r="J70" s="11"/>
      <c r="K70" s="11"/>
      <c r="L70" s="9"/>
      <c r="M70" s="11" t="str">
        <f>IF(K70="","",IF(L70="","参照先未定義",_xlfn.XLOOKUP(L70,B:B,C:C,"エラー")))</f>
        <v/>
      </c>
      <c r="N70" s="11" t="s">
        <v>48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>
      <c r="A71" s="9" t="s">
        <v>46</v>
      </c>
      <c r="B71" s="9" t="str">
        <f t="shared" ca="1" si="2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104</v>
      </c>
      <c r="G71" s="11" t="s">
        <v>105</v>
      </c>
      <c r="H71" s="11" t="s">
        <v>488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>IF(K71="","",IF(L71="","参照先未定義",_xlfn.XLOOKUP(L71,B:B,C:C,"エラー")))</f>
        <v/>
      </c>
      <c r="N71" s="11" t="s">
        <v>48</v>
      </c>
      <c r="O71" s="11"/>
      <c r="P71" s="11" t="s">
        <v>106</v>
      </c>
      <c r="Q71" s="11"/>
      <c r="R71" s="9"/>
      <c r="S71" s="9"/>
      <c r="T71" s="9"/>
      <c r="U71" s="11"/>
    </row>
    <row r="72" spans="1:21" ht="18.75" customHeight="1">
      <c r="A72" s="9" t="s">
        <v>46</v>
      </c>
      <c r="B72" s="9" t="str">
        <f t="shared" ca="1" si="2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107</v>
      </c>
      <c r="G72" s="11" t="s">
        <v>108</v>
      </c>
      <c r="H72" s="11" t="s">
        <v>65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256</v>
      </c>
      <c r="J72" s="11"/>
      <c r="K72" s="11"/>
      <c r="L72" s="9"/>
      <c r="M72" s="11" t="str">
        <f>IF(K72="","",IF(L72="","参照先未定義",_xlfn.XLOOKUP(L72,B:B,C:C,"エラー")))</f>
        <v/>
      </c>
      <c r="N72" s="11" t="s">
        <v>48</v>
      </c>
      <c r="O72" s="11"/>
      <c r="P72" s="11" t="s">
        <v>109</v>
      </c>
      <c r="Q72" s="11"/>
      <c r="R72" s="9"/>
      <c r="S72" s="9"/>
      <c r="T72" s="9"/>
      <c r="U72" s="11" t="s">
        <v>110</v>
      </c>
    </row>
    <row r="73" spans="1:21" ht="18.75" customHeight="1">
      <c r="A73" s="9" t="s">
        <v>46</v>
      </c>
      <c r="B73" s="9" t="str">
        <f t="shared" ca="1" si="2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111</v>
      </c>
      <c r="G73" s="11" t="s">
        <v>112</v>
      </c>
      <c r="H73" s="11" t="s">
        <v>488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>IF(K73="","",IF(L73="","参照先未定義",_xlfn.XLOOKUP(L73,B:B,C:C,"エラー")))</f>
        <v/>
      </c>
      <c r="N73" s="11" t="s">
        <v>48</v>
      </c>
      <c r="O73" s="11"/>
      <c r="P73" s="11" t="s">
        <v>106</v>
      </c>
      <c r="Q73" s="11"/>
      <c r="R73" s="9"/>
      <c r="S73" s="9"/>
      <c r="T73" s="9"/>
      <c r="U73" s="11"/>
    </row>
    <row r="74" spans="1:21" ht="18.75" customHeight="1">
      <c r="A74" s="9" t="s">
        <v>46</v>
      </c>
      <c r="B74" s="9" t="str">
        <f t="shared" ca="1" si="2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113</v>
      </c>
      <c r="G74" s="11" t="s">
        <v>114</v>
      </c>
      <c r="H74" s="11" t="s">
        <v>65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>IF(K74="","",IF(L74="","参照先未定義",_xlfn.XLOOKUP(L74,B:B,C:C,"エラー")))</f>
        <v/>
      </c>
      <c r="N74" s="11" t="s">
        <v>48</v>
      </c>
      <c r="O74" s="11"/>
      <c r="P74" s="11" t="s">
        <v>109</v>
      </c>
      <c r="Q74" s="11"/>
      <c r="R74" s="9"/>
      <c r="S74" s="9"/>
      <c r="T74" s="9"/>
      <c r="U74" s="11" t="s">
        <v>110</v>
      </c>
    </row>
    <row r="75" spans="1:21" ht="18.75" customHeight="1">
      <c r="A75" s="9" t="s">
        <v>46</v>
      </c>
      <c r="B75" s="9" t="str">
        <f t="shared" ca="1" si="2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115</v>
      </c>
      <c r="G75" s="11" t="s">
        <v>116</v>
      </c>
      <c r="H75" s="11" t="s">
        <v>490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8</v>
      </c>
      <c r="J75" s="11"/>
      <c r="K75" s="11"/>
      <c r="L75" s="9"/>
      <c r="M75" s="11" t="str">
        <f>IF(K75="","",IF(L75="","参照先未定義",_xlfn.XLOOKUP(L75,B:B,C:C,"エラー")))</f>
        <v/>
      </c>
      <c r="N75" s="11" t="s">
        <v>48</v>
      </c>
      <c r="O75" s="11"/>
      <c r="P75" s="11" t="b">
        <v>0</v>
      </c>
      <c r="Q75" s="11"/>
      <c r="R75" s="9"/>
      <c r="S75" s="9"/>
      <c r="T75" s="9"/>
      <c r="U75" s="11"/>
    </row>
    <row r="76" spans="1:21" ht="18.75" customHeight="1">
      <c r="A76" s="9" t="s">
        <v>46</v>
      </c>
      <c r="B76" s="9" t="str">
        <f t="shared" si="2"/>
        <v>contact.contact_sequence_id</v>
      </c>
      <c r="C76" s="10">
        <f t="shared" si="0"/>
        <v>75</v>
      </c>
      <c r="D76" s="11" t="s">
        <v>158</v>
      </c>
      <c r="E76" s="11" t="s">
        <v>159</v>
      </c>
      <c r="F76" s="11" t="str">
        <f>D76&amp;"_sequence_id"</f>
        <v>contact_sequence_id</v>
      </c>
      <c r="G76" s="11" t="str">
        <f>E76&amp;"ID"</f>
        <v>問い合わせID</v>
      </c>
      <c r="H76" s="11" t="s">
        <v>552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32</v>
      </c>
      <c r="J76" s="11" t="s">
        <v>466</v>
      </c>
      <c r="K76" s="11"/>
      <c r="L76" s="9"/>
      <c r="M76" s="11" t="str">
        <f>IF(K76="","",IF(L76="","参照先未定義",_xlfn.XLOOKUP(L76,B:B,C:C,"エラー")))</f>
        <v/>
      </c>
      <c r="N76" s="11" t="s">
        <v>474</v>
      </c>
      <c r="O76" s="11" t="s">
        <v>474</v>
      </c>
      <c r="P76" s="11" t="s">
        <v>551</v>
      </c>
      <c r="Q76" s="11"/>
      <c r="R76" s="9"/>
      <c r="S76" s="9"/>
      <c r="T76" s="9"/>
      <c r="U76" s="11"/>
    </row>
    <row r="77" spans="1:21" ht="18.75" customHeight="1">
      <c r="A77" s="9" t="s">
        <v>46</v>
      </c>
      <c r="B77" s="9" t="str">
        <f t="shared" ca="1" si="2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160</v>
      </c>
      <c r="G77" s="11" t="s">
        <v>161</v>
      </c>
      <c r="H77" s="11" t="s">
        <v>162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2040</v>
      </c>
      <c r="J77" s="11"/>
      <c r="K77" s="11"/>
      <c r="L77" s="9"/>
      <c r="M77" s="11" t="str">
        <f>IF(K77="","",IF(L77="","参照先未定義",_xlfn.XLOOKUP(L77,B:B,C:C,"エラー")))</f>
        <v/>
      </c>
      <c r="N77" s="11" t="s">
        <v>48</v>
      </c>
      <c r="O77" s="11"/>
      <c r="P77" s="11"/>
      <c r="Q77" s="11"/>
      <c r="R77" s="9" t="s">
        <v>48</v>
      </c>
      <c r="S77" s="9"/>
      <c r="T77" s="9"/>
      <c r="U77" s="11"/>
    </row>
    <row r="78" spans="1:21" ht="18.75" customHeight="1">
      <c r="A78" s="9" t="s">
        <v>46</v>
      </c>
      <c r="B78" s="9" t="str">
        <f t="shared" ca="1" si="2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163</v>
      </c>
      <c r="G78" s="11" t="s">
        <v>164</v>
      </c>
      <c r="H78" s="11" t="s">
        <v>162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2040</v>
      </c>
      <c r="J78" s="11"/>
      <c r="K78" s="11"/>
      <c r="L78" s="9"/>
      <c r="M78" s="11" t="str">
        <f>IF(K78="","",IF(L78="","参照先未定義",_xlfn.XLOOKUP(L78,B:B,C:C,"エラー")))</f>
        <v/>
      </c>
      <c r="N78" s="11" t="s">
        <v>48</v>
      </c>
      <c r="O78" s="11"/>
      <c r="P78" s="11"/>
      <c r="Q78" s="11"/>
      <c r="R78" s="9" t="s">
        <v>48</v>
      </c>
      <c r="S78" s="9"/>
      <c r="T78" s="9"/>
      <c r="U78" s="11"/>
    </row>
    <row r="79" spans="1:21" ht="18.75" customHeight="1">
      <c r="A79" s="9" t="s">
        <v>46</v>
      </c>
      <c r="B79" s="9" t="str">
        <f t="shared" ca="1" si="2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165</v>
      </c>
      <c r="G79" s="11" t="s">
        <v>166</v>
      </c>
      <c r="H79" s="11" t="s">
        <v>81</v>
      </c>
      <c r="I79" s="11" t="str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-</v>
      </c>
      <c r="J79" s="11"/>
      <c r="K79" s="11"/>
      <c r="L79" s="9"/>
      <c r="M79" s="11" t="str">
        <f>IF(K79="","",IF(L79="","参照先未定義",_xlfn.XLOOKUP(L79,B:B,C:C,"エラー")))</f>
        <v/>
      </c>
      <c r="N79" s="11" t="s">
        <v>48</v>
      </c>
      <c r="O79" s="11"/>
      <c r="P79" s="11"/>
      <c r="Q79" s="11"/>
      <c r="R79" s="9" t="s">
        <v>48</v>
      </c>
      <c r="S79" s="9"/>
      <c r="T79" s="9"/>
      <c r="U79" s="11"/>
    </row>
    <row r="80" spans="1:21" ht="18.75" customHeight="1">
      <c r="A80" s="9" t="s">
        <v>46</v>
      </c>
      <c r="B80" s="9" t="str">
        <f t="shared" ca="1" si="2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167</v>
      </c>
      <c r="G80" s="11" t="s">
        <v>168</v>
      </c>
      <c r="H80" s="11" t="s">
        <v>99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32</v>
      </c>
      <c r="J80" s="11"/>
      <c r="K80" s="11" t="s">
        <v>48</v>
      </c>
      <c r="L80" s="9" t="s">
        <v>561</v>
      </c>
      <c r="M80" s="11">
        <f ca="1">IF(K80="","",IF(L80="","参照先未定義",_xlfn.XLOOKUP(L80,B:B,C:C,"エラー")))</f>
        <v>86</v>
      </c>
      <c r="N80" s="11"/>
      <c r="O80" s="11"/>
      <c r="P80" s="11"/>
      <c r="Q80" s="11" t="s">
        <v>580</v>
      </c>
      <c r="R80" s="9"/>
      <c r="S80" s="9"/>
      <c r="T80" s="9"/>
      <c r="U80" s="11"/>
    </row>
    <row r="81" spans="1:21" ht="18.75" customHeight="1">
      <c r="A81" s="9" t="s">
        <v>46</v>
      </c>
      <c r="B81" s="9" t="str">
        <f t="shared" ca="1" si="2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169</v>
      </c>
      <c r="G81" s="11" t="s">
        <v>170</v>
      </c>
      <c r="H81" s="11" t="s">
        <v>99</v>
      </c>
      <c r="I81" s="11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32</v>
      </c>
      <c r="J81" s="11"/>
      <c r="K81" s="11" t="s">
        <v>48</v>
      </c>
      <c r="L81" s="9" t="s">
        <v>562</v>
      </c>
      <c r="M81" s="11">
        <f ca="1">IF(K81="","",IF(L81="","参照先未定義",_xlfn.XLOOKUP(L81,B:B,C:C,"エラー")))</f>
        <v>94</v>
      </c>
      <c r="N81" s="11"/>
      <c r="O81" s="11"/>
      <c r="P81" s="11"/>
      <c r="Q81" s="11" t="s">
        <v>580</v>
      </c>
      <c r="R81" s="9"/>
      <c r="S81" s="9"/>
      <c r="T81" s="9"/>
      <c r="U81" s="11"/>
    </row>
    <row r="82" spans="1:21" ht="18.75" customHeight="1">
      <c r="A82" s="9" t="s">
        <v>46</v>
      </c>
      <c r="B82" s="9" t="str">
        <f t="shared" ca="1" si="2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104</v>
      </c>
      <c r="G82" s="11" t="s">
        <v>105</v>
      </c>
      <c r="H82" s="11" t="s">
        <v>488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64</v>
      </c>
      <c r="J82" s="11"/>
      <c r="K82" s="11"/>
      <c r="L82" s="9"/>
      <c r="M82" s="11" t="str">
        <f>IF(K82="","",IF(L82="","参照先未定義",_xlfn.XLOOKUP(L82,B:B,C:C,"エラー")))</f>
        <v/>
      </c>
      <c r="N82" s="11" t="s">
        <v>48</v>
      </c>
      <c r="O82" s="11"/>
      <c r="P82" s="11" t="s">
        <v>106</v>
      </c>
      <c r="Q82" s="11"/>
      <c r="R82" s="9"/>
      <c r="S82" s="9"/>
      <c r="T82" s="9"/>
      <c r="U82" s="11"/>
    </row>
    <row r="83" spans="1:21" ht="18.75" customHeight="1">
      <c r="A83" s="9" t="s">
        <v>46</v>
      </c>
      <c r="B83" s="9" t="str">
        <f t="shared" ca="1" si="2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107</v>
      </c>
      <c r="G83" s="11" t="s">
        <v>108</v>
      </c>
      <c r="H83" s="11" t="s">
        <v>65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256</v>
      </c>
      <c r="J83" s="11"/>
      <c r="K83" s="11"/>
      <c r="L83" s="9"/>
      <c r="M83" s="11" t="str">
        <f>IF(K83="","",IF(L83="","参照先未定義",_xlfn.XLOOKUP(L83,B:B,C:C,"エラー")))</f>
        <v/>
      </c>
      <c r="N83" s="11" t="s">
        <v>48</v>
      </c>
      <c r="O83" s="11"/>
      <c r="P83" s="11" t="s">
        <v>109</v>
      </c>
      <c r="Q83" s="11"/>
      <c r="R83" s="9"/>
      <c r="S83" s="9"/>
      <c r="T83" s="9"/>
      <c r="U83" s="11" t="s">
        <v>110</v>
      </c>
    </row>
    <row r="84" spans="1:21" ht="18.75" customHeight="1">
      <c r="A84" s="9" t="s">
        <v>46</v>
      </c>
      <c r="B84" s="9" t="str">
        <f t="shared" ca="1" si="2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111</v>
      </c>
      <c r="G84" s="11" t="s">
        <v>112</v>
      </c>
      <c r="H84" s="11" t="s">
        <v>488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>IF(K84="","",IF(L84="","参照先未定義",_xlfn.XLOOKUP(L84,B:B,C:C,"エラー")))</f>
        <v/>
      </c>
      <c r="N84" s="11" t="s">
        <v>48</v>
      </c>
      <c r="O84" s="11"/>
      <c r="P84" s="11" t="s">
        <v>106</v>
      </c>
      <c r="Q84" s="11"/>
      <c r="R84" s="9"/>
      <c r="S84" s="9"/>
      <c r="T84" s="9"/>
      <c r="U84" s="11"/>
    </row>
    <row r="85" spans="1:21" ht="18.75" customHeight="1">
      <c r="A85" s="9" t="s">
        <v>46</v>
      </c>
      <c r="B85" s="9" t="str">
        <f t="shared" ca="1" si="2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113</v>
      </c>
      <c r="G85" s="11" t="s">
        <v>114</v>
      </c>
      <c r="H85" s="11" t="s">
        <v>65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>IF(K85="","",IF(L85="","参照先未定義",_xlfn.XLOOKUP(L85,B:B,C:C,"エラー")))</f>
        <v/>
      </c>
      <c r="N85" s="11" t="s">
        <v>48</v>
      </c>
      <c r="O85" s="11"/>
      <c r="P85" s="11" t="s">
        <v>109</v>
      </c>
      <c r="Q85" s="11"/>
      <c r="R85" s="9"/>
      <c r="S85" s="9"/>
      <c r="T85" s="9"/>
      <c r="U85" s="11" t="s">
        <v>110</v>
      </c>
    </row>
    <row r="86" spans="1:21" ht="18.75" customHeight="1">
      <c r="A86" s="9" t="s">
        <v>46</v>
      </c>
      <c r="B86" s="9" t="str">
        <f t="shared" ca="1" si="2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115</v>
      </c>
      <c r="G86" s="11" t="s">
        <v>116</v>
      </c>
      <c r="H86" s="11" t="s">
        <v>490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8</v>
      </c>
      <c r="J86" s="11"/>
      <c r="K86" s="11"/>
      <c r="L86" s="9"/>
      <c r="M86" s="11" t="str">
        <f>IF(K86="","",IF(L86="","参照先未定義",_xlfn.XLOOKUP(L86,B:B,C:C,"エラー")))</f>
        <v/>
      </c>
      <c r="N86" s="11" t="s">
        <v>48</v>
      </c>
      <c r="O86" s="11"/>
      <c r="P86" s="11" t="b">
        <v>0</v>
      </c>
      <c r="Q86" s="11"/>
      <c r="R86" s="9"/>
      <c r="S86" s="9"/>
      <c r="T86" s="9"/>
      <c r="U86" s="11"/>
    </row>
    <row r="87" spans="1:21" ht="18.75" customHeight="1">
      <c r="A87" s="9" t="s">
        <v>46</v>
      </c>
      <c r="B87" s="9" t="str">
        <f t="shared" si="2"/>
        <v>priority.priority_sequence_id</v>
      </c>
      <c r="C87" s="10">
        <f t="shared" si="0"/>
        <v>86</v>
      </c>
      <c r="D87" s="11" t="s">
        <v>171</v>
      </c>
      <c r="E87" s="11" t="s">
        <v>172</v>
      </c>
      <c r="F87" s="11" t="str">
        <f>D87&amp;"_sequence_id"</f>
        <v>priority_sequence_id</v>
      </c>
      <c r="G87" s="11" t="str">
        <f>E87&amp;"ID"</f>
        <v>優先度ID</v>
      </c>
      <c r="H87" s="11" t="s">
        <v>552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32</v>
      </c>
      <c r="J87" s="11" t="s">
        <v>453</v>
      </c>
      <c r="K87" s="11"/>
      <c r="L87" s="9"/>
      <c r="M87" s="11" t="str">
        <f>IF(K87="","",IF(L87="","参照先未定義",_xlfn.XLOOKUP(L87,B:B,C:C,"エラー")))</f>
        <v/>
      </c>
      <c r="N87" s="11" t="s">
        <v>474</v>
      </c>
      <c r="O87" s="11" t="s">
        <v>474</v>
      </c>
      <c r="P87" s="11" t="s">
        <v>551</v>
      </c>
      <c r="Q87" s="11"/>
      <c r="R87" s="9"/>
      <c r="S87" s="9"/>
      <c r="T87" s="9"/>
      <c r="U87" s="11"/>
    </row>
    <row r="88" spans="1:21" ht="18.75" customHeight="1">
      <c r="A88" s="9" t="s">
        <v>46</v>
      </c>
      <c r="B88" s="9" t="str">
        <f t="shared" ca="1" si="2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167</v>
      </c>
      <c r="G88" s="11" t="s">
        <v>168</v>
      </c>
      <c r="H88" s="11" t="s">
        <v>51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64</v>
      </c>
      <c r="J88" s="11"/>
      <c r="K88" s="11"/>
      <c r="L88" s="9"/>
      <c r="M88" s="11" t="str">
        <f>IF(K88="","",IF(L88="","参照先未定義",_xlfn.XLOOKUP(L88,B:B,C:C,"エラー")))</f>
        <v/>
      </c>
      <c r="N88" s="11" t="s">
        <v>466</v>
      </c>
      <c r="O88" s="11" t="s">
        <v>466</v>
      </c>
      <c r="P88" s="11"/>
      <c r="Q88" s="11"/>
      <c r="R88" s="9"/>
      <c r="S88" s="9"/>
      <c r="T88" s="9"/>
      <c r="U88" s="11"/>
    </row>
    <row r="89" spans="1:21" ht="18.75" customHeight="1">
      <c r="A89" s="9" t="s">
        <v>46</v>
      </c>
      <c r="B89" s="9" t="str">
        <f t="shared" ca="1" si="2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173</v>
      </c>
      <c r="G89" s="11" t="s">
        <v>174</v>
      </c>
      <c r="H89" s="11" t="s">
        <v>51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64</v>
      </c>
      <c r="J89" s="11"/>
      <c r="K89" s="11"/>
      <c r="L89" s="9"/>
      <c r="M89" s="11" t="str">
        <f>IF(K89="","",IF(L89="","参照先未定義",_xlfn.XLOOKUP(L89,B:B,C:C,"エラー")))</f>
        <v/>
      </c>
      <c r="N89" s="11"/>
      <c r="O89" s="11"/>
      <c r="P89" s="11"/>
      <c r="Q89" s="11"/>
      <c r="R89" s="9"/>
      <c r="S89" s="9"/>
      <c r="T89" s="9"/>
      <c r="U89" s="11" t="s">
        <v>491</v>
      </c>
    </row>
    <row r="90" spans="1:21" ht="18.75" customHeight="1">
      <c r="A90" s="9" t="s">
        <v>46</v>
      </c>
      <c r="B90" s="9" t="str">
        <f t="shared" ca="1" si="2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104</v>
      </c>
      <c r="G90" s="11" t="s">
        <v>105</v>
      </c>
      <c r="H90" s="11" t="s">
        <v>488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>IF(K90="","",IF(L90="","参照先未定義",_xlfn.XLOOKUP(L90,B:B,C:C,"エラー")))</f>
        <v/>
      </c>
      <c r="N90" s="11" t="s">
        <v>48</v>
      </c>
      <c r="O90" s="11"/>
      <c r="P90" s="11" t="s">
        <v>106</v>
      </c>
      <c r="Q90" s="11"/>
      <c r="R90" s="9"/>
      <c r="S90" s="9"/>
      <c r="T90" s="9"/>
      <c r="U90" s="11"/>
    </row>
    <row r="91" spans="1:21" ht="18.75" customHeight="1">
      <c r="A91" s="9" t="s">
        <v>46</v>
      </c>
      <c r="B91" s="9" t="str">
        <f t="shared" ca="1" si="2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107</v>
      </c>
      <c r="G91" s="11" t="s">
        <v>108</v>
      </c>
      <c r="H91" s="11" t="s">
        <v>65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256</v>
      </c>
      <c r="J91" s="11"/>
      <c r="K91" s="11"/>
      <c r="L91" s="9"/>
      <c r="M91" s="11" t="str">
        <f>IF(K91="","",IF(L91="","参照先未定義",_xlfn.XLOOKUP(L91,B:B,C:C,"エラー")))</f>
        <v/>
      </c>
      <c r="N91" s="11" t="s">
        <v>48</v>
      </c>
      <c r="O91" s="11"/>
      <c r="P91" s="11" t="s">
        <v>109</v>
      </c>
      <c r="Q91" s="11"/>
      <c r="R91" s="9"/>
      <c r="S91" s="9"/>
      <c r="T91" s="9"/>
      <c r="U91" s="11" t="s">
        <v>110</v>
      </c>
    </row>
    <row r="92" spans="1:21" ht="18.75" customHeight="1">
      <c r="A92" s="9" t="s">
        <v>46</v>
      </c>
      <c r="B92" s="9" t="str">
        <f t="shared" ca="1" si="2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111</v>
      </c>
      <c r="G92" s="11" t="s">
        <v>112</v>
      </c>
      <c r="H92" s="11" t="s">
        <v>488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>IF(K92="","",IF(L92="","参照先未定義",_xlfn.XLOOKUP(L92,B:B,C:C,"エラー")))</f>
        <v/>
      </c>
      <c r="N92" s="11" t="s">
        <v>48</v>
      </c>
      <c r="O92" s="11"/>
      <c r="P92" s="11" t="s">
        <v>106</v>
      </c>
      <c r="Q92" s="11"/>
      <c r="R92" s="9"/>
      <c r="S92" s="9"/>
      <c r="T92" s="9"/>
      <c r="U92" s="11"/>
    </row>
    <row r="93" spans="1:21" ht="18.75" customHeight="1">
      <c r="A93" s="9" t="s">
        <v>46</v>
      </c>
      <c r="B93" s="9" t="str">
        <f t="shared" ca="1" si="2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113</v>
      </c>
      <c r="G93" s="11" t="s">
        <v>114</v>
      </c>
      <c r="H93" s="11" t="s">
        <v>65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>IF(K93="","",IF(L93="","参照先未定義",_xlfn.XLOOKUP(L93,B:B,C:C,"エラー")))</f>
        <v/>
      </c>
      <c r="N93" s="11" t="s">
        <v>48</v>
      </c>
      <c r="O93" s="11"/>
      <c r="P93" s="11" t="s">
        <v>109</v>
      </c>
      <c r="Q93" s="11"/>
      <c r="R93" s="9"/>
      <c r="S93" s="9"/>
      <c r="T93" s="9"/>
      <c r="U93" s="11" t="s">
        <v>110</v>
      </c>
    </row>
    <row r="94" spans="1:21" ht="18.75" customHeight="1">
      <c r="A94" s="9" t="s">
        <v>46</v>
      </c>
      <c r="B94" s="9" t="str">
        <f t="shared" ca="1" si="2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115</v>
      </c>
      <c r="G94" s="11" t="s">
        <v>116</v>
      </c>
      <c r="H94" s="11" t="s">
        <v>490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8</v>
      </c>
      <c r="J94" s="11"/>
      <c r="K94" s="11"/>
      <c r="L94" s="9"/>
      <c r="M94" s="11" t="str">
        <f>IF(K94="","",IF(L94="","参照先未定義",_xlfn.XLOOKUP(L94,B:B,C:C,"エラー")))</f>
        <v/>
      </c>
      <c r="N94" s="11" t="s">
        <v>48</v>
      </c>
      <c r="O94" s="11"/>
      <c r="P94" s="11" t="b">
        <v>0</v>
      </c>
      <c r="Q94" s="11"/>
      <c r="R94" s="9"/>
      <c r="S94" s="9"/>
      <c r="T94" s="9"/>
      <c r="U94" s="11"/>
    </row>
    <row r="95" spans="1:21" ht="18.75" customHeight="1">
      <c r="A95" s="9" t="s">
        <v>46</v>
      </c>
      <c r="B95" s="9" t="str">
        <f t="shared" si="2"/>
        <v>response_status.response_status_sequence_id</v>
      </c>
      <c r="C95" s="10">
        <f t="shared" si="0"/>
        <v>94</v>
      </c>
      <c r="D95" s="11" t="s">
        <v>175</v>
      </c>
      <c r="E95" s="11" t="s">
        <v>176</v>
      </c>
      <c r="F95" s="11" t="str">
        <f>D95&amp;"_sequence_id"</f>
        <v>response_status_sequence_id</v>
      </c>
      <c r="G95" s="11" t="str">
        <f>E95&amp;"ID"</f>
        <v>対応状況ID</v>
      </c>
      <c r="H95" s="11" t="s">
        <v>552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32</v>
      </c>
      <c r="J95" s="11" t="s">
        <v>466</v>
      </c>
      <c r="K95" s="11"/>
      <c r="L95" s="9"/>
      <c r="M95" s="11" t="str">
        <f>IF(K95="","",IF(L95="","参照先未定義",_xlfn.XLOOKUP(L95,B:B,C:C,"エラー")))</f>
        <v/>
      </c>
      <c r="N95" s="11" t="s">
        <v>474</v>
      </c>
      <c r="O95" s="11" t="s">
        <v>474</v>
      </c>
      <c r="P95" s="11" t="s">
        <v>551</v>
      </c>
      <c r="Q95" s="11"/>
      <c r="R95" s="9"/>
      <c r="S95" s="9"/>
      <c r="T95" s="9"/>
      <c r="U95" s="11"/>
    </row>
    <row r="96" spans="1:21" ht="18.75" customHeight="1">
      <c r="A96" s="9" t="s">
        <v>46</v>
      </c>
      <c r="B96" s="9" t="str">
        <f t="shared" ca="1" si="2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169</v>
      </c>
      <c r="G96" s="11" t="s">
        <v>170</v>
      </c>
      <c r="H96" s="11" t="s">
        <v>51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64</v>
      </c>
      <c r="J96" s="11"/>
      <c r="K96" s="11"/>
      <c r="L96" s="9"/>
      <c r="M96" s="11" t="str">
        <f>IF(K96="","",IF(L96="","参照先未定義",_xlfn.XLOOKUP(L96,B:B,C:C,"エラー")))</f>
        <v/>
      </c>
      <c r="N96" s="11" t="s">
        <v>466</v>
      </c>
      <c r="O96" s="11" t="s">
        <v>466</v>
      </c>
      <c r="P96" s="11"/>
      <c r="Q96" s="11"/>
      <c r="R96" s="9"/>
      <c r="S96" s="9"/>
      <c r="T96" s="9"/>
      <c r="U96" s="11"/>
    </row>
    <row r="97" spans="1:21" ht="18.75" customHeight="1">
      <c r="A97" s="9" t="s">
        <v>46</v>
      </c>
      <c r="B97" s="9" t="str">
        <f t="shared" ca="1" si="2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177</v>
      </c>
      <c r="G97" s="11" t="s">
        <v>178</v>
      </c>
      <c r="H97" s="11" t="s">
        <v>51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64</v>
      </c>
      <c r="J97" s="11"/>
      <c r="K97" s="11"/>
      <c r="L97" s="9"/>
      <c r="M97" s="11" t="str">
        <f>IF(K97="","",IF(L97="","参照先未定義",_xlfn.XLOOKUP(L97,B:B,C:C,"エラー")))</f>
        <v/>
      </c>
      <c r="N97" s="11"/>
      <c r="O97" s="11"/>
      <c r="P97" s="11"/>
      <c r="Q97" s="11"/>
      <c r="R97" s="9"/>
      <c r="S97" s="9"/>
      <c r="T97" s="9"/>
      <c r="U97" s="11" t="s">
        <v>491</v>
      </c>
    </row>
    <row r="98" spans="1:21" ht="18.75" customHeight="1">
      <c r="A98" s="9" t="s">
        <v>46</v>
      </c>
      <c r="B98" s="9" t="str">
        <f t="shared" ca="1" si="2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104</v>
      </c>
      <c r="G98" s="11" t="s">
        <v>105</v>
      </c>
      <c r="H98" s="11" t="s">
        <v>488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>IF(K98="","",IF(L98="","参照先未定義",_xlfn.XLOOKUP(L98,B:B,C:C,"エラー")))</f>
        <v/>
      </c>
      <c r="N98" s="11" t="s">
        <v>48</v>
      </c>
      <c r="O98" s="11"/>
      <c r="P98" s="11" t="s">
        <v>106</v>
      </c>
      <c r="Q98" s="11"/>
      <c r="R98" s="9"/>
      <c r="S98" s="9"/>
      <c r="T98" s="9"/>
      <c r="U98" s="11"/>
    </row>
    <row r="99" spans="1:21" ht="18.75" customHeight="1">
      <c r="A99" s="9" t="s">
        <v>46</v>
      </c>
      <c r="B99" s="9" t="str">
        <f t="shared" ca="1" si="2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107</v>
      </c>
      <c r="G99" s="11" t="s">
        <v>108</v>
      </c>
      <c r="H99" s="11" t="s">
        <v>65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256</v>
      </c>
      <c r="J99" s="11"/>
      <c r="K99" s="11"/>
      <c r="L99" s="9"/>
      <c r="M99" s="11" t="str">
        <f>IF(K99="","",IF(L99="","参照先未定義",_xlfn.XLOOKUP(L99,B:B,C:C,"エラー")))</f>
        <v/>
      </c>
      <c r="N99" s="11" t="s">
        <v>48</v>
      </c>
      <c r="O99" s="11"/>
      <c r="P99" s="11" t="s">
        <v>109</v>
      </c>
      <c r="Q99" s="11"/>
      <c r="R99" s="9"/>
      <c r="S99" s="9"/>
      <c r="T99" s="9"/>
      <c r="U99" s="11" t="s">
        <v>110</v>
      </c>
    </row>
    <row r="100" spans="1:21" ht="18.75" customHeight="1">
      <c r="A100" s="9" t="s">
        <v>46</v>
      </c>
      <c r="B100" s="9" t="str">
        <f t="shared" ca="1" si="2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111</v>
      </c>
      <c r="G100" s="11" t="s">
        <v>112</v>
      </c>
      <c r="H100" s="11" t="s">
        <v>488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>IF(K100="","",IF(L100="","参照先未定義",_xlfn.XLOOKUP(L100,B:B,C:C,"エラー")))</f>
        <v/>
      </c>
      <c r="N100" s="11" t="s">
        <v>48</v>
      </c>
      <c r="O100" s="11"/>
      <c r="P100" s="11" t="s">
        <v>106</v>
      </c>
      <c r="Q100" s="11"/>
      <c r="R100" s="9"/>
      <c r="S100" s="9"/>
      <c r="T100" s="9"/>
      <c r="U100" s="11"/>
    </row>
    <row r="101" spans="1:21" ht="18.75" customHeight="1">
      <c r="A101" s="9" t="s">
        <v>46</v>
      </c>
      <c r="B101" s="9" t="str">
        <f t="shared" ca="1" si="2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113</v>
      </c>
      <c r="G101" s="11" t="s">
        <v>114</v>
      </c>
      <c r="H101" s="11" t="s">
        <v>65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>IF(K101="","",IF(L101="","参照先未定義",_xlfn.XLOOKUP(L101,B:B,C:C,"エラー")))</f>
        <v/>
      </c>
      <c r="N101" s="11" t="s">
        <v>48</v>
      </c>
      <c r="O101" s="11"/>
      <c r="P101" s="11" t="s">
        <v>109</v>
      </c>
      <c r="Q101" s="11"/>
      <c r="R101" s="9"/>
      <c r="S101" s="9"/>
      <c r="T101" s="9"/>
      <c r="U101" s="11" t="s">
        <v>110</v>
      </c>
    </row>
    <row r="102" spans="1:21" ht="18.75" customHeight="1">
      <c r="A102" s="9" t="s">
        <v>46</v>
      </c>
      <c r="B102" s="9" t="str">
        <f t="shared" ca="1" si="2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115</v>
      </c>
      <c r="G102" s="11" t="s">
        <v>116</v>
      </c>
      <c r="H102" s="11" t="s">
        <v>490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8</v>
      </c>
      <c r="J102" s="11"/>
      <c r="K102" s="11"/>
      <c r="L102" s="9"/>
      <c r="M102" s="11" t="str">
        <f>IF(K102="","",IF(L102="","参照先未定義",_xlfn.XLOOKUP(L102,B:B,C:C,"エラー")))</f>
        <v/>
      </c>
      <c r="N102" s="11" t="s">
        <v>48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customHeight="1">
      <c r="A103" s="9" t="s">
        <v>46</v>
      </c>
      <c r="B103" s="9" t="str">
        <f t="shared" si="2"/>
        <v>language.language_sequence_id</v>
      </c>
      <c r="C103" s="10">
        <f t="shared" si="0"/>
        <v>102</v>
      </c>
      <c r="D103" s="11" t="s">
        <v>179</v>
      </c>
      <c r="E103" s="11" t="s">
        <v>180</v>
      </c>
      <c r="F103" s="11" t="str">
        <f>D103&amp;"_sequence_id"</f>
        <v>language_sequence_id</v>
      </c>
      <c r="G103" s="11" t="str">
        <f>E103&amp;"ID"</f>
        <v>表示言語ID</v>
      </c>
      <c r="H103" s="11" t="s">
        <v>552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32</v>
      </c>
      <c r="J103" s="11" t="s">
        <v>453</v>
      </c>
      <c r="K103" s="11"/>
      <c r="L103" s="9"/>
      <c r="M103" s="11" t="str">
        <f>IF(K103="","",IF(L103="","参照先未定義",_xlfn.XLOOKUP(L103,B:B,C:C,"エラー")))</f>
        <v/>
      </c>
      <c r="N103" s="11" t="s">
        <v>474</v>
      </c>
      <c r="O103" s="11" t="s">
        <v>474</v>
      </c>
      <c r="P103" s="11" t="s">
        <v>551</v>
      </c>
      <c r="Q103" s="11"/>
      <c r="R103" s="9"/>
      <c r="S103" s="9"/>
      <c r="T103" s="9"/>
      <c r="U103" s="11"/>
    </row>
    <row r="104" spans="1:21" ht="18.75" customHeight="1">
      <c r="A104" s="9" t="s">
        <v>46</v>
      </c>
      <c r="B104" s="9" t="str">
        <f t="shared" ca="1" si="2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181</v>
      </c>
      <c r="G104" s="11" t="s">
        <v>182</v>
      </c>
      <c r="H104" s="11" t="s">
        <v>71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128</v>
      </c>
      <c r="J104" s="11"/>
      <c r="K104" s="11"/>
      <c r="L104" s="9"/>
      <c r="M104" s="11" t="str">
        <f>IF(K104="","",IF(L104="","参照先未定義",_xlfn.XLOOKUP(L104,B:B,C:C,"エラー")))</f>
        <v/>
      </c>
      <c r="N104" s="11" t="s">
        <v>466</v>
      </c>
      <c r="O104" s="11" t="s">
        <v>466</v>
      </c>
      <c r="P104" s="11"/>
      <c r="Q104" s="11"/>
      <c r="R104" s="9"/>
      <c r="S104" s="9"/>
      <c r="T104" s="9"/>
      <c r="U104" s="11" t="s">
        <v>499</v>
      </c>
    </row>
    <row r="105" spans="1:21" ht="18.75" customHeight="1">
      <c r="A105" s="9" t="s">
        <v>46</v>
      </c>
      <c r="B105" s="9" t="str">
        <f t="shared" ca="1" si="2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183</v>
      </c>
      <c r="G105" s="11" t="s">
        <v>184</v>
      </c>
      <c r="H105" s="11" t="s">
        <v>99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32</v>
      </c>
      <c r="J105" s="11"/>
      <c r="K105" s="11" t="s">
        <v>453</v>
      </c>
      <c r="L105" s="9" t="s">
        <v>592</v>
      </c>
      <c r="M105" s="11">
        <f ca="1">IF(K105="","",IF(L105="","参照先未定義",_xlfn.XLOOKUP(L105,B:B,C:C,"エラー")))</f>
        <v>192</v>
      </c>
      <c r="N105" s="11"/>
      <c r="O105" s="11"/>
      <c r="P105" s="11"/>
      <c r="Q105" s="11" t="s">
        <v>580</v>
      </c>
      <c r="R105" s="9"/>
      <c r="S105" s="9"/>
      <c r="T105" s="9"/>
      <c r="U105" s="11" t="s">
        <v>185</v>
      </c>
    </row>
    <row r="106" spans="1:21" ht="18.75" customHeight="1">
      <c r="A106" s="9" t="s">
        <v>46</v>
      </c>
      <c r="B106" s="9" t="str">
        <f t="shared" ca="1" si="2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186</v>
      </c>
      <c r="G106" s="11" t="s">
        <v>187</v>
      </c>
      <c r="H106" s="11" t="s">
        <v>490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8</v>
      </c>
      <c r="J106" s="11"/>
      <c r="K106" s="11"/>
      <c r="L106" s="9"/>
      <c r="M106" s="11" t="str">
        <f>IF(K106="","",IF(L106="","参照先未定義",_xlfn.XLOOKUP(L106,B:B,C:C,"エラー")))</f>
        <v/>
      </c>
      <c r="N106" s="11" t="s">
        <v>48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customHeight="1">
      <c r="A107" s="9" t="s">
        <v>46</v>
      </c>
      <c r="B107" s="9" t="str">
        <f t="shared" ca="1" si="2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104</v>
      </c>
      <c r="G107" s="11" t="s">
        <v>105</v>
      </c>
      <c r="H107" s="11" t="s">
        <v>488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64</v>
      </c>
      <c r="J107" s="11"/>
      <c r="K107" s="11"/>
      <c r="L107" s="9"/>
      <c r="M107" s="11" t="str">
        <f>IF(K107="","",IF(L107="","参照先未定義",_xlfn.XLOOKUP(L107,B:B,C:C,"エラー")))</f>
        <v/>
      </c>
      <c r="N107" s="11" t="s">
        <v>48</v>
      </c>
      <c r="O107" s="11"/>
      <c r="P107" s="11" t="s">
        <v>106</v>
      </c>
      <c r="Q107" s="11"/>
      <c r="R107" s="9"/>
      <c r="S107" s="9"/>
      <c r="T107" s="9"/>
      <c r="U107" s="11"/>
    </row>
    <row r="108" spans="1:21" ht="18.75" customHeight="1">
      <c r="A108" s="9" t="s">
        <v>46</v>
      </c>
      <c r="B108" s="9" t="str">
        <f t="shared" ca="1" si="2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107</v>
      </c>
      <c r="G108" s="11" t="s">
        <v>108</v>
      </c>
      <c r="H108" s="11" t="s">
        <v>65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256</v>
      </c>
      <c r="J108" s="11"/>
      <c r="K108" s="11"/>
      <c r="L108" s="9"/>
      <c r="M108" s="11" t="str">
        <f>IF(K108="","",IF(L108="","参照先未定義",_xlfn.XLOOKUP(L108,B:B,C:C,"エラー")))</f>
        <v/>
      </c>
      <c r="N108" s="11" t="s">
        <v>48</v>
      </c>
      <c r="O108" s="11"/>
      <c r="P108" s="11" t="s">
        <v>109</v>
      </c>
      <c r="Q108" s="11"/>
      <c r="R108" s="9"/>
      <c r="S108" s="9"/>
      <c r="T108" s="9"/>
      <c r="U108" s="11" t="s">
        <v>110</v>
      </c>
    </row>
    <row r="109" spans="1:21" ht="18.75" customHeight="1">
      <c r="A109" s="9" t="s">
        <v>46</v>
      </c>
      <c r="B109" s="9" t="str">
        <f t="shared" ca="1" si="2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111</v>
      </c>
      <c r="G109" s="11" t="s">
        <v>112</v>
      </c>
      <c r="H109" s="11" t="s">
        <v>488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64</v>
      </c>
      <c r="J109" s="11"/>
      <c r="K109" s="11"/>
      <c r="L109" s="9"/>
      <c r="M109" s="11" t="str">
        <f>IF(K109="","",IF(L109="","参照先未定義",_xlfn.XLOOKUP(L109,B:B,C:C,"エラー")))</f>
        <v/>
      </c>
      <c r="N109" s="11" t="s">
        <v>48</v>
      </c>
      <c r="O109" s="11"/>
      <c r="P109" s="11" t="s">
        <v>106</v>
      </c>
      <c r="Q109" s="11"/>
      <c r="R109" s="9"/>
      <c r="S109" s="9"/>
      <c r="T109" s="9"/>
      <c r="U109" s="11"/>
    </row>
    <row r="110" spans="1:21" ht="18.75" customHeight="1">
      <c r="A110" s="9" t="s">
        <v>46</v>
      </c>
      <c r="B110" s="9" t="str">
        <f t="shared" ca="1" si="2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113</v>
      </c>
      <c r="G110" s="11" t="s">
        <v>114</v>
      </c>
      <c r="H110" s="11" t="s">
        <v>65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256</v>
      </c>
      <c r="J110" s="11"/>
      <c r="K110" s="11"/>
      <c r="L110" s="9"/>
      <c r="M110" s="11" t="str">
        <f>IF(K110="","",IF(L110="","参照先未定義",_xlfn.XLOOKUP(L110,B:B,C:C,"エラー")))</f>
        <v/>
      </c>
      <c r="N110" s="11" t="s">
        <v>48</v>
      </c>
      <c r="O110" s="11"/>
      <c r="P110" s="11" t="s">
        <v>109</v>
      </c>
      <c r="Q110" s="11"/>
      <c r="R110" s="9"/>
      <c r="S110" s="9"/>
      <c r="T110" s="9"/>
      <c r="U110" s="11" t="s">
        <v>110</v>
      </c>
    </row>
    <row r="111" spans="1:21" ht="18.75" customHeight="1">
      <c r="A111" s="9" t="s">
        <v>46</v>
      </c>
      <c r="B111" s="9" t="str">
        <f t="shared" ca="1" si="2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115</v>
      </c>
      <c r="G111" s="11" t="s">
        <v>116</v>
      </c>
      <c r="H111" s="11" t="s">
        <v>490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8</v>
      </c>
      <c r="J111" s="11"/>
      <c r="K111" s="11"/>
      <c r="L111" s="9"/>
      <c r="M111" s="11" t="str">
        <f>IF(K111="","",IF(L111="","参照先未定義",_xlfn.XLOOKUP(L111,B:B,C:C,"エラー")))</f>
        <v/>
      </c>
      <c r="N111" s="11" t="s">
        <v>48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customHeight="1">
      <c r="A112" s="9" t="s">
        <v>46</v>
      </c>
      <c r="B112" s="9" t="str">
        <f t="shared" si="2"/>
        <v>screen_word.screen_word_sequence_id</v>
      </c>
      <c r="C112" s="10">
        <f t="shared" si="0"/>
        <v>111</v>
      </c>
      <c r="D112" s="11" t="s">
        <v>188</v>
      </c>
      <c r="E112" s="11" t="s">
        <v>189</v>
      </c>
      <c r="F112" s="11" t="str">
        <f>D112&amp;"_sequence_id"</f>
        <v>screen_word_sequence_id</v>
      </c>
      <c r="G112" s="11" t="str">
        <f>E112&amp;"ID"</f>
        <v>画面文言ID</v>
      </c>
      <c r="H112" s="11" t="s">
        <v>552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32</v>
      </c>
      <c r="J112" s="11" t="s">
        <v>466</v>
      </c>
      <c r="K112" s="11"/>
      <c r="L112" s="9"/>
      <c r="M112" s="11" t="str">
        <f>IF(K112="","",IF(L112="","参照先未定義",_xlfn.XLOOKUP(L112,B:B,C:C,"エラー")))</f>
        <v/>
      </c>
      <c r="N112" s="11" t="s">
        <v>474</v>
      </c>
      <c r="O112" s="11" t="s">
        <v>474</v>
      </c>
      <c r="P112" s="11" t="s">
        <v>551</v>
      </c>
      <c r="Q112" s="11"/>
      <c r="R112" s="9"/>
      <c r="S112" s="9"/>
      <c r="T112" s="9"/>
      <c r="U112" s="11"/>
    </row>
    <row r="113" spans="1:21" ht="18.75" customHeight="1">
      <c r="A113" s="9" t="s">
        <v>46</v>
      </c>
      <c r="B113" s="9" t="str">
        <f t="shared" ca="1" si="2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181</v>
      </c>
      <c r="G113" s="11" t="s">
        <v>182</v>
      </c>
      <c r="H113" s="11" t="s">
        <v>99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32</v>
      </c>
      <c r="J113" s="11"/>
      <c r="K113" s="11" t="s">
        <v>48</v>
      </c>
      <c r="L113" s="9" t="s">
        <v>563</v>
      </c>
      <c r="M113" s="11">
        <f ca="1">IF(K113="","",IF(L113="","参照先未定義",_xlfn.XLOOKUP(L113,B:B,C:C,"エラー")))</f>
        <v>102</v>
      </c>
      <c r="N113" s="11"/>
      <c r="O113" s="11"/>
      <c r="P113" s="11"/>
      <c r="Q113" s="11" t="s">
        <v>580</v>
      </c>
      <c r="R113" s="9"/>
      <c r="S113" s="9"/>
      <c r="T113" s="9"/>
      <c r="U113" s="11"/>
    </row>
    <row r="114" spans="1:21" ht="18.75" customHeight="1">
      <c r="A114" s="9" t="s">
        <v>46</v>
      </c>
      <c r="B114" s="9" t="str">
        <f t="shared" ca="1" si="2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190</v>
      </c>
      <c r="G114" s="11" t="s">
        <v>191</v>
      </c>
      <c r="H114" s="11" t="s">
        <v>552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32</v>
      </c>
      <c r="J114" s="11"/>
      <c r="K114" s="11"/>
      <c r="L114" s="9"/>
      <c r="M114" s="11" t="str">
        <f>IF(K114="","",IF(L114="","参照先未定義",_xlfn.XLOOKUP(L114,B:B,C:C,"エラー")))</f>
        <v/>
      </c>
      <c r="N114" s="11" t="s">
        <v>453</v>
      </c>
      <c r="O114" s="11" t="s">
        <v>453</v>
      </c>
      <c r="P114" s="11"/>
      <c r="Q114" s="11" t="s">
        <v>578</v>
      </c>
      <c r="R114" s="9"/>
      <c r="S114" s="9"/>
      <c r="T114" s="9"/>
      <c r="U114" s="11"/>
    </row>
    <row r="115" spans="1:21" ht="18.75" customHeight="1">
      <c r="A115" s="9" t="s">
        <v>46</v>
      </c>
      <c r="B115" s="9" t="str">
        <f t="shared" ref="B115" ca="1" si="3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193</v>
      </c>
      <c r="G115" s="11" t="s">
        <v>194</v>
      </c>
      <c r="H115" s="11" t="s">
        <v>81</v>
      </c>
      <c r="I115" s="11" t="str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-</v>
      </c>
      <c r="J115" s="11"/>
      <c r="K115" s="11"/>
      <c r="L115" s="9"/>
      <c r="M115" s="11" t="str">
        <f>IF(K115="","",IF(L115="","参照先未定義",_xlfn.XLOOKUP(L115,B:B,C:C,"エラー")))</f>
        <v/>
      </c>
      <c r="N115" s="11"/>
      <c r="O115" s="11"/>
      <c r="P115" s="11"/>
      <c r="Q115" s="11" t="s">
        <v>494</v>
      </c>
      <c r="R115" s="9"/>
      <c r="S115" s="9"/>
      <c r="T115" s="9"/>
      <c r="U115" s="11"/>
    </row>
    <row r="116" spans="1:21" ht="18.75" customHeight="1">
      <c r="A116" s="9" t="s">
        <v>46</v>
      </c>
      <c r="B116" s="9" t="str">
        <f t="shared" ca="1" si="2"/>
        <v>screen_word.message_type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493</v>
      </c>
      <c r="G116" s="11" t="s">
        <v>492</v>
      </c>
      <c r="H116" s="11" t="s">
        <v>495</v>
      </c>
      <c r="I116" s="11" t="str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-</v>
      </c>
      <c r="J116" s="11"/>
      <c r="K116" s="11"/>
      <c r="L116" s="9"/>
      <c r="M116" s="11" t="str">
        <f>IF(K116="","",IF(L116="","参照先未定義",_xlfn.XLOOKUP(L116,B:B,C:C,"エラー")))</f>
        <v/>
      </c>
      <c r="N116" s="11"/>
      <c r="O116" s="11"/>
      <c r="P116" s="11"/>
      <c r="Q116" s="11" t="s">
        <v>570</v>
      </c>
      <c r="R116" s="9"/>
      <c r="S116" s="9"/>
      <c r="T116" s="9"/>
      <c r="U116" s="11" t="s">
        <v>496</v>
      </c>
    </row>
    <row r="117" spans="1:21" ht="18.75" customHeight="1">
      <c r="A117" s="9" t="s">
        <v>46</v>
      </c>
      <c r="B117" s="9" t="str">
        <f t="shared" ca="1" si="2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104</v>
      </c>
      <c r="G117" s="11" t="s">
        <v>105</v>
      </c>
      <c r="H117" s="11" t="s">
        <v>488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64</v>
      </c>
      <c r="J117" s="11"/>
      <c r="K117" s="11"/>
      <c r="L117" s="9"/>
      <c r="M117" s="11" t="str">
        <f>IF(K117="","",IF(L117="","参照先未定義",_xlfn.XLOOKUP(L117,B:B,C:C,"エラー")))</f>
        <v/>
      </c>
      <c r="N117" s="11" t="s">
        <v>48</v>
      </c>
      <c r="O117" s="11"/>
      <c r="P117" s="11" t="s">
        <v>106</v>
      </c>
      <c r="Q117" s="11"/>
      <c r="R117" s="9"/>
      <c r="S117" s="9"/>
      <c r="T117" s="9"/>
      <c r="U117" s="11"/>
    </row>
    <row r="118" spans="1:21" ht="18.75" customHeight="1">
      <c r="A118" s="9" t="s">
        <v>46</v>
      </c>
      <c r="B118" s="9" t="str">
        <f t="shared" ca="1" si="2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107</v>
      </c>
      <c r="G118" s="11" t="s">
        <v>108</v>
      </c>
      <c r="H118" s="11" t="s">
        <v>65</v>
      </c>
      <c r="I118" s="11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256</v>
      </c>
      <c r="J118" s="11"/>
      <c r="K118" s="11"/>
      <c r="L118" s="9"/>
      <c r="M118" s="11" t="str">
        <f>IF(K118="","",IF(L118="","参照先未定義",_xlfn.XLOOKUP(L118,B:B,C:C,"エラー")))</f>
        <v/>
      </c>
      <c r="N118" s="11" t="s">
        <v>48</v>
      </c>
      <c r="O118" s="11"/>
      <c r="P118" s="11" t="s">
        <v>109</v>
      </c>
      <c r="Q118" s="11"/>
      <c r="R118" s="9"/>
      <c r="S118" s="9"/>
      <c r="T118" s="9"/>
      <c r="U118" s="11" t="s">
        <v>110</v>
      </c>
    </row>
    <row r="119" spans="1:21" ht="18.75" customHeight="1">
      <c r="A119" s="9" t="s">
        <v>46</v>
      </c>
      <c r="B119" s="9" t="str">
        <f t="shared" ca="1" si="2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111</v>
      </c>
      <c r="G119" s="11" t="s">
        <v>112</v>
      </c>
      <c r="H119" s="11" t="s">
        <v>488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>IF(K119="","",IF(L119="","参照先未定義",_xlfn.XLOOKUP(L119,B:B,C:C,"エラー")))</f>
        <v/>
      </c>
      <c r="N119" s="11" t="s">
        <v>48</v>
      </c>
      <c r="O119" s="11"/>
      <c r="P119" s="11" t="s">
        <v>106</v>
      </c>
      <c r="Q119" s="11"/>
      <c r="R119" s="9"/>
      <c r="S119" s="9"/>
      <c r="T119" s="9"/>
      <c r="U119" s="11"/>
    </row>
    <row r="120" spans="1:21" ht="18.75" customHeight="1">
      <c r="A120" s="9" t="s">
        <v>46</v>
      </c>
      <c r="B120" s="9" t="str">
        <f t="shared" ca="1" si="2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113</v>
      </c>
      <c r="G120" s="11" t="s">
        <v>114</v>
      </c>
      <c r="H120" s="11" t="s">
        <v>65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>IF(K120="","",IF(L120="","参照先未定義",_xlfn.XLOOKUP(L120,B:B,C:C,"エラー")))</f>
        <v/>
      </c>
      <c r="N120" s="11" t="s">
        <v>48</v>
      </c>
      <c r="O120" s="11"/>
      <c r="P120" s="11" t="s">
        <v>109</v>
      </c>
      <c r="Q120" s="11"/>
      <c r="R120" s="9"/>
      <c r="S120" s="9"/>
      <c r="T120" s="9"/>
      <c r="U120" s="11" t="s">
        <v>110</v>
      </c>
    </row>
    <row r="121" spans="1:21" ht="18.75" customHeight="1">
      <c r="A121" s="9" t="s">
        <v>46</v>
      </c>
      <c r="B121" s="9" t="str">
        <f t="shared" ca="1" si="2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115</v>
      </c>
      <c r="G121" s="11" t="s">
        <v>116</v>
      </c>
      <c r="H121" s="11" t="s">
        <v>490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8</v>
      </c>
      <c r="J121" s="11"/>
      <c r="K121" s="11"/>
      <c r="L121" s="9"/>
      <c r="M121" s="11" t="str">
        <f>IF(K121="","",IF(L121="","参照先未定義",_xlfn.XLOOKUP(L121,B:B,C:C,"エラー")))</f>
        <v/>
      </c>
      <c r="N121" s="11" t="s">
        <v>48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customHeight="1">
      <c r="A122" s="9" t="s">
        <v>46</v>
      </c>
      <c r="B122" s="9" t="str">
        <f t="shared" si="2"/>
        <v>sns_support.sns_support_sequence_id</v>
      </c>
      <c r="C122" s="10">
        <f t="shared" si="0"/>
        <v>121</v>
      </c>
      <c r="D122" s="11" t="s">
        <v>195</v>
      </c>
      <c r="E122" s="11" t="s">
        <v>196</v>
      </c>
      <c r="F122" s="11" t="str">
        <f>D122&amp;"_sequence_id"</f>
        <v>sns_support_sequence_id</v>
      </c>
      <c r="G122" s="11" t="str">
        <f>E122&amp;"ID"</f>
        <v>サポートするSNSID</v>
      </c>
      <c r="H122" s="11" t="s">
        <v>552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32</v>
      </c>
      <c r="J122" s="11" t="s">
        <v>453</v>
      </c>
      <c r="K122" s="11"/>
      <c r="L122" s="9"/>
      <c r="M122" s="11" t="str">
        <f>IF(K122="","",IF(L122="","参照先未定義",_xlfn.XLOOKUP(L122,B:B,C:C,"エラー")))</f>
        <v/>
      </c>
      <c r="N122" s="11" t="s">
        <v>474</v>
      </c>
      <c r="O122" s="11" t="s">
        <v>474</v>
      </c>
      <c r="P122" s="11" t="s">
        <v>551</v>
      </c>
      <c r="Q122" s="11"/>
      <c r="R122" s="9"/>
      <c r="S122" s="9"/>
      <c r="T122" s="9"/>
      <c r="U122" s="11"/>
    </row>
    <row r="123" spans="1:21" ht="18.75" customHeight="1">
      <c r="A123" s="9" t="s">
        <v>46</v>
      </c>
      <c r="B123" s="9" t="str">
        <f t="shared" ca="1" si="2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197</v>
      </c>
      <c r="G123" s="11" t="s">
        <v>198</v>
      </c>
      <c r="H123" s="11" t="s">
        <v>65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256</v>
      </c>
      <c r="J123" s="11"/>
      <c r="K123" s="11"/>
      <c r="L123" s="9"/>
      <c r="M123" s="11" t="str">
        <f>IF(K123="","",IF(L123="","参照先未定義",_xlfn.XLOOKUP(L123,B:B,C:C,"エラー")))</f>
        <v/>
      </c>
      <c r="N123" s="11" t="s">
        <v>466</v>
      </c>
      <c r="O123" s="11" t="s">
        <v>466</v>
      </c>
      <c r="P123" s="11"/>
      <c r="Q123" s="11"/>
      <c r="R123" s="9"/>
      <c r="S123" s="9"/>
      <c r="T123" s="9"/>
      <c r="U123" s="11"/>
    </row>
    <row r="124" spans="1:21" ht="18.75" customHeight="1">
      <c r="A124" s="9" t="s">
        <v>46</v>
      </c>
      <c r="B124" s="9" t="str">
        <f t="shared" ca="1" si="2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199</v>
      </c>
      <c r="G124" s="11" t="s">
        <v>200</v>
      </c>
      <c r="H124" s="11" t="s">
        <v>99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32</v>
      </c>
      <c r="J124" s="11"/>
      <c r="K124" s="11" t="s">
        <v>48</v>
      </c>
      <c r="L124" s="9" t="s">
        <v>564</v>
      </c>
      <c r="M124" s="11">
        <f ca="1">IF(K124="","",IF(L124="","参照先未定義",_xlfn.XLOOKUP(L124,B:B,C:C,"エラー")))</f>
        <v>192</v>
      </c>
      <c r="N124" s="11" t="s">
        <v>48</v>
      </c>
      <c r="O124" s="11"/>
      <c r="P124" s="11"/>
      <c r="Q124" s="11" t="s">
        <v>581</v>
      </c>
      <c r="R124" s="9"/>
      <c r="S124" s="9"/>
      <c r="T124" s="9"/>
      <c r="U124" s="11" t="s">
        <v>201</v>
      </c>
    </row>
    <row r="125" spans="1:21" ht="18.75" customHeight="1">
      <c r="A125" s="9" t="s">
        <v>46</v>
      </c>
      <c r="B125" s="9" t="str">
        <f t="shared" ca="1" si="2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202</v>
      </c>
      <c r="G125" s="11" t="s">
        <v>203</v>
      </c>
      <c r="H125" s="11" t="s">
        <v>490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8</v>
      </c>
      <c r="J125" s="11"/>
      <c r="K125" s="11"/>
      <c r="L125" s="9"/>
      <c r="M125" s="11" t="str">
        <f>IF(K125="","",IF(L125="","参照先未定義",_xlfn.XLOOKUP(L125,B:B,C:C,"エラー")))</f>
        <v/>
      </c>
      <c r="N125" s="11" t="s">
        <v>48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customHeight="1">
      <c r="A126" s="9" t="s">
        <v>46</v>
      </c>
      <c r="B126" s="9" t="str">
        <f t="shared" ref="B126:B178" ca="1" si="4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204</v>
      </c>
      <c r="G126" s="11" t="s">
        <v>205</v>
      </c>
      <c r="H126" s="11" t="s">
        <v>490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8</v>
      </c>
      <c r="J126" s="11"/>
      <c r="K126" s="11"/>
      <c r="L126" s="9"/>
      <c r="M126" s="11" t="str">
        <f>IF(K126="","",IF(L126="","参照先未定義",_xlfn.XLOOKUP(L126,B:B,C:C,"エラー")))</f>
        <v/>
      </c>
      <c r="N126" s="11" t="s">
        <v>48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>
      <c r="A127" s="9" t="s">
        <v>46</v>
      </c>
      <c r="B127" s="9" t="str">
        <f t="shared" ca="1" si="4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104</v>
      </c>
      <c r="G127" s="11" t="s">
        <v>105</v>
      </c>
      <c r="H127" s="11" t="s">
        <v>488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64</v>
      </c>
      <c r="J127" s="11"/>
      <c r="K127" s="11"/>
      <c r="L127" s="9"/>
      <c r="M127" s="11" t="str">
        <f>IF(K127="","",IF(L127="","参照先未定義",_xlfn.XLOOKUP(L127,B:B,C:C,"エラー")))</f>
        <v/>
      </c>
      <c r="N127" s="11" t="s">
        <v>48</v>
      </c>
      <c r="O127" s="11"/>
      <c r="P127" s="11" t="s">
        <v>106</v>
      </c>
      <c r="Q127" s="11"/>
      <c r="R127" s="9"/>
      <c r="S127" s="9"/>
      <c r="T127" s="9"/>
      <c r="U127" s="11"/>
    </row>
    <row r="128" spans="1:21" ht="18.75" customHeight="1">
      <c r="A128" s="9" t="s">
        <v>46</v>
      </c>
      <c r="B128" s="9" t="str">
        <f t="shared" ca="1" si="4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107</v>
      </c>
      <c r="G128" s="11" t="s">
        <v>108</v>
      </c>
      <c r="H128" s="11" t="s">
        <v>65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256</v>
      </c>
      <c r="J128" s="11"/>
      <c r="K128" s="11"/>
      <c r="L128" s="9"/>
      <c r="M128" s="11" t="str">
        <f>IF(K128="","",IF(L128="","参照先未定義",_xlfn.XLOOKUP(L128,B:B,C:C,"エラー")))</f>
        <v/>
      </c>
      <c r="N128" s="11" t="s">
        <v>48</v>
      </c>
      <c r="O128" s="11"/>
      <c r="P128" s="11" t="s">
        <v>109</v>
      </c>
      <c r="Q128" s="11"/>
      <c r="R128" s="9"/>
      <c r="S128" s="9"/>
      <c r="T128" s="9"/>
      <c r="U128" s="11" t="s">
        <v>110</v>
      </c>
    </row>
    <row r="129" spans="1:21" ht="18.75" customHeight="1">
      <c r="A129" s="9" t="s">
        <v>46</v>
      </c>
      <c r="B129" s="9" t="str">
        <f t="shared" ca="1" si="4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111</v>
      </c>
      <c r="G129" s="11" t="s">
        <v>112</v>
      </c>
      <c r="H129" s="11" t="s">
        <v>488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64</v>
      </c>
      <c r="J129" s="11"/>
      <c r="K129" s="11"/>
      <c r="L129" s="9"/>
      <c r="M129" s="11" t="str">
        <f>IF(K129="","",IF(L129="","参照先未定義",_xlfn.XLOOKUP(L129,B:B,C:C,"エラー")))</f>
        <v/>
      </c>
      <c r="N129" s="11" t="s">
        <v>48</v>
      </c>
      <c r="O129" s="11"/>
      <c r="P129" s="11" t="s">
        <v>106</v>
      </c>
      <c r="Q129" s="11"/>
      <c r="R129" s="9"/>
      <c r="S129" s="9"/>
      <c r="T129" s="9"/>
      <c r="U129" s="11"/>
    </row>
    <row r="130" spans="1:21" ht="18.75" customHeight="1">
      <c r="A130" s="9" t="s">
        <v>46</v>
      </c>
      <c r="B130" s="9" t="str">
        <f t="shared" ca="1" si="4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113</v>
      </c>
      <c r="G130" s="11" t="s">
        <v>114</v>
      </c>
      <c r="H130" s="11" t="s">
        <v>65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256</v>
      </c>
      <c r="J130" s="11"/>
      <c r="K130" s="11"/>
      <c r="L130" s="9"/>
      <c r="M130" s="11" t="str">
        <f>IF(K130="","",IF(L130="","参照先未定義",_xlfn.XLOOKUP(L130,B:B,C:C,"エラー")))</f>
        <v/>
      </c>
      <c r="N130" s="11" t="s">
        <v>48</v>
      </c>
      <c r="O130" s="11"/>
      <c r="P130" s="11" t="s">
        <v>109</v>
      </c>
      <c r="Q130" s="11"/>
      <c r="R130" s="9"/>
      <c r="S130" s="9"/>
      <c r="T130" s="9"/>
      <c r="U130" s="11" t="s">
        <v>110</v>
      </c>
    </row>
    <row r="131" spans="1:21" ht="18.75" customHeight="1">
      <c r="A131" s="9" t="s">
        <v>46</v>
      </c>
      <c r="B131" s="9" t="str">
        <f t="shared" ca="1" si="4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115</v>
      </c>
      <c r="G131" s="11" t="s">
        <v>116</v>
      </c>
      <c r="H131" s="11" t="s">
        <v>490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8</v>
      </c>
      <c r="J131" s="11"/>
      <c r="K131" s="11"/>
      <c r="L131" s="9"/>
      <c r="M131" s="11" t="str">
        <f>IF(K131="","",IF(L131="","参照先未定義",_xlfn.XLOOKUP(L131,B:B,C:C,"エラー")))</f>
        <v/>
      </c>
      <c r="N131" s="11" t="s">
        <v>48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customHeight="1">
      <c r="A132" s="9" t="s">
        <v>46</v>
      </c>
      <c r="B132" s="9" t="str">
        <f t="shared" si="4"/>
        <v>profile_report.profile_report_sequence_id</v>
      </c>
      <c r="C132" s="10">
        <f t="shared" si="0"/>
        <v>131</v>
      </c>
      <c r="D132" s="11" t="s">
        <v>206</v>
      </c>
      <c r="E132" s="11" t="s">
        <v>207</v>
      </c>
      <c r="F132" s="11" t="str">
        <f>D132&amp;"_sequence_id"</f>
        <v>profile_report_sequence_id</v>
      </c>
      <c r="G132" s="11" t="str">
        <f>E132&amp;"ID"</f>
        <v>プロフィール通報ID</v>
      </c>
      <c r="H132" s="11" t="s">
        <v>552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32</v>
      </c>
      <c r="J132" s="11" t="s">
        <v>453</v>
      </c>
      <c r="K132" s="11"/>
      <c r="L132" s="9"/>
      <c r="M132" s="11" t="str">
        <f>IF(K132="","",IF(L132="","参照先未定義",_xlfn.XLOOKUP(L132,B:B,C:C,"エラー")))</f>
        <v/>
      </c>
      <c r="N132" s="11" t="s">
        <v>474</v>
      </c>
      <c r="O132" s="11" t="s">
        <v>474</v>
      </c>
      <c r="P132" s="11" t="s">
        <v>551</v>
      </c>
      <c r="Q132" s="11"/>
      <c r="R132" s="9"/>
      <c r="S132" s="9"/>
      <c r="T132" s="9"/>
      <c r="U132" s="11"/>
    </row>
    <row r="133" spans="1:21" ht="18.75" customHeight="1">
      <c r="A133" s="9" t="s">
        <v>46</v>
      </c>
      <c r="B133" s="9" t="str">
        <f t="shared" ca="1" si="4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53</v>
      </c>
      <c r="G133" s="11" t="s">
        <v>54</v>
      </c>
      <c r="H133" s="11" t="s">
        <v>99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32</v>
      </c>
      <c r="J133" s="11"/>
      <c r="K133" s="11" t="s">
        <v>48</v>
      </c>
      <c r="L133" s="9" t="s">
        <v>555</v>
      </c>
      <c r="M133" s="11">
        <f ca="1">IF(K133="","",IF(L133="","参照先未定義",_xlfn.XLOOKUP(L133,B:B,C:C,"エラー")))</f>
        <v>149</v>
      </c>
      <c r="N133" s="11"/>
      <c r="O133" s="11"/>
      <c r="P133" s="11"/>
      <c r="Q133" s="11" t="s">
        <v>582</v>
      </c>
      <c r="R133" s="9"/>
      <c r="S133" s="9"/>
      <c r="T133" s="9"/>
      <c r="U133" s="11"/>
    </row>
    <row r="134" spans="1:21" ht="18.75" customHeight="1">
      <c r="A134" s="9" t="s">
        <v>46</v>
      </c>
      <c r="B134" s="9" t="str">
        <f t="shared" ca="1" si="4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49</v>
      </c>
      <c r="G134" s="11" t="s">
        <v>50</v>
      </c>
      <c r="H134" s="11" t="s">
        <v>99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32</v>
      </c>
      <c r="J134" s="11"/>
      <c r="K134" s="11" t="s">
        <v>48</v>
      </c>
      <c r="L134" s="9" t="s">
        <v>558</v>
      </c>
      <c r="M134" s="11">
        <f>IF(K134="","",IF(L134="","参照先未定義",_xlfn.XLOOKUP(L134,B:B,C:C,"エラー")))</f>
        <v>1</v>
      </c>
      <c r="N134" s="11" t="s">
        <v>48</v>
      </c>
      <c r="O134" s="11"/>
      <c r="P134" s="11"/>
      <c r="Q134" s="11" t="s">
        <v>582</v>
      </c>
      <c r="R134" s="9"/>
      <c r="S134" s="9"/>
      <c r="T134" s="9"/>
      <c r="U134" s="11"/>
    </row>
    <row r="135" spans="1:21" ht="18.75" customHeight="1">
      <c r="A135" s="9" t="s">
        <v>46</v>
      </c>
      <c r="B135" s="9" t="str">
        <f t="shared" ca="1" si="4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208</v>
      </c>
      <c r="G135" s="11" t="s">
        <v>209</v>
      </c>
      <c r="H135" s="11" t="s">
        <v>99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32</v>
      </c>
      <c r="J135" s="11"/>
      <c r="K135" s="11" t="s">
        <v>48</v>
      </c>
      <c r="L135" s="9" t="s">
        <v>565</v>
      </c>
      <c r="M135" s="11">
        <f ca="1">IF(K135="","",IF(L135="","参照先未定義",_xlfn.XLOOKUP(L135,B:B,C:C,"エラー")))</f>
        <v>142</v>
      </c>
      <c r="N135" s="11" t="s">
        <v>48</v>
      </c>
      <c r="O135" s="11"/>
      <c r="P135" s="11"/>
      <c r="Q135" s="11" t="s">
        <v>582</v>
      </c>
      <c r="R135" s="9" t="s">
        <v>48</v>
      </c>
      <c r="S135" s="9"/>
      <c r="T135" s="9"/>
      <c r="U135" s="11"/>
    </row>
    <row r="136" spans="1:21" ht="18.75" customHeight="1">
      <c r="A136" s="9" t="s">
        <v>46</v>
      </c>
      <c r="B136" s="9" t="str">
        <f t="shared" ca="1" si="4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210</v>
      </c>
      <c r="G136" s="11" t="s">
        <v>211</v>
      </c>
      <c r="H136" s="11" t="s">
        <v>81</v>
      </c>
      <c r="I136" s="11" t="str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-</v>
      </c>
      <c r="J136" s="11"/>
      <c r="K136" s="11"/>
      <c r="L136" s="9"/>
      <c r="M136" s="11" t="str">
        <f>IF(K136="","",IF(L136="","参照先未定義",_xlfn.XLOOKUP(L136,B:B,C:C,"エラー")))</f>
        <v/>
      </c>
      <c r="N136" s="11" t="s">
        <v>48</v>
      </c>
      <c r="O136" s="11"/>
      <c r="P136" s="11"/>
      <c r="Q136" s="11"/>
      <c r="R136" s="9" t="s">
        <v>48</v>
      </c>
      <c r="S136" s="9"/>
      <c r="T136" s="9"/>
      <c r="U136" s="11"/>
    </row>
    <row r="137" spans="1:21" ht="18.75" customHeight="1">
      <c r="A137" s="9" t="s">
        <v>46</v>
      </c>
      <c r="B137" s="9" t="str">
        <f t="shared" ca="1" si="4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212</v>
      </c>
      <c r="G137" s="11" t="s">
        <v>213</v>
      </c>
      <c r="H137" s="11" t="s">
        <v>488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64</v>
      </c>
      <c r="J137" s="11"/>
      <c r="K137" s="11"/>
      <c r="L137" s="9"/>
      <c r="M137" s="11" t="str">
        <f>IF(K137="","",IF(L137="","参照先未定義",_xlfn.XLOOKUP(L137,B:B,C:C,"エラー")))</f>
        <v/>
      </c>
      <c r="N137" s="11" t="s">
        <v>48</v>
      </c>
      <c r="O137" s="11"/>
      <c r="P137" s="11" t="s">
        <v>106</v>
      </c>
      <c r="Q137" s="11"/>
      <c r="R137" s="9"/>
      <c r="S137" s="9"/>
      <c r="T137" s="9"/>
      <c r="U137" s="11"/>
    </row>
    <row r="138" spans="1:21" ht="18.75" customHeight="1">
      <c r="A138" s="9" t="s">
        <v>46</v>
      </c>
      <c r="B138" s="9" t="str">
        <f t="shared" ca="1" si="4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104</v>
      </c>
      <c r="G138" s="11" t="s">
        <v>105</v>
      </c>
      <c r="H138" s="11" t="s">
        <v>488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64</v>
      </c>
      <c r="J138" s="11"/>
      <c r="K138" s="11"/>
      <c r="L138" s="9"/>
      <c r="M138" s="11" t="str">
        <f>IF(K138="","",IF(L138="","参照先未定義",_xlfn.XLOOKUP(L138,B:B,C:C,"エラー")))</f>
        <v/>
      </c>
      <c r="N138" s="11" t="s">
        <v>48</v>
      </c>
      <c r="O138" s="11"/>
      <c r="P138" s="11" t="s">
        <v>106</v>
      </c>
      <c r="Q138" s="11"/>
      <c r="R138" s="9"/>
      <c r="S138" s="9"/>
      <c r="T138" s="9"/>
      <c r="U138" s="11"/>
    </row>
    <row r="139" spans="1:21" ht="18.75" customHeight="1">
      <c r="A139" s="9" t="s">
        <v>46</v>
      </c>
      <c r="B139" s="9" t="str">
        <f t="shared" ca="1" si="4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107</v>
      </c>
      <c r="G139" s="11" t="s">
        <v>108</v>
      </c>
      <c r="H139" s="11" t="s">
        <v>65</v>
      </c>
      <c r="I139" s="11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256</v>
      </c>
      <c r="J139" s="11"/>
      <c r="K139" s="11"/>
      <c r="L139" s="9"/>
      <c r="M139" s="11" t="str">
        <f>IF(K139="","",IF(L139="","参照先未定義",_xlfn.XLOOKUP(L139,B:B,C:C,"エラー")))</f>
        <v/>
      </c>
      <c r="N139" s="11" t="s">
        <v>48</v>
      </c>
      <c r="O139" s="11"/>
      <c r="P139" s="11" t="s">
        <v>109</v>
      </c>
      <c r="Q139" s="11"/>
      <c r="R139" s="9"/>
      <c r="S139" s="9"/>
      <c r="T139" s="9"/>
      <c r="U139" s="11" t="s">
        <v>110</v>
      </c>
    </row>
    <row r="140" spans="1:21" ht="18.75" customHeight="1">
      <c r="A140" s="9" t="s">
        <v>46</v>
      </c>
      <c r="B140" s="9" t="str">
        <f t="shared" ca="1" si="4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111</v>
      </c>
      <c r="G140" s="11" t="s">
        <v>112</v>
      </c>
      <c r="H140" s="11" t="s">
        <v>488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>IF(K140="","",IF(L140="","参照先未定義",_xlfn.XLOOKUP(L140,B:B,C:C,"エラー")))</f>
        <v/>
      </c>
      <c r="N140" s="11" t="s">
        <v>48</v>
      </c>
      <c r="O140" s="11"/>
      <c r="P140" s="11" t="s">
        <v>106</v>
      </c>
      <c r="Q140" s="11"/>
      <c r="R140" s="9"/>
      <c r="S140" s="9"/>
      <c r="T140" s="9"/>
      <c r="U140" s="11"/>
    </row>
    <row r="141" spans="1:21" ht="18.75" customHeight="1">
      <c r="A141" s="9" t="s">
        <v>46</v>
      </c>
      <c r="B141" s="9" t="str">
        <f t="shared" ca="1" si="4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113</v>
      </c>
      <c r="G141" s="11" t="s">
        <v>114</v>
      </c>
      <c r="H141" s="11" t="s">
        <v>65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256</v>
      </c>
      <c r="J141" s="11"/>
      <c r="K141" s="11"/>
      <c r="L141" s="9"/>
      <c r="M141" s="11" t="str">
        <f>IF(K141="","",IF(L141="","参照先未定義",_xlfn.XLOOKUP(L141,B:B,C:C,"エラー")))</f>
        <v/>
      </c>
      <c r="N141" s="11" t="s">
        <v>48</v>
      </c>
      <c r="O141" s="11"/>
      <c r="P141" s="11" t="s">
        <v>109</v>
      </c>
      <c r="Q141" s="11"/>
      <c r="R141" s="9"/>
      <c r="S141" s="9"/>
      <c r="T141" s="9"/>
      <c r="U141" s="11" t="s">
        <v>110</v>
      </c>
    </row>
    <row r="142" spans="1:21" ht="18.75" customHeight="1">
      <c r="A142" s="9" t="s">
        <v>46</v>
      </c>
      <c r="B142" s="9" t="str">
        <f t="shared" ca="1" si="4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115</v>
      </c>
      <c r="G142" s="11" t="s">
        <v>116</v>
      </c>
      <c r="H142" s="11" t="s">
        <v>490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8</v>
      </c>
      <c r="J142" s="11"/>
      <c r="K142" s="11"/>
      <c r="L142" s="9"/>
      <c r="M142" s="11" t="str">
        <f>IF(K142="","",IF(L142="","参照先未定義",_xlfn.XLOOKUP(L142,B:B,C:C,"エラー")))</f>
        <v/>
      </c>
      <c r="N142" s="11" t="s">
        <v>48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customHeight="1">
      <c r="A143" s="9" t="s">
        <v>46</v>
      </c>
      <c r="B143" s="9" t="str">
        <f t="shared" si="4"/>
        <v>report_reason.report_reason_sequence_id</v>
      </c>
      <c r="C143" s="10">
        <f t="shared" si="0"/>
        <v>142</v>
      </c>
      <c r="D143" s="11" t="s">
        <v>214</v>
      </c>
      <c r="E143" s="11" t="s">
        <v>215</v>
      </c>
      <c r="F143" s="11" t="str">
        <f>D143&amp;"_sequence_id"</f>
        <v>report_reason_sequence_id</v>
      </c>
      <c r="G143" s="11" t="str">
        <f>E143&amp;"ID"</f>
        <v>通報理由ID</v>
      </c>
      <c r="H143" s="11" t="s">
        <v>552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32</v>
      </c>
      <c r="J143" s="11" t="s">
        <v>453</v>
      </c>
      <c r="K143" s="11"/>
      <c r="L143" s="9"/>
      <c r="M143" s="11" t="str">
        <f>IF(K143="","",IF(L143="","参照先未定義",_xlfn.XLOOKUP(L143,B:B,C:C,"エラー")))</f>
        <v/>
      </c>
      <c r="N143" s="11" t="s">
        <v>474</v>
      </c>
      <c r="O143" s="11" t="s">
        <v>474</v>
      </c>
      <c r="P143" s="11" t="s">
        <v>551</v>
      </c>
      <c r="Q143" s="11"/>
      <c r="R143" s="9"/>
      <c r="S143" s="9"/>
      <c r="T143" s="9"/>
      <c r="U143" s="11"/>
    </row>
    <row r="144" spans="1:21" ht="18.75" customHeight="1">
      <c r="A144" s="9" t="s">
        <v>46</v>
      </c>
      <c r="B144" s="9" t="str">
        <f t="shared" ca="1" si="4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208</v>
      </c>
      <c r="G144" s="11" t="s">
        <v>209</v>
      </c>
      <c r="H144" s="11" t="s">
        <v>71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128</v>
      </c>
      <c r="J144" s="11"/>
      <c r="K144" s="11"/>
      <c r="L144" s="9"/>
      <c r="M144" s="11" t="str">
        <f>IF(K144="","",IF(L144="","参照先未定義",_xlfn.XLOOKUP(L144,B:B,C:C,"エラー")))</f>
        <v/>
      </c>
      <c r="N144" s="11" t="s">
        <v>466</v>
      </c>
      <c r="O144" s="11" t="s">
        <v>466</v>
      </c>
      <c r="P144" s="11"/>
      <c r="Q144" s="11"/>
      <c r="R144" s="9"/>
      <c r="S144" s="9"/>
      <c r="T144" s="9"/>
      <c r="U144" s="11" t="s">
        <v>499</v>
      </c>
    </row>
    <row r="145" spans="1:21" ht="18.75" customHeight="1">
      <c r="A145" s="9" t="s">
        <v>46</v>
      </c>
      <c r="B145" s="9" t="str">
        <f t="shared" ca="1" si="4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104</v>
      </c>
      <c r="G145" s="11" t="s">
        <v>105</v>
      </c>
      <c r="H145" s="11" t="s">
        <v>488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64</v>
      </c>
      <c r="J145" s="11"/>
      <c r="K145" s="11"/>
      <c r="L145" s="9"/>
      <c r="M145" s="11" t="str">
        <f>IF(K145="","",IF(L145="","参照先未定義",_xlfn.XLOOKUP(L145,B:B,C:C,"エラー")))</f>
        <v/>
      </c>
      <c r="N145" s="11" t="s">
        <v>48</v>
      </c>
      <c r="O145" s="11"/>
      <c r="P145" s="11" t="s">
        <v>106</v>
      </c>
      <c r="Q145" s="11"/>
      <c r="R145" s="9"/>
      <c r="S145" s="9"/>
      <c r="T145" s="9"/>
      <c r="U145" s="11"/>
    </row>
    <row r="146" spans="1:21" ht="18.75" customHeight="1">
      <c r="A146" s="9" t="s">
        <v>46</v>
      </c>
      <c r="B146" s="9" t="str">
        <f t="shared" ca="1" si="4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107</v>
      </c>
      <c r="G146" s="11" t="s">
        <v>108</v>
      </c>
      <c r="H146" s="11" t="s">
        <v>65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256</v>
      </c>
      <c r="J146" s="11"/>
      <c r="K146" s="11"/>
      <c r="L146" s="9"/>
      <c r="M146" s="11" t="str">
        <f>IF(K146="","",IF(L146="","参照先未定義",_xlfn.XLOOKUP(L146,B:B,C:C,"エラー")))</f>
        <v/>
      </c>
      <c r="N146" s="11" t="s">
        <v>48</v>
      </c>
      <c r="O146" s="11"/>
      <c r="P146" s="11" t="s">
        <v>109</v>
      </c>
      <c r="Q146" s="11"/>
      <c r="R146" s="9"/>
      <c r="S146" s="9"/>
      <c r="T146" s="9"/>
      <c r="U146" s="11" t="s">
        <v>110</v>
      </c>
    </row>
    <row r="147" spans="1:21" ht="18.75" customHeight="1">
      <c r="A147" s="9" t="s">
        <v>46</v>
      </c>
      <c r="B147" s="9" t="str">
        <f t="shared" ca="1" si="4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111</v>
      </c>
      <c r="G147" s="11" t="s">
        <v>112</v>
      </c>
      <c r="H147" s="11" t="s">
        <v>488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64</v>
      </c>
      <c r="J147" s="11"/>
      <c r="K147" s="11"/>
      <c r="L147" s="9"/>
      <c r="M147" s="11" t="str">
        <f>IF(K147="","",IF(L147="","参照先未定義",_xlfn.XLOOKUP(L147,B:B,C:C,"エラー")))</f>
        <v/>
      </c>
      <c r="N147" s="11" t="s">
        <v>48</v>
      </c>
      <c r="O147" s="11"/>
      <c r="P147" s="11" t="s">
        <v>106</v>
      </c>
      <c r="Q147" s="11"/>
      <c r="R147" s="9"/>
      <c r="S147" s="9"/>
      <c r="T147" s="9"/>
      <c r="U147" s="11"/>
    </row>
    <row r="148" spans="1:21" ht="18.75" customHeight="1">
      <c r="A148" s="9" t="s">
        <v>46</v>
      </c>
      <c r="B148" s="9" t="str">
        <f t="shared" ca="1" si="4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113</v>
      </c>
      <c r="G148" s="11" t="s">
        <v>114</v>
      </c>
      <c r="H148" s="11" t="s">
        <v>65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256</v>
      </c>
      <c r="J148" s="11"/>
      <c r="K148" s="11"/>
      <c r="L148" s="9"/>
      <c r="M148" s="11" t="str">
        <f>IF(K148="","",IF(L148="","参照先未定義",_xlfn.XLOOKUP(L148,B:B,C:C,"エラー")))</f>
        <v/>
      </c>
      <c r="N148" s="11" t="s">
        <v>48</v>
      </c>
      <c r="O148" s="11"/>
      <c r="P148" s="11" t="s">
        <v>109</v>
      </c>
      <c r="Q148" s="11"/>
      <c r="R148" s="9"/>
      <c r="S148" s="9"/>
      <c r="T148" s="9"/>
      <c r="U148" s="11" t="s">
        <v>110</v>
      </c>
    </row>
    <row r="149" spans="1:21" ht="18.75" customHeight="1">
      <c r="A149" s="9" t="s">
        <v>46</v>
      </c>
      <c r="B149" s="9" t="str">
        <f t="shared" ca="1" si="4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115</v>
      </c>
      <c r="G149" s="11" t="s">
        <v>116</v>
      </c>
      <c r="H149" s="11" t="s">
        <v>490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8</v>
      </c>
      <c r="J149" s="11"/>
      <c r="K149" s="11"/>
      <c r="L149" s="9"/>
      <c r="M149" s="11" t="str">
        <f>IF(K149="","",IF(L149="","参照先未定義",_xlfn.XLOOKUP(L149,B:B,C:C,"エラー")))</f>
        <v/>
      </c>
      <c r="N149" s="11" t="s">
        <v>48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customHeight="1">
      <c r="A150" s="9" t="s">
        <v>46</v>
      </c>
      <c r="B150" s="9" t="str">
        <f t="shared" si="4"/>
        <v>users.users_sequence_id</v>
      </c>
      <c r="C150" s="10">
        <f t="shared" si="0"/>
        <v>149</v>
      </c>
      <c r="D150" s="11" t="s">
        <v>468</v>
      </c>
      <c r="E150" s="11" t="s">
        <v>216</v>
      </c>
      <c r="F150" s="11" t="str">
        <f>D150&amp;"_sequence_id"</f>
        <v>users_sequence_id</v>
      </c>
      <c r="G150" s="11" t="str">
        <f>E150&amp;"ID"</f>
        <v>ユーザーID</v>
      </c>
      <c r="H150" s="11" t="s">
        <v>552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32</v>
      </c>
      <c r="J150" s="11" t="s">
        <v>453</v>
      </c>
      <c r="K150" s="11"/>
      <c r="L150" s="9"/>
      <c r="M150" s="11" t="str">
        <f>IF(K150="","",IF(L150="","参照先未定義",_xlfn.XLOOKUP(L150,B:B,C:C,"エラー")))</f>
        <v/>
      </c>
      <c r="N150" s="11" t="s">
        <v>474</v>
      </c>
      <c r="O150" s="11" t="s">
        <v>474</v>
      </c>
      <c r="P150" s="11" t="s">
        <v>551</v>
      </c>
      <c r="Q150" s="11"/>
      <c r="R150" s="9"/>
      <c r="S150" s="9"/>
      <c r="T150" s="9"/>
      <c r="U150" s="11"/>
    </row>
    <row r="151" spans="1:21" ht="18.75" customHeight="1">
      <c r="A151" s="9" t="s">
        <v>46</v>
      </c>
      <c r="B151" s="9" t="str">
        <f t="shared" ca="1" si="4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569</v>
      </c>
      <c r="G151" s="11" t="s">
        <v>54</v>
      </c>
      <c r="H151" s="11" t="s">
        <v>51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>IF(K151="","",IF(L151="","参照先未定義",_xlfn.XLOOKUP(L151,B:B,C:C,"エラー")))</f>
        <v/>
      </c>
      <c r="N151" s="11" t="s">
        <v>466</v>
      </c>
      <c r="O151" s="11" t="s">
        <v>466</v>
      </c>
      <c r="P151" s="11" t="s">
        <v>52</v>
      </c>
      <c r="Q151" s="11"/>
      <c r="R151" s="9"/>
      <c r="S151" s="9"/>
      <c r="T151" s="9"/>
      <c r="U151" s="11"/>
    </row>
    <row r="152" spans="1:21" ht="18.75" customHeight="1">
      <c r="A152" s="9" t="s">
        <v>46</v>
      </c>
      <c r="B152" s="9" t="str">
        <f t="shared" ca="1" si="4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141</v>
      </c>
      <c r="G152" s="11" t="s">
        <v>142</v>
      </c>
      <c r="H152" s="11" t="s">
        <v>62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512</v>
      </c>
      <c r="J152" s="11"/>
      <c r="K152" s="11"/>
      <c r="L152" s="9"/>
      <c r="M152" s="11" t="str">
        <f>IF(K152="","",IF(L152="","参照先未定義",_xlfn.XLOOKUP(L152,B:B,C:C,"エラー")))</f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>
      <c r="A153" s="9" t="s">
        <v>46</v>
      </c>
      <c r="B153" s="9" t="str">
        <f t="shared" ca="1" si="4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217</v>
      </c>
      <c r="G153" s="11" t="s">
        <v>218</v>
      </c>
      <c r="H153" s="11" t="s">
        <v>99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32</v>
      </c>
      <c r="J153" s="11"/>
      <c r="K153" s="11" t="s">
        <v>48</v>
      </c>
      <c r="L153" s="9" t="s">
        <v>566</v>
      </c>
      <c r="M153" s="11">
        <f ca="1">IF(K153="","",IF(L153="","参照先未定義",_xlfn.XLOOKUP(L153,B:B,C:C,"エラー")))</f>
        <v>170</v>
      </c>
      <c r="N153" s="11"/>
      <c r="O153" s="11"/>
      <c r="P153" s="11"/>
      <c r="Q153" s="11" t="s">
        <v>582</v>
      </c>
      <c r="R153" s="9"/>
      <c r="S153" s="9"/>
      <c r="T153" s="9"/>
      <c r="U153" s="11"/>
    </row>
    <row r="154" spans="1:21" ht="18.75" customHeight="1">
      <c r="A154" s="9" t="s">
        <v>46</v>
      </c>
      <c r="B154" s="9" t="str">
        <f t="shared" ca="1" si="4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219</v>
      </c>
      <c r="G154" s="11" t="s">
        <v>220</v>
      </c>
      <c r="H154" s="11" t="s">
        <v>490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8</v>
      </c>
      <c r="J154" s="11"/>
      <c r="K154" s="11"/>
      <c r="L154" s="9"/>
      <c r="M154" s="11" t="str">
        <f>IF(K154="","",IF(L154="","参照先未定義",_xlfn.XLOOKUP(L154,B:B,C:C,"エラー")))</f>
        <v/>
      </c>
      <c r="N154" s="11" t="s">
        <v>48</v>
      </c>
      <c r="O154" s="11"/>
      <c r="P154" s="11" t="b">
        <v>0</v>
      </c>
      <c r="Q154" s="11" t="s">
        <v>221</v>
      </c>
      <c r="R154" s="9"/>
      <c r="S154" s="9"/>
      <c r="T154" s="9"/>
      <c r="U154" s="11"/>
    </row>
    <row r="155" spans="1:21" ht="18.75" customHeight="1">
      <c r="A155" s="9" t="s">
        <v>46</v>
      </c>
      <c r="B155" s="9" t="str">
        <f t="shared" ca="1" si="4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222</v>
      </c>
      <c r="G155" s="11" t="s">
        <v>223</v>
      </c>
      <c r="H155" s="11" t="s">
        <v>99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32</v>
      </c>
      <c r="J155" s="11"/>
      <c r="K155" s="11" t="s">
        <v>48</v>
      </c>
      <c r="L155" s="9" t="s">
        <v>559</v>
      </c>
      <c r="M155" s="11">
        <f ca="1">IF(K155="","",IF(L155="","参照先未定義",_xlfn.XLOOKUP(L155,B:B,C:C,"エラー")))</f>
        <v>121</v>
      </c>
      <c r="N155" s="11"/>
      <c r="O155" s="11"/>
      <c r="P155" s="11"/>
      <c r="Q155" s="11" t="s">
        <v>582</v>
      </c>
      <c r="R155" s="9"/>
      <c r="S155" s="9"/>
      <c r="T155" s="9"/>
      <c r="U155" s="11"/>
    </row>
    <row r="156" spans="1:21" ht="18.75" customHeight="1">
      <c r="A156" s="9" t="s">
        <v>46</v>
      </c>
      <c r="B156" s="9" t="str">
        <f t="shared" ca="1" si="4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224</v>
      </c>
      <c r="G156" s="11" t="s">
        <v>225</v>
      </c>
      <c r="H156" s="11" t="s">
        <v>488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64</v>
      </c>
      <c r="J156" s="11"/>
      <c r="K156" s="11"/>
      <c r="L156" s="9"/>
      <c r="M156" s="11" t="str">
        <f>IF(K156="","",IF(L156="","参照先未定義",_xlfn.XLOOKUP(L156,B:B,C:C,"エラー")))</f>
        <v/>
      </c>
      <c r="N156" s="11" t="s">
        <v>48</v>
      </c>
      <c r="O156" s="11"/>
      <c r="P156" s="11" t="s">
        <v>106</v>
      </c>
      <c r="Q156" s="11"/>
      <c r="R156" s="9"/>
      <c r="S156" s="9"/>
      <c r="T156" s="9"/>
      <c r="U156" s="11"/>
    </row>
    <row r="157" spans="1:21" ht="18.75" customHeight="1">
      <c r="A157" s="9" t="s">
        <v>46</v>
      </c>
      <c r="B157" s="9" t="str">
        <f t="shared" ca="1" si="4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226</v>
      </c>
      <c r="G157" s="11" t="s">
        <v>227</v>
      </c>
      <c r="H157" s="11" t="s">
        <v>99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32</v>
      </c>
      <c r="J157" s="11"/>
      <c r="K157" s="11" t="s">
        <v>48</v>
      </c>
      <c r="L157" s="9" t="s">
        <v>567</v>
      </c>
      <c r="M157" s="11">
        <f ca="1">IF(K157="","",IF(L157="","参照先未定義",_xlfn.XLOOKUP(L157,B:B,C:C,"エラー")))</f>
        <v>163</v>
      </c>
      <c r="N157" s="11" t="s">
        <v>48</v>
      </c>
      <c r="O157" s="11"/>
      <c r="P157" s="11" t="s">
        <v>571</v>
      </c>
      <c r="Q157" s="11" t="s">
        <v>582</v>
      </c>
      <c r="R157" s="9"/>
      <c r="S157" s="9"/>
      <c r="T157" s="9"/>
      <c r="U157" s="11"/>
    </row>
    <row r="158" spans="1:21" ht="18.75" customHeight="1">
      <c r="A158" s="9" t="s">
        <v>46</v>
      </c>
      <c r="B158" s="9" t="str">
        <f t="shared" ca="1" si="4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179</v>
      </c>
      <c r="G158" s="11" t="s">
        <v>180</v>
      </c>
      <c r="H158" s="11" t="s">
        <v>99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32</v>
      </c>
      <c r="J158" s="11"/>
      <c r="K158" s="11" t="s">
        <v>48</v>
      </c>
      <c r="L158" s="9" t="s">
        <v>563</v>
      </c>
      <c r="M158" s="11">
        <f ca="1">IF(K158="","",IF(L158="","参照先未定義",_xlfn.XLOOKUP(L158,B:B,C:C,"エラー")))</f>
        <v>102</v>
      </c>
      <c r="N158" s="11" t="s">
        <v>48</v>
      </c>
      <c r="O158" s="11"/>
      <c r="P158" s="11" t="s">
        <v>572</v>
      </c>
      <c r="Q158" s="11" t="s">
        <v>582</v>
      </c>
      <c r="R158" s="9"/>
      <c r="S158" s="9"/>
      <c r="T158" s="9"/>
      <c r="U158" s="11"/>
    </row>
    <row r="159" spans="1:21" ht="18.75" customHeight="1">
      <c r="A159" s="9" t="s">
        <v>46</v>
      </c>
      <c r="B159" s="9" t="str">
        <f t="shared" ca="1" si="4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104</v>
      </c>
      <c r="G159" s="11" t="s">
        <v>105</v>
      </c>
      <c r="H159" s="11" t="s">
        <v>488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64</v>
      </c>
      <c r="J159" s="11"/>
      <c r="K159" s="11"/>
      <c r="L159" s="9"/>
      <c r="M159" s="11" t="str">
        <f>IF(K159="","",IF(L159="","参照先未定義",_xlfn.XLOOKUP(L159,B:B,C:C,"エラー")))</f>
        <v/>
      </c>
      <c r="N159" s="11" t="s">
        <v>48</v>
      </c>
      <c r="O159" s="11"/>
      <c r="P159" s="11" t="s">
        <v>106</v>
      </c>
      <c r="Q159" s="11"/>
      <c r="R159" s="9"/>
      <c r="S159" s="9"/>
      <c r="T159" s="9"/>
      <c r="U159" s="11"/>
    </row>
    <row r="160" spans="1:21" ht="18.75" customHeight="1">
      <c r="A160" s="9" t="s">
        <v>46</v>
      </c>
      <c r="B160" s="9" t="str">
        <f t="shared" ca="1" si="4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107</v>
      </c>
      <c r="G160" s="11" t="s">
        <v>108</v>
      </c>
      <c r="H160" s="11" t="s">
        <v>65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256</v>
      </c>
      <c r="J160" s="11"/>
      <c r="K160" s="11"/>
      <c r="L160" s="9"/>
      <c r="M160" s="11" t="str">
        <f>IF(K160="","",IF(L160="","参照先未定義",_xlfn.XLOOKUP(L160,B:B,C:C,"エラー")))</f>
        <v/>
      </c>
      <c r="N160" s="11" t="s">
        <v>48</v>
      </c>
      <c r="O160" s="11"/>
      <c r="P160" s="11" t="s">
        <v>109</v>
      </c>
      <c r="Q160" s="11"/>
      <c r="R160" s="9"/>
      <c r="S160" s="9"/>
      <c r="T160" s="9"/>
      <c r="U160" s="11" t="s">
        <v>110</v>
      </c>
    </row>
    <row r="161" spans="1:21" ht="18.75" customHeight="1">
      <c r="A161" s="9" t="s">
        <v>46</v>
      </c>
      <c r="B161" s="9" t="str">
        <f t="shared" ca="1" si="4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111</v>
      </c>
      <c r="G161" s="11" t="s">
        <v>112</v>
      </c>
      <c r="H161" s="11" t="s">
        <v>488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64</v>
      </c>
      <c r="J161" s="11"/>
      <c r="K161" s="11"/>
      <c r="L161" s="9"/>
      <c r="M161" s="11" t="str">
        <f>IF(K161="","",IF(L161="","参照先未定義",_xlfn.XLOOKUP(L161,B:B,C:C,"エラー")))</f>
        <v/>
      </c>
      <c r="N161" s="11" t="s">
        <v>48</v>
      </c>
      <c r="O161" s="11"/>
      <c r="P161" s="11" t="s">
        <v>106</v>
      </c>
      <c r="Q161" s="11"/>
      <c r="R161" s="9"/>
      <c r="S161" s="9"/>
      <c r="T161" s="9"/>
      <c r="U161" s="11"/>
    </row>
    <row r="162" spans="1:21" ht="18.75" customHeight="1">
      <c r="A162" s="9" t="s">
        <v>46</v>
      </c>
      <c r="B162" s="9" t="str">
        <f t="shared" ca="1" si="4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113</v>
      </c>
      <c r="G162" s="11" t="s">
        <v>114</v>
      </c>
      <c r="H162" s="11" t="s">
        <v>65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256</v>
      </c>
      <c r="J162" s="11"/>
      <c r="K162" s="11"/>
      <c r="L162" s="9"/>
      <c r="M162" s="11" t="str">
        <f>IF(K162="","",IF(L162="","参照先未定義",_xlfn.XLOOKUP(L162,B:B,C:C,"エラー")))</f>
        <v/>
      </c>
      <c r="N162" s="11" t="s">
        <v>48</v>
      </c>
      <c r="O162" s="11"/>
      <c r="P162" s="11" t="s">
        <v>109</v>
      </c>
      <c r="Q162" s="11"/>
      <c r="R162" s="9"/>
      <c r="S162" s="9"/>
      <c r="T162" s="9"/>
      <c r="U162" s="11" t="s">
        <v>110</v>
      </c>
    </row>
    <row r="163" spans="1:21" ht="18.75" customHeight="1">
      <c r="A163" s="9" t="s">
        <v>46</v>
      </c>
      <c r="B163" s="9" t="str">
        <f t="shared" ca="1" si="4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115</v>
      </c>
      <c r="G163" s="11" t="s">
        <v>116</v>
      </c>
      <c r="H163" s="11" t="s">
        <v>490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8</v>
      </c>
      <c r="J163" s="11"/>
      <c r="K163" s="11"/>
      <c r="L163" s="9"/>
      <c r="M163" s="11" t="str">
        <f>IF(K163="","",IF(L163="","参照先未定義",_xlfn.XLOOKUP(L163,B:B,C:C,"エラー")))</f>
        <v/>
      </c>
      <c r="N163" s="11" t="s">
        <v>48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customHeight="1">
      <c r="A164" s="9" t="s">
        <v>46</v>
      </c>
      <c r="B164" s="9" t="str">
        <f t="shared" si="4"/>
        <v>theme.theme_sequence_id</v>
      </c>
      <c r="C164" s="10">
        <f t="shared" si="0"/>
        <v>163</v>
      </c>
      <c r="D164" s="11" t="s">
        <v>228</v>
      </c>
      <c r="E164" s="11" t="s">
        <v>227</v>
      </c>
      <c r="F164" s="11" t="str">
        <f>D164&amp;"_sequence_id"</f>
        <v>theme_sequence_id</v>
      </c>
      <c r="G164" s="11" t="str">
        <f>E164&amp;"ID"</f>
        <v>画面テーマID</v>
      </c>
      <c r="H164" s="11" t="s">
        <v>552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32</v>
      </c>
      <c r="J164" s="11" t="s">
        <v>453</v>
      </c>
      <c r="K164" s="11"/>
      <c r="L164" s="9"/>
      <c r="M164" s="11" t="str">
        <f>IF(K164="","",IF(L164="","参照先未定義",_xlfn.XLOOKUP(L164,B:B,C:C,"エラー")))</f>
        <v/>
      </c>
      <c r="N164" s="11" t="s">
        <v>474</v>
      </c>
      <c r="O164" s="11" t="s">
        <v>474</v>
      </c>
      <c r="P164" s="11" t="s">
        <v>551</v>
      </c>
      <c r="Q164" s="11"/>
      <c r="R164" s="9"/>
      <c r="S164" s="9"/>
      <c r="T164" s="9"/>
      <c r="U164" s="11"/>
    </row>
    <row r="165" spans="1:21" ht="18.75" customHeight="1">
      <c r="A165" s="9" t="s">
        <v>46</v>
      </c>
      <c r="B165" s="9" t="str">
        <f t="shared" ca="1" si="4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229</v>
      </c>
      <c r="G165" s="11" t="s">
        <v>230</v>
      </c>
      <c r="H165" s="11" t="s">
        <v>71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128</v>
      </c>
      <c r="J165" s="11"/>
      <c r="K165" s="11"/>
      <c r="L165" s="9"/>
      <c r="M165" s="11" t="str">
        <f>IF(K165="","",IF(L165="","参照先未定義",_xlfn.XLOOKUP(L165,B:B,C:C,"エラー")))</f>
        <v/>
      </c>
      <c r="N165" s="11" t="s">
        <v>466</v>
      </c>
      <c r="O165" s="11" t="s">
        <v>466</v>
      </c>
      <c r="P165" s="11"/>
      <c r="Q165" s="11"/>
      <c r="R165" s="9"/>
      <c r="S165" s="9"/>
      <c r="T165" s="9"/>
      <c r="U165" s="11" t="s">
        <v>499</v>
      </c>
    </row>
    <row r="166" spans="1:21" ht="18.75" customHeight="1">
      <c r="A166" s="9" t="s">
        <v>46</v>
      </c>
      <c r="B166" s="9" t="str">
        <f t="shared" ca="1" si="4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104</v>
      </c>
      <c r="G166" s="11" t="s">
        <v>105</v>
      </c>
      <c r="H166" s="11" t="s">
        <v>488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64</v>
      </c>
      <c r="J166" s="11"/>
      <c r="K166" s="11"/>
      <c r="L166" s="9"/>
      <c r="M166" s="11" t="str">
        <f>IF(K166="","",IF(L166="","参照先未定義",_xlfn.XLOOKUP(L166,B:B,C:C,"エラー")))</f>
        <v/>
      </c>
      <c r="N166" s="11" t="s">
        <v>48</v>
      </c>
      <c r="O166" s="11"/>
      <c r="P166" s="11" t="s">
        <v>106</v>
      </c>
      <c r="Q166" s="11"/>
      <c r="R166" s="9"/>
      <c r="S166" s="9"/>
      <c r="T166" s="9"/>
      <c r="U166" s="11"/>
    </row>
    <row r="167" spans="1:21" ht="18.75" customHeight="1">
      <c r="A167" s="9" t="s">
        <v>46</v>
      </c>
      <c r="B167" s="9" t="str">
        <f t="shared" ca="1" si="4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107</v>
      </c>
      <c r="G167" s="11" t="s">
        <v>108</v>
      </c>
      <c r="H167" s="11" t="s">
        <v>65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256</v>
      </c>
      <c r="J167" s="11"/>
      <c r="K167" s="11"/>
      <c r="L167" s="9"/>
      <c r="M167" s="11" t="str">
        <f>IF(K167="","",IF(L167="","参照先未定義",_xlfn.XLOOKUP(L167,B:B,C:C,"エラー")))</f>
        <v/>
      </c>
      <c r="N167" s="11" t="s">
        <v>48</v>
      </c>
      <c r="O167" s="11"/>
      <c r="P167" s="11" t="s">
        <v>109</v>
      </c>
      <c r="Q167" s="11"/>
      <c r="R167" s="9"/>
      <c r="S167" s="9"/>
      <c r="T167" s="9"/>
      <c r="U167" s="11" t="s">
        <v>110</v>
      </c>
    </row>
    <row r="168" spans="1:21" ht="18.75" customHeight="1">
      <c r="A168" s="9" t="s">
        <v>46</v>
      </c>
      <c r="B168" s="9" t="str">
        <f t="shared" ca="1" si="4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111</v>
      </c>
      <c r="G168" s="11" t="s">
        <v>112</v>
      </c>
      <c r="H168" s="11" t="s">
        <v>488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64</v>
      </c>
      <c r="J168" s="11"/>
      <c r="K168" s="11"/>
      <c r="L168" s="9"/>
      <c r="M168" s="11" t="str">
        <f>IF(K168="","",IF(L168="","参照先未定義",_xlfn.XLOOKUP(L168,B:B,C:C,"エラー")))</f>
        <v/>
      </c>
      <c r="N168" s="11" t="s">
        <v>48</v>
      </c>
      <c r="O168" s="11"/>
      <c r="P168" s="11" t="s">
        <v>106</v>
      </c>
      <c r="Q168" s="11"/>
      <c r="R168" s="9"/>
      <c r="S168" s="9"/>
      <c r="T168" s="9"/>
      <c r="U168" s="11"/>
    </row>
    <row r="169" spans="1:21" ht="18.75" customHeight="1">
      <c r="A169" s="9" t="s">
        <v>46</v>
      </c>
      <c r="B169" s="9" t="str">
        <f t="shared" ca="1" si="4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113</v>
      </c>
      <c r="G169" s="11" t="s">
        <v>114</v>
      </c>
      <c r="H169" s="11" t="s">
        <v>65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256</v>
      </c>
      <c r="J169" s="11"/>
      <c r="K169" s="11"/>
      <c r="L169" s="9"/>
      <c r="M169" s="11" t="str">
        <f>IF(K169="","",IF(L169="","参照先未定義",_xlfn.XLOOKUP(L169,B:B,C:C,"エラー")))</f>
        <v/>
      </c>
      <c r="N169" s="11" t="s">
        <v>48</v>
      </c>
      <c r="O169" s="11"/>
      <c r="P169" s="11" t="s">
        <v>109</v>
      </c>
      <c r="Q169" s="11"/>
      <c r="R169" s="9"/>
      <c r="S169" s="9"/>
      <c r="T169" s="9"/>
      <c r="U169" s="11" t="s">
        <v>110</v>
      </c>
    </row>
    <row r="170" spans="1:21" ht="18.75" customHeight="1">
      <c r="A170" s="9" t="s">
        <v>46</v>
      </c>
      <c r="B170" s="9" t="str">
        <f t="shared" ca="1" si="4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115</v>
      </c>
      <c r="G170" s="11" t="s">
        <v>116</v>
      </c>
      <c r="H170" s="11" t="s">
        <v>490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8</v>
      </c>
      <c r="J170" s="11"/>
      <c r="K170" s="11"/>
      <c r="L170" s="9"/>
      <c r="M170" s="11" t="str">
        <f>IF(K170="","",IF(L170="","参照先未定義",_xlfn.XLOOKUP(L170,B:B,C:C,"エラー")))</f>
        <v/>
      </c>
      <c r="N170" s="11" t="s">
        <v>48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customHeight="1">
      <c r="A171" s="9" t="s">
        <v>46</v>
      </c>
      <c r="B171" s="9" t="str">
        <f t="shared" si="4"/>
        <v>user_role.user_role_sequence_id</v>
      </c>
      <c r="C171" s="10">
        <f t="shared" si="0"/>
        <v>170</v>
      </c>
      <c r="D171" s="11" t="s">
        <v>231</v>
      </c>
      <c r="E171" s="11" t="s">
        <v>232</v>
      </c>
      <c r="F171" s="11" t="str">
        <f>D171&amp;"_sequence_id"</f>
        <v>user_role_sequence_id</v>
      </c>
      <c r="G171" s="11" t="str">
        <f>E171&amp;"ID"</f>
        <v>ユーザー権限ID</v>
      </c>
      <c r="H171" s="11" t="s">
        <v>552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32</v>
      </c>
      <c r="J171" s="11" t="s">
        <v>453</v>
      </c>
      <c r="K171" s="11"/>
      <c r="L171" s="9"/>
      <c r="M171" s="11" t="str">
        <f>IF(K171="","",IF(L171="","参照先未定義",_xlfn.XLOOKUP(L171,B:B,C:C,"エラー")))</f>
        <v/>
      </c>
      <c r="N171" s="11" t="s">
        <v>474</v>
      </c>
      <c r="O171" s="11" t="s">
        <v>474</v>
      </c>
      <c r="P171" s="11" t="s">
        <v>551</v>
      </c>
      <c r="Q171" s="11"/>
      <c r="R171" s="9"/>
      <c r="S171" s="9"/>
      <c r="T171" s="9"/>
      <c r="U171" s="11"/>
    </row>
    <row r="172" spans="1:21" ht="18.75" customHeight="1">
      <c r="A172" s="9" t="s">
        <v>46</v>
      </c>
      <c r="B172" s="9" t="str">
        <f t="shared" ca="1" si="4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217</v>
      </c>
      <c r="G172" s="11" t="s">
        <v>218</v>
      </c>
      <c r="H172" s="11" t="s">
        <v>51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64</v>
      </c>
      <c r="J172" s="11"/>
      <c r="K172" s="11"/>
      <c r="L172" s="9"/>
      <c r="M172" s="11" t="str">
        <f>IF(K172="","",IF(L172="","参照先未定義",_xlfn.XLOOKUP(L172,B:B,C:C,"エラー")))</f>
        <v/>
      </c>
      <c r="N172" s="11" t="s">
        <v>466</v>
      </c>
      <c r="O172" s="11" t="s">
        <v>466</v>
      </c>
      <c r="P172" s="11"/>
      <c r="Q172" s="11"/>
      <c r="R172" s="9"/>
      <c r="S172" s="9"/>
      <c r="T172" s="9"/>
      <c r="U172" s="11" t="s">
        <v>499</v>
      </c>
    </row>
    <row r="173" spans="1:21" ht="18.75" customHeight="1">
      <c r="A173" s="9" t="s">
        <v>46</v>
      </c>
      <c r="B173" s="9" t="str">
        <f t="shared" ca="1" si="4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104</v>
      </c>
      <c r="G173" s="11" t="s">
        <v>105</v>
      </c>
      <c r="H173" s="11" t="s">
        <v>488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>IF(K173="","",IF(L173="","参照先未定義",_xlfn.XLOOKUP(L173,B:B,C:C,"エラー")))</f>
        <v/>
      </c>
      <c r="N173" s="11" t="s">
        <v>48</v>
      </c>
      <c r="O173" s="11"/>
      <c r="P173" s="11" t="s">
        <v>106</v>
      </c>
      <c r="Q173" s="11"/>
      <c r="R173" s="9"/>
      <c r="S173" s="9"/>
      <c r="T173" s="9"/>
      <c r="U173" s="11"/>
    </row>
    <row r="174" spans="1:21" ht="18.75" customHeight="1">
      <c r="A174" s="9" t="s">
        <v>46</v>
      </c>
      <c r="B174" s="9" t="str">
        <f t="shared" ca="1" si="4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107</v>
      </c>
      <c r="G174" s="11" t="s">
        <v>108</v>
      </c>
      <c r="H174" s="11" t="s">
        <v>65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>IF(K174="","",IF(L174="","参照先未定義",_xlfn.XLOOKUP(L174,B:B,C:C,"エラー")))</f>
        <v/>
      </c>
      <c r="N174" s="11" t="s">
        <v>48</v>
      </c>
      <c r="O174" s="11"/>
      <c r="P174" s="11" t="s">
        <v>109</v>
      </c>
      <c r="Q174" s="11"/>
      <c r="R174" s="9"/>
      <c r="S174" s="9"/>
      <c r="T174" s="9"/>
      <c r="U174" s="11" t="s">
        <v>110</v>
      </c>
    </row>
    <row r="175" spans="1:21" ht="18.75" customHeight="1">
      <c r="A175" s="9" t="s">
        <v>46</v>
      </c>
      <c r="B175" s="9" t="str">
        <f t="shared" ca="1" si="4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111</v>
      </c>
      <c r="G175" s="11" t="s">
        <v>112</v>
      </c>
      <c r="H175" s="11" t="s">
        <v>488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64</v>
      </c>
      <c r="J175" s="11"/>
      <c r="K175" s="11"/>
      <c r="L175" s="9"/>
      <c r="M175" s="11" t="str">
        <f>IF(K175="","",IF(L175="","参照先未定義",_xlfn.XLOOKUP(L175,B:B,C:C,"エラー")))</f>
        <v/>
      </c>
      <c r="N175" s="11" t="s">
        <v>48</v>
      </c>
      <c r="O175" s="11"/>
      <c r="P175" s="11" t="s">
        <v>106</v>
      </c>
      <c r="Q175" s="11"/>
      <c r="R175" s="9"/>
      <c r="S175" s="9"/>
      <c r="T175" s="9"/>
      <c r="U175" s="11"/>
    </row>
    <row r="176" spans="1:21" ht="18.75" customHeight="1">
      <c r="A176" s="9" t="s">
        <v>46</v>
      </c>
      <c r="B176" s="9" t="str">
        <f t="shared" ca="1" si="4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113</v>
      </c>
      <c r="G176" s="11" t="s">
        <v>114</v>
      </c>
      <c r="H176" s="11" t="s">
        <v>65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256</v>
      </c>
      <c r="J176" s="11"/>
      <c r="K176" s="11"/>
      <c r="L176" s="9"/>
      <c r="M176" s="11" t="str">
        <f>IF(K176="","",IF(L176="","参照先未定義",_xlfn.XLOOKUP(L176,B:B,C:C,"エラー")))</f>
        <v/>
      </c>
      <c r="N176" s="11" t="s">
        <v>48</v>
      </c>
      <c r="O176" s="11"/>
      <c r="P176" s="11" t="s">
        <v>109</v>
      </c>
      <c r="Q176" s="11"/>
      <c r="R176" s="9"/>
      <c r="S176" s="9"/>
      <c r="T176" s="9"/>
      <c r="U176" s="11" t="s">
        <v>110</v>
      </c>
    </row>
    <row r="177" spans="1:21" ht="18.75" customHeight="1">
      <c r="A177" s="9" t="s">
        <v>46</v>
      </c>
      <c r="B177" s="9" t="str">
        <f t="shared" ca="1" si="4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115</v>
      </c>
      <c r="G177" s="11" t="s">
        <v>116</v>
      </c>
      <c r="H177" s="11" t="s">
        <v>490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8</v>
      </c>
      <c r="J177" s="11"/>
      <c r="K177" s="11"/>
      <c r="L177" s="9"/>
      <c r="M177" s="11" t="str">
        <f>IF(K177="","",IF(L177="","参照先未定義",_xlfn.XLOOKUP(L177,B:B,C:C,"エラー")))</f>
        <v/>
      </c>
      <c r="N177" s="11" t="s">
        <v>48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customHeight="1">
      <c r="A178" s="9" t="s">
        <v>46</v>
      </c>
      <c r="B178" s="9" t="str">
        <f t="shared" si="4"/>
        <v>images_contents.images_contents_sequence_id</v>
      </c>
      <c r="C178" s="10">
        <f t="shared" si="0"/>
        <v>177</v>
      </c>
      <c r="D178" s="11" t="s">
        <v>471</v>
      </c>
      <c r="E178" s="11" t="s">
        <v>233</v>
      </c>
      <c r="F178" s="11" t="str">
        <f>D178&amp;"_sequence_id"</f>
        <v>images_contents_sequence_id</v>
      </c>
      <c r="G178" s="11" t="str">
        <f>E178&amp;"ID"</f>
        <v>画像(ユーザー投稿)ID</v>
      </c>
      <c r="H178" s="11" t="s">
        <v>552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32</v>
      </c>
      <c r="J178" s="11" t="s">
        <v>453</v>
      </c>
      <c r="K178" s="11"/>
      <c r="L178" s="9"/>
      <c r="M178" s="11" t="str">
        <f>IF(K178="","",IF(L178="","参照先未定義",_xlfn.XLOOKUP(L178,B:B,C:C,"エラー")))</f>
        <v/>
      </c>
      <c r="N178" s="11" t="s">
        <v>474</v>
      </c>
      <c r="O178" s="11" t="s">
        <v>474</v>
      </c>
      <c r="P178" s="11" t="s">
        <v>551</v>
      </c>
      <c r="Q178" s="11"/>
      <c r="R178" s="9"/>
      <c r="S178" s="9"/>
      <c r="T178" s="9"/>
      <c r="U178" s="11"/>
    </row>
    <row r="179" spans="1:21" ht="18.75" customHeight="1">
      <c r="A179" s="9" t="s">
        <v>46</v>
      </c>
      <c r="B179" s="9" t="str">
        <f ca="1">D179&amp;"."&amp;F179</f>
        <v>images_contents.user_id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53</v>
      </c>
      <c r="G179" s="11" t="s">
        <v>54</v>
      </c>
      <c r="H179" s="11" t="s">
        <v>99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32</v>
      </c>
      <c r="J179" s="11"/>
      <c r="K179" s="11" t="s">
        <v>48</v>
      </c>
      <c r="L179" s="9" t="s">
        <v>555</v>
      </c>
      <c r="M179" s="11">
        <f ca="1">IF(K179="","",IF(L179="","参照先未定義",_xlfn.XLOOKUP(L179,B:B,C:C,"エラー")))</f>
        <v>149</v>
      </c>
      <c r="N179" s="11" t="s">
        <v>48</v>
      </c>
      <c r="O179" s="11"/>
      <c r="P179" s="11"/>
      <c r="Q179" s="11" t="s">
        <v>582</v>
      </c>
      <c r="R179" s="9"/>
      <c r="S179" s="9"/>
      <c r="T179" s="9"/>
      <c r="U179" s="11"/>
    </row>
    <row r="180" spans="1:21" ht="18.75" customHeight="1">
      <c r="A180" s="9" t="s">
        <v>46</v>
      </c>
      <c r="B180" s="9" t="str">
        <f ca="1">D180&amp;"."&amp;F180</f>
        <v>images_contents.gcs_bucket</v>
      </c>
      <c r="C180" s="10">
        <f t="shared" si="0"/>
        <v>179</v>
      </c>
      <c r="D180" s="11" t="str" cm="1">
        <f t="array" aca="1" ref="D180" ca="1">INDIRECT(ADDRESS(ROW()-1,COLUMN()))</f>
        <v>images_contents</v>
      </c>
      <c r="E180" s="11" t="str" cm="1">
        <f t="array" aca="1" ref="E180" ca="1">INDIRECT(ADDRESS(ROW()-1,COLUMN()))</f>
        <v>画像(ユーザー投稿)</v>
      </c>
      <c r="F180" s="11" t="s">
        <v>234</v>
      </c>
      <c r="G180" s="11" t="s">
        <v>235</v>
      </c>
      <c r="H180" s="11" t="s">
        <v>236</v>
      </c>
      <c r="I180" s="11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800</v>
      </c>
      <c r="J180" s="11"/>
      <c r="K180" s="11"/>
      <c r="L180" s="9"/>
      <c r="M180" s="11" t="str">
        <f>IF(K180="","",IF(L180="","参照先未定義",_xlfn.XLOOKUP(L180,B:B,C:C,"エラー")))</f>
        <v/>
      </c>
      <c r="N180" s="11" t="s">
        <v>48</v>
      </c>
      <c r="O180" s="11"/>
      <c r="P180" s="11"/>
      <c r="Q180" s="11"/>
      <c r="R180" s="9"/>
      <c r="S180" s="9"/>
      <c r="T180" s="9"/>
      <c r="U180" s="11"/>
    </row>
    <row r="181" spans="1:21" ht="18.75" customHeight="1">
      <c r="A181" s="9" t="s">
        <v>46</v>
      </c>
      <c r="B181" s="9" t="str">
        <f ca="1">D181&amp;"."&amp;F181</f>
        <v>images_contents.gcs_object_name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237</v>
      </c>
      <c r="G181" s="11" t="s">
        <v>238</v>
      </c>
      <c r="H181" s="11" t="s">
        <v>239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4096</v>
      </c>
      <c r="J181" s="11"/>
      <c r="K181" s="11"/>
      <c r="L181" s="9"/>
      <c r="M181" s="11" t="str">
        <f>IF(K181="","",IF(L181="","参照先未定義",_xlfn.XLOOKUP(L181,B:B,C:C,"エラー")))</f>
        <v/>
      </c>
      <c r="N181" s="11" t="s">
        <v>48</v>
      </c>
      <c r="O181" s="11"/>
      <c r="P181" s="11"/>
      <c r="Q181" s="11" t="s">
        <v>240</v>
      </c>
      <c r="R181" s="9"/>
      <c r="S181" s="9"/>
      <c r="T181" s="9"/>
      <c r="U181" s="11"/>
    </row>
    <row r="182" spans="1:21" ht="18.75" customHeight="1">
      <c r="A182" s="9" t="s">
        <v>46</v>
      </c>
      <c r="B182" s="9" t="str">
        <f ca="1">D182&amp;"."&amp;F182</f>
        <v>images_contents.cdn_url</v>
      </c>
      <c r="C182" s="10">
        <f t="shared" si="0"/>
        <v>181</v>
      </c>
      <c r="D182" s="11" t="str" cm="1">
        <f t="array" aca="1" ref="D182" ca="1">INDIRECT(ADDRESS(ROW()-1,COLUMN()))</f>
        <v>images_contents</v>
      </c>
      <c r="E182" s="11" t="str" cm="1">
        <f t="array" aca="1" ref="E182" ca="1">INDIRECT(ADDRESS(ROW()-1,COLUMN()))</f>
        <v>画像(ユーザー投稿)</v>
      </c>
      <c r="F182" s="11" t="s">
        <v>241</v>
      </c>
      <c r="G182" s="11" t="s">
        <v>242</v>
      </c>
      <c r="H182" s="11" t="s">
        <v>239</v>
      </c>
      <c r="I182" s="11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4096</v>
      </c>
      <c r="J182" s="11"/>
      <c r="K182" s="11"/>
      <c r="L182" s="9"/>
      <c r="M182" s="11" t="str">
        <f>IF(K182="","",IF(L182="","参照先未定義",_xlfn.XLOOKUP(L182,B:B,C:C,"エラー")))</f>
        <v/>
      </c>
      <c r="N182" s="11"/>
      <c r="O182" s="11"/>
      <c r="P182" s="11"/>
      <c r="Q182" s="11" t="s">
        <v>243</v>
      </c>
      <c r="R182" s="9"/>
      <c r="S182" s="9"/>
      <c r="T182" s="9"/>
      <c r="U182" s="11"/>
    </row>
    <row r="183" spans="1:21" ht="18.75" customHeight="1">
      <c r="A183" s="9" t="s">
        <v>46</v>
      </c>
      <c r="B183" s="9" t="str">
        <f ca="1">D183&amp;"."&amp;F183</f>
        <v>images_contents.content_type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244</v>
      </c>
      <c r="G183" s="11" t="s">
        <v>245</v>
      </c>
      <c r="H183" s="11" t="s">
        <v>246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400</v>
      </c>
      <c r="J183" s="11"/>
      <c r="K183" s="11"/>
      <c r="L183" s="9"/>
      <c r="M183" s="11" t="str">
        <f>IF(K183="","",IF(L183="","参照先未定義",_xlfn.XLOOKUP(L183,B:B,C:C,"エラー")))</f>
        <v/>
      </c>
      <c r="N183" s="11"/>
      <c r="O183" s="11"/>
      <c r="P183" s="11"/>
      <c r="Q183" s="11" t="s">
        <v>247</v>
      </c>
      <c r="R183" s="9"/>
      <c r="S183" s="9"/>
      <c r="T183" s="9"/>
      <c r="U183" s="11"/>
    </row>
    <row r="184" spans="1:21" ht="18.75" customHeight="1">
      <c r="A184" s="9" t="s">
        <v>46</v>
      </c>
      <c r="B184" s="9" t="str">
        <f ca="1">D184&amp;"."&amp;F184</f>
        <v>images_contents.width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248</v>
      </c>
      <c r="G184" s="11" t="s">
        <v>249</v>
      </c>
      <c r="H184" s="11" t="s">
        <v>99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32</v>
      </c>
      <c r="J184" s="11"/>
      <c r="K184" s="11"/>
      <c r="L184" s="9"/>
      <c r="M184" s="11" t="str">
        <f>IF(K184="","",IF(L184="","参照先未定義",_xlfn.XLOOKUP(L184,B:B,C:C,"エラー")))</f>
        <v/>
      </c>
      <c r="N184" s="11"/>
      <c r="O184" s="11"/>
      <c r="P184" s="11"/>
      <c r="Q184" s="11"/>
      <c r="R184" s="9"/>
      <c r="S184" s="9"/>
      <c r="T184" s="9"/>
      <c r="U184" s="11"/>
    </row>
    <row r="185" spans="1:21" ht="18.75" customHeight="1">
      <c r="A185" s="9" t="s">
        <v>46</v>
      </c>
      <c r="B185" s="9" t="str">
        <f ca="1">D185&amp;"."&amp;F185</f>
        <v>images_contents.height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72</v>
      </c>
      <c r="G185" s="11" t="s">
        <v>250</v>
      </c>
      <c r="H185" s="11" t="s">
        <v>99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32</v>
      </c>
      <c r="J185" s="11"/>
      <c r="K185" s="11"/>
      <c r="L185" s="9"/>
      <c r="M185" s="11" t="str">
        <f>IF(K185="","",IF(L185="","参照先未定義",_xlfn.XLOOKUP(L185,B:B,C:C,"エラー")))</f>
        <v/>
      </c>
      <c r="N185" s="11"/>
      <c r="O185" s="11"/>
      <c r="P185" s="11"/>
      <c r="Q185" s="11"/>
      <c r="R185" s="9"/>
      <c r="S185" s="9"/>
      <c r="T185" s="9"/>
      <c r="U185" s="11"/>
    </row>
    <row r="186" spans="1:21" ht="18.75" customHeight="1">
      <c r="A186" s="9" t="s">
        <v>46</v>
      </c>
      <c r="B186" s="9" t="str">
        <f ca="1">D186&amp;"."&amp;F186</f>
        <v>images_contents.file_size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251</v>
      </c>
      <c r="G186" s="11" t="s">
        <v>252</v>
      </c>
      <c r="H186" s="11" t="s">
        <v>99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32</v>
      </c>
      <c r="J186" s="11"/>
      <c r="K186" s="11"/>
      <c r="L186" s="9"/>
      <c r="M186" s="11" t="str">
        <f>IF(K186="","",IF(L186="","参照先未定義",_xlfn.XLOOKUP(L186,B:B,C:C,"エラー")))</f>
        <v/>
      </c>
      <c r="N186" s="11"/>
      <c r="O186" s="11"/>
      <c r="P186" s="11"/>
      <c r="Q186" s="11"/>
      <c r="R186" s="9"/>
      <c r="S186" s="9"/>
      <c r="T186" s="9"/>
      <c r="U186" s="11"/>
    </row>
    <row r="187" spans="1:21" ht="18.75" customHeight="1">
      <c r="A187" s="9" t="s">
        <v>46</v>
      </c>
      <c r="B187" s="9" t="str">
        <f ca="1">D187&amp;"."&amp;F187</f>
        <v>images_contents.alt_text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253</v>
      </c>
      <c r="G187" s="11" t="s">
        <v>254</v>
      </c>
      <c r="H187" s="11" t="s">
        <v>162</v>
      </c>
      <c r="I187" s="11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2040</v>
      </c>
      <c r="J187" s="11"/>
      <c r="K187" s="11"/>
      <c r="L187" s="9"/>
      <c r="M187" s="11" t="str">
        <f>IF(K187="","",IF(L187="","参照先未定義",_xlfn.XLOOKUP(L187,B:B,C:C,"エラー")))</f>
        <v/>
      </c>
      <c r="N187" s="11"/>
      <c r="O187" s="11"/>
      <c r="P187" s="11"/>
      <c r="Q187" s="11"/>
      <c r="R187" s="9"/>
      <c r="S187" s="9"/>
      <c r="T187" s="9"/>
      <c r="U187" s="11"/>
    </row>
    <row r="188" spans="1:21" ht="18.75" customHeight="1">
      <c r="A188" s="9" t="s">
        <v>46</v>
      </c>
      <c r="B188" s="9" t="str">
        <f ca="1">D188&amp;"."&amp;F188</f>
        <v>images_contents.create_datetime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104</v>
      </c>
      <c r="G188" s="11" t="s">
        <v>105</v>
      </c>
      <c r="H188" s="11" t="s">
        <v>488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64</v>
      </c>
      <c r="J188" s="11"/>
      <c r="K188" s="11"/>
      <c r="L188" s="9"/>
      <c r="M188" s="11" t="str">
        <f>IF(K188="","",IF(L188="","参照先未定義",_xlfn.XLOOKUP(L188,B:B,C:C,"エラー")))</f>
        <v/>
      </c>
      <c r="N188" s="11" t="s">
        <v>48</v>
      </c>
      <c r="O188" s="11"/>
      <c r="P188" s="11" t="s">
        <v>106</v>
      </c>
      <c r="Q188" s="11"/>
      <c r="R188" s="9"/>
      <c r="S188" s="9"/>
      <c r="T188" s="9"/>
      <c r="U188" s="11"/>
    </row>
    <row r="189" spans="1:21" ht="18.75" customHeight="1">
      <c r="A189" s="9" t="s">
        <v>46</v>
      </c>
      <c r="B189" s="9" t="str">
        <f ca="1">D189&amp;"."&amp;F189</f>
        <v>images_contents.create_user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107</v>
      </c>
      <c r="G189" s="11" t="s">
        <v>108</v>
      </c>
      <c r="H189" s="11" t="s">
        <v>65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256</v>
      </c>
      <c r="J189" s="11"/>
      <c r="K189" s="11"/>
      <c r="L189" s="9"/>
      <c r="M189" s="11" t="str">
        <f>IF(K189="","",IF(L189="","参照先未定義",_xlfn.XLOOKUP(L189,B:B,C:C,"エラー")))</f>
        <v/>
      </c>
      <c r="N189" s="11" t="s">
        <v>48</v>
      </c>
      <c r="O189" s="11"/>
      <c r="P189" s="11" t="s">
        <v>109</v>
      </c>
      <c r="Q189" s="11"/>
      <c r="R189" s="9"/>
      <c r="S189" s="9"/>
      <c r="T189" s="9"/>
      <c r="U189" s="11" t="s">
        <v>110</v>
      </c>
    </row>
    <row r="190" spans="1:21" ht="18.75" customHeight="1">
      <c r="A190" s="9" t="s">
        <v>46</v>
      </c>
      <c r="B190" s="9" t="str">
        <f ca="1">D190&amp;"."&amp;F190</f>
        <v>images_contents.update_datetime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111</v>
      </c>
      <c r="G190" s="11" t="s">
        <v>112</v>
      </c>
      <c r="H190" s="11" t="s">
        <v>488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64</v>
      </c>
      <c r="J190" s="11"/>
      <c r="K190" s="11"/>
      <c r="L190" s="9"/>
      <c r="M190" s="11" t="str">
        <f>IF(K190="","",IF(L190="","参照先未定義",_xlfn.XLOOKUP(L190,B:B,C:C,"エラー")))</f>
        <v/>
      </c>
      <c r="N190" s="11" t="s">
        <v>48</v>
      </c>
      <c r="O190" s="11"/>
      <c r="P190" s="11" t="s">
        <v>106</v>
      </c>
      <c r="Q190" s="11"/>
      <c r="R190" s="9"/>
      <c r="S190" s="9"/>
      <c r="T190" s="9"/>
      <c r="U190" s="11"/>
    </row>
    <row r="191" spans="1:21" ht="18.75" customHeight="1">
      <c r="A191" s="9" t="s">
        <v>46</v>
      </c>
      <c r="B191" s="9" t="str">
        <f ca="1">D191&amp;"."&amp;F191</f>
        <v>images_contents.update_user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113</v>
      </c>
      <c r="G191" s="11" t="s">
        <v>114</v>
      </c>
      <c r="H191" s="11" t="s">
        <v>65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256</v>
      </c>
      <c r="J191" s="11"/>
      <c r="K191" s="11"/>
      <c r="L191" s="9"/>
      <c r="M191" s="11" t="str">
        <f>IF(K191="","",IF(L191="","参照先未定義",_xlfn.XLOOKUP(L191,B:B,C:C,"エラー")))</f>
        <v/>
      </c>
      <c r="N191" s="11" t="s">
        <v>48</v>
      </c>
      <c r="O191" s="11"/>
      <c r="P191" s="11" t="s">
        <v>109</v>
      </c>
      <c r="Q191" s="11"/>
      <c r="R191" s="9"/>
      <c r="S191" s="9"/>
      <c r="T191" s="9"/>
      <c r="U191" s="11" t="s">
        <v>110</v>
      </c>
    </row>
    <row r="192" spans="1:21" ht="18.75" customHeight="1">
      <c r="A192" s="9" t="s">
        <v>46</v>
      </c>
      <c r="B192" s="9" t="str">
        <f ca="1">D192&amp;"."&amp;F192</f>
        <v>images_contents.soft_delete_flag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115</v>
      </c>
      <c r="G192" s="11" t="s">
        <v>116</v>
      </c>
      <c r="H192" s="11" t="s">
        <v>490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8</v>
      </c>
      <c r="J192" s="11"/>
      <c r="K192" s="11"/>
      <c r="L192" s="9"/>
      <c r="M192" s="11" t="str">
        <f>IF(K192="","",IF(L192="","参照先未定義",_xlfn.XLOOKUP(L192,B:B,C:C,"エラー")))</f>
        <v/>
      </c>
      <c r="N192" s="11" t="s">
        <v>48</v>
      </c>
      <c r="O192" s="11"/>
      <c r="P192" s="11" t="b">
        <v>0</v>
      </c>
      <c r="Q192" s="11"/>
      <c r="R192" s="9"/>
      <c r="S192" s="9"/>
      <c r="T192" s="9"/>
      <c r="U192" s="11"/>
    </row>
    <row r="193" spans="1:21" ht="18.75" customHeight="1">
      <c r="A193" s="9" t="s">
        <v>46</v>
      </c>
      <c r="B193" s="9" t="str">
        <f>D193&amp;"."&amp;F193</f>
        <v>images_system.images_system_sequence_id</v>
      </c>
      <c r="C193" s="10">
        <f t="shared" si="0"/>
        <v>192</v>
      </c>
      <c r="D193" s="11" t="s">
        <v>462</v>
      </c>
      <c r="E193" s="11" t="s">
        <v>255</v>
      </c>
      <c r="F193" s="11" t="str">
        <f>D193&amp;"_sequence_id"</f>
        <v>images_system_sequence_id</v>
      </c>
      <c r="G193" s="11" t="str">
        <f>E193&amp;"ID"</f>
        <v>画像(システム管理)ID</v>
      </c>
      <c r="H193" s="11" t="s">
        <v>552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32</v>
      </c>
      <c r="J193" s="11" t="s">
        <v>453</v>
      </c>
      <c r="K193" s="11"/>
      <c r="L193" s="9"/>
      <c r="M193" s="11" t="str">
        <f>IF(K193="","",IF(L193="","参照先未定義",_xlfn.XLOOKUP(L193,B:B,C:C,"エラー")))</f>
        <v/>
      </c>
      <c r="N193" s="11" t="s">
        <v>474</v>
      </c>
      <c r="O193" s="11" t="s">
        <v>474</v>
      </c>
      <c r="P193" s="11" t="s">
        <v>551</v>
      </c>
      <c r="Q193" s="11"/>
      <c r="R193" s="9"/>
      <c r="S193" s="9"/>
      <c r="T193" s="9"/>
      <c r="U193" s="11"/>
    </row>
    <row r="194" spans="1:21" ht="18.75" customHeight="1">
      <c r="A194" s="9" t="s">
        <v>46</v>
      </c>
      <c r="B194" s="9" t="str">
        <f ca="1">D194&amp;"."&amp;F194</f>
        <v>images_system.gcs_bucket</v>
      </c>
      <c r="C194" s="10">
        <f t="shared" si="0"/>
        <v>193</v>
      </c>
      <c r="D194" s="11" t="str" cm="1">
        <f t="array" aca="1" ref="D194" ca="1">INDIRECT(ADDRESS(ROW()-1,COLUMN()))</f>
        <v>images_system</v>
      </c>
      <c r="E194" s="11" t="str" cm="1">
        <f t="array" aca="1" ref="E194" ca="1">INDIRECT(ADDRESS(ROW()-1,COLUMN()))</f>
        <v>画像(システム管理)</v>
      </c>
      <c r="F194" s="11" t="s">
        <v>234</v>
      </c>
      <c r="G194" s="11" t="s">
        <v>235</v>
      </c>
      <c r="H194" s="11" t="s">
        <v>236</v>
      </c>
      <c r="I194" s="11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800</v>
      </c>
      <c r="J194" s="11"/>
      <c r="K194" s="11"/>
      <c r="L194" s="9"/>
      <c r="M194" s="11" t="str">
        <f>IF(K194="","",IF(L194="","参照先未定義",_xlfn.XLOOKUP(L194,B:B,C:C,"エラー")))</f>
        <v/>
      </c>
      <c r="N194" s="11" t="s">
        <v>48</v>
      </c>
      <c r="O194" s="11"/>
      <c r="P194" s="11"/>
      <c r="Q194" s="11"/>
      <c r="R194" s="9"/>
      <c r="S194" s="9"/>
      <c r="T194" s="9"/>
      <c r="U194" s="11"/>
    </row>
    <row r="195" spans="1:21" ht="18.75" customHeight="1">
      <c r="A195" s="9" t="s">
        <v>46</v>
      </c>
      <c r="B195" s="9" t="str">
        <f ca="1">D195&amp;"."&amp;F195</f>
        <v>images_system.gcs_object_name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237</v>
      </c>
      <c r="G195" s="11" t="s">
        <v>238</v>
      </c>
      <c r="H195" s="11" t="s">
        <v>239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4096</v>
      </c>
      <c r="J195" s="11"/>
      <c r="K195" s="11"/>
      <c r="L195" s="9"/>
      <c r="M195" s="11" t="str">
        <f>IF(K195="","",IF(L195="","参照先未定義",_xlfn.XLOOKUP(L195,B:B,C:C,"エラー")))</f>
        <v/>
      </c>
      <c r="N195" s="11" t="s">
        <v>48</v>
      </c>
      <c r="O195" s="11"/>
      <c r="P195" s="11"/>
      <c r="Q195" s="11" t="s">
        <v>240</v>
      </c>
      <c r="R195" s="9"/>
      <c r="S195" s="9"/>
      <c r="T195" s="9"/>
      <c r="U195" s="11"/>
    </row>
    <row r="196" spans="1:21" ht="18.75" customHeight="1">
      <c r="A196" s="9" t="s">
        <v>46</v>
      </c>
      <c r="B196" s="9" t="str">
        <f ca="1">D196&amp;"."&amp;F196</f>
        <v>images_system.cdn_url</v>
      </c>
      <c r="C196" s="10">
        <f t="shared" si="0"/>
        <v>195</v>
      </c>
      <c r="D196" s="11" t="str" cm="1">
        <f t="array" aca="1" ref="D196" ca="1">INDIRECT(ADDRESS(ROW()-1,COLUMN()))</f>
        <v>images_system</v>
      </c>
      <c r="E196" s="11" t="str" cm="1">
        <f t="array" aca="1" ref="E196" ca="1">INDIRECT(ADDRESS(ROW()-1,COLUMN()))</f>
        <v>画像(システム管理)</v>
      </c>
      <c r="F196" s="11" t="s">
        <v>241</v>
      </c>
      <c r="G196" s="11" t="s">
        <v>242</v>
      </c>
      <c r="H196" s="11" t="s">
        <v>239</v>
      </c>
      <c r="I196" s="11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4096</v>
      </c>
      <c r="J196" s="11"/>
      <c r="K196" s="11"/>
      <c r="L196" s="9"/>
      <c r="M196" s="11" t="str">
        <f>IF(K196="","",IF(L196="","参照先未定義",_xlfn.XLOOKUP(L196,B:B,C:C,"エラー")))</f>
        <v/>
      </c>
      <c r="N196" s="11"/>
      <c r="O196" s="11"/>
      <c r="P196" s="11"/>
      <c r="Q196" s="11" t="s">
        <v>243</v>
      </c>
      <c r="R196" s="9"/>
      <c r="S196" s="9"/>
      <c r="T196" s="9"/>
      <c r="U196" s="11"/>
    </row>
    <row r="197" spans="1:21" ht="18.75" customHeight="1">
      <c r="A197" s="9" t="s">
        <v>46</v>
      </c>
      <c r="B197" s="9" t="str">
        <f ca="1">D197&amp;"."&amp;F197</f>
        <v>images_system.content_type</v>
      </c>
      <c r="C197" s="10">
        <f t="shared" ref="C197:C251" si="5">ROW()-1</f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244</v>
      </c>
      <c r="G197" s="11" t="s">
        <v>245</v>
      </c>
      <c r="H197" s="11" t="s">
        <v>246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400</v>
      </c>
      <c r="J197" s="11"/>
      <c r="K197" s="11"/>
      <c r="L197" s="9"/>
      <c r="M197" s="11" t="str">
        <f>IF(K197="","",IF(L197="","参照先未定義",_xlfn.XLOOKUP(L197,B:B,C:C,"エラー")))</f>
        <v/>
      </c>
      <c r="N197" s="11"/>
      <c r="O197" s="11"/>
      <c r="P197" s="11"/>
      <c r="Q197" s="11" t="s">
        <v>247</v>
      </c>
      <c r="R197" s="9"/>
      <c r="S197" s="9"/>
      <c r="T197" s="9"/>
      <c r="U197" s="11"/>
    </row>
    <row r="198" spans="1:21" ht="18.75" customHeight="1">
      <c r="A198" s="9" t="s">
        <v>46</v>
      </c>
      <c r="B198" s="9" t="str">
        <f ca="1">D198&amp;"."&amp;F198</f>
        <v>images_system.width</v>
      </c>
      <c r="C198" s="10">
        <f t="shared" si="5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248</v>
      </c>
      <c r="G198" s="11" t="s">
        <v>249</v>
      </c>
      <c r="H198" s="11" t="s">
        <v>99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32</v>
      </c>
      <c r="J198" s="11"/>
      <c r="K198" s="11"/>
      <c r="L198" s="9"/>
      <c r="M198" s="11" t="str">
        <f>IF(K198="","",IF(L198="","参照先未定義",_xlfn.XLOOKUP(L198,B:B,C:C,"エラー")))</f>
        <v/>
      </c>
      <c r="N198" s="11"/>
      <c r="O198" s="11"/>
      <c r="P198" s="11"/>
      <c r="Q198" s="11"/>
      <c r="R198" s="9"/>
      <c r="S198" s="9"/>
      <c r="T198" s="9"/>
      <c r="U198" s="11"/>
    </row>
    <row r="199" spans="1:21" ht="18.75" customHeight="1">
      <c r="A199" s="9" t="s">
        <v>46</v>
      </c>
      <c r="B199" s="9" t="str">
        <f ca="1">D199&amp;"."&amp;F199</f>
        <v>images_system.height</v>
      </c>
      <c r="C199" s="10">
        <f t="shared" si="5"/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72</v>
      </c>
      <c r="G199" s="11" t="s">
        <v>250</v>
      </c>
      <c r="H199" s="11" t="s">
        <v>99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32</v>
      </c>
      <c r="J199" s="11"/>
      <c r="K199" s="11"/>
      <c r="L199" s="9"/>
      <c r="M199" s="11" t="str">
        <f>IF(K199="","",IF(L199="","参照先未定義",_xlfn.XLOOKUP(L199,B:B,C:C,"エラー")))</f>
        <v/>
      </c>
      <c r="N199" s="11"/>
      <c r="O199" s="11"/>
      <c r="P199" s="11"/>
      <c r="Q199" s="11"/>
      <c r="R199" s="9"/>
      <c r="S199" s="9"/>
      <c r="T199" s="9"/>
      <c r="U199" s="11"/>
    </row>
    <row r="200" spans="1:21" ht="18.75" customHeight="1">
      <c r="A200" s="9" t="s">
        <v>46</v>
      </c>
      <c r="B200" s="9" t="str">
        <f ca="1">D200&amp;"."&amp;F200</f>
        <v>images_system.file_size</v>
      </c>
      <c r="C200" s="10">
        <f t="shared" si="5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251</v>
      </c>
      <c r="G200" s="11" t="s">
        <v>252</v>
      </c>
      <c r="H200" s="11" t="s">
        <v>99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32</v>
      </c>
      <c r="J200" s="11"/>
      <c r="K200" s="11"/>
      <c r="L200" s="9"/>
      <c r="M200" s="11" t="str">
        <f>IF(K200="","",IF(L200="","参照先未定義",_xlfn.XLOOKUP(L200,B:B,C:C,"エラー")))</f>
        <v/>
      </c>
      <c r="N200" s="11"/>
      <c r="O200" s="11"/>
      <c r="P200" s="11"/>
      <c r="Q200" s="11"/>
      <c r="R200" s="9"/>
      <c r="S200" s="9"/>
      <c r="T200" s="9"/>
      <c r="U200" s="11"/>
    </row>
    <row r="201" spans="1:21" ht="18.75" customHeight="1">
      <c r="A201" s="9" t="s">
        <v>46</v>
      </c>
      <c r="B201" s="9" t="str">
        <f ca="1">D201&amp;"."&amp;F201</f>
        <v>images_system.alt_text</v>
      </c>
      <c r="C201" s="10">
        <f t="shared" si="5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253</v>
      </c>
      <c r="G201" s="11" t="s">
        <v>254</v>
      </c>
      <c r="H201" s="11" t="s">
        <v>162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2040</v>
      </c>
      <c r="J201" s="11"/>
      <c r="K201" s="11"/>
      <c r="L201" s="9"/>
      <c r="M201" s="11" t="str">
        <f>IF(K201="","",IF(L201="","参照先未定義",_xlfn.XLOOKUP(L201,B:B,C:C,"エラー")))</f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>
      <c r="A202" s="9" t="s">
        <v>46</v>
      </c>
      <c r="B202" s="9" t="str">
        <f ca="1">D202&amp;"."&amp;F202</f>
        <v>images_system.create_datetime</v>
      </c>
      <c r="C202" s="10">
        <f t="shared" si="5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104</v>
      </c>
      <c r="G202" s="11" t="s">
        <v>105</v>
      </c>
      <c r="H202" s="11" t="s">
        <v>488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64</v>
      </c>
      <c r="J202" s="11"/>
      <c r="K202" s="11"/>
      <c r="L202" s="9"/>
      <c r="M202" s="11" t="str">
        <f>IF(K202="","",IF(L202="","参照先未定義",_xlfn.XLOOKUP(L202,B:B,C:C,"エラー")))</f>
        <v/>
      </c>
      <c r="N202" s="11" t="s">
        <v>48</v>
      </c>
      <c r="O202" s="11"/>
      <c r="P202" s="11" t="s">
        <v>106</v>
      </c>
      <c r="Q202" s="11"/>
      <c r="R202" s="9"/>
      <c r="S202" s="9"/>
      <c r="T202" s="9"/>
      <c r="U202" s="11"/>
    </row>
    <row r="203" spans="1:21" ht="18.75" customHeight="1">
      <c r="A203" s="9" t="s">
        <v>46</v>
      </c>
      <c r="B203" s="9" t="str">
        <f ca="1">D203&amp;"."&amp;F203</f>
        <v>images_system.create_user</v>
      </c>
      <c r="C203" s="10">
        <f t="shared" si="5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107</v>
      </c>
      <c r="G203" s="11" t="s">
        <v>108</v>
      </c>
      <c r="H203" s="11" t="s">
        <v>65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256</v>
      </c>
      <c r="J203" s="11"/>
      <c r="K203" s="11"/>
      <c r="L203" s="9"/>
      <c r="M203" s="11" t="str">
        <f>IF(K203="","",IF(L203="","参照先未定義",_xlfn.XLOOKUP(L203,B:B,C:C,"エラー")))</f>
        <v/>
      </c>
      <c r="N203" s="11" t="s">
        <v>48</v>
      </c>
      <c r="O203" s="11"/>
      <c r="P203" s="11" t="s">
        <v>109</v>
      </c>
      <c r="Q203" s="11"/>
      <c r="R203" s="9"/>
      <c r="S203" s="9"/>
      <c r="T203" s="9"/>
      <c r="U203" s="11" t="s">
        <v>110</v>
      </c>
    </row>
    <row r="204" spans="1:21" ht="18.75" customHeight="1">
      <c r="A204" s="9" t="s">
        <v>46</v>
      </c>
      <c r="B204" s="9" t="str">
        <f ca="1">D204&amp;"."&amp;F204</f>
        <v>images_system.update_datetime</v>
      </c>
      <c r="C204" s="10">
        <f t="shared" si="5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111</v>
      </c>
      <c r="G204" s="11" t="s">
        <v>112</v>
      </c>
      <c r="H204" s="11" t="s">
        <v>488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64</v>
      </c>
      <c r="J204" s="11"/>
      <c r="K204" s="11"/>
      <c r="L204" s="9"/>
      <c r="M204" s="11" t="str">
        <f>IF(K204="","",IF(L204="","参照先未定義",_xlfn.XLOOKUP(L204,B:B,C:C,"エラー")))</f>
        <v/>
      </c>
      <c r="N204" s="11" t="s">
        <v>48</v>
      </c>
      <c r="O204" s="11"/>
      <c r="P204" s="11" t="s">
        <v>106</v>
      </c>
      <c r="Q204" s="11"/>
      <c r="R204" s="9"/>
      <c r="S204" s="9"/>
      <c r="T204" s="9"/>
      <c r="U204" s="11"/>
    </row>
    <row r="205" spans="1:21" ht="18.75" customHeight="1">
      <c r="A205" s="9" t="s">
        <v>46</v>
      </c>
      <c r="B205" s="9" t="str">
        <f ca="1">D205&amp;"."&amp;F205</f>
        <v>images_system.update_user</v>
      </c>
      <c r="C205" s="10">
        <f t="shared" si="5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65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256</v>
      </c>
      <c r="J205" s="11"/>
      <c r="K205" s="11"/>
      <c r="L205" s="9"/>
      <c r="M205" s="11" t="str">
        <f>IF(K205="","",IF(L205="","参照先未定義",_xlfn.XLOOKUP(L205,B:B,C:C,"エラー")))</f>
        <v/>
      </c>
      <c r="N205" s="11" t="s">
        <v>48</v>
      </c>
      <c r="O205" s="11"/>
      <c r="P205" s="11" t="s">
        <v>109</v>
      </c>
      <c r="Q205" s="11"/>
      <c r="R205" s="9"/>
      <c r="S205" s="9"/>
      <c r="T205" s="9"/>
      <c r="U205" s="11" t="s">
        <v>110</v>
      </c>
    </row>
    <row r="206" spans="1:21" ht="18.75" customHeight="1">
      <c r="A206" s="9" t="s">
        <v>46</v>
      </c>
      <c r="B206" s="9" t="str">
        <f ca="1">D206&amp;"."&amp;F206</f>
        <v>images_system.soft_delete_flag</v>
      </c>
      <c r="C206" s="10">
        <f t="shared" si="5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115</v>
      </c>
      <c r="G206" s="11" t="s">
        <v>116</v>
      </c>
      <c r="H206" s="11" t="s">
        <v>490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8</v>
      </c>
      <c r="J206" s="11"/>
      <c r="K206" s="11"/>
      <c r="L206" s="9"/>
      <c r="M206" s="11" t="str">
        <f>IF(K206="","",IF(L206="","参照先未定義",_xlfn.XLOOKUP(L206,B:B,C:C,"エラー")))</f>
        <v/>
      </c>
      <c r="N206" s="11" t="s">
        <v>48</v>
      </c>
      <c r="O206" s="11"/>
      <c r="P206" s="11" t="b">
        <v>0</v>
      </c>
      <c r="Q206" s="11"/>
      <c r="R206" s="9"/>
      <c r="S206" s="9"/>
      <c r="T206" s="9"/>
      <c r="U206" s="11"/>
    </row>
    <row r="207" spans="1:21" ht="18.75" customHeight="1">
      <c r="A207" s="9" t="s">
        <v>46</v>
      </c>
      <c r="B207" s="9" t="str">
        <f>D207&amp;"."&amp;F207</f>
        <v>screen_element.screen_element_sequence_id</v>
      </c>
      <c r="C207" s="10">
        <f t="shared" si="5"/>
        <v>206</v>
      </c>
      <c r="D207" s="11" t="s">
        <v>256</v>
      </c>
      <c r="E207" s="11" t="s">
        <v>257</v>
      </c>
      <c r="F207" s="11" t="str">
        <f>D207&amp;"_sequence_id"</f>
        <v>screen_element_sequence_id</v>
      </c>
      <c r="G207" s="11" t="str">
        <f>E207&amp;"ID"</f>
        <v>画面要素ID</v>
      </c>
      <c r="H207" s="11" t="s">
        <v>552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32</v>
      </c>
      <c r="J207" s="11" t="s">
        <v>453</v>
      </c>
      <c r="K207" s="11"/>
      <c r="L207" s="9"/>
      <c r="M207" s="11" t="str">
        <f>IF(K207="","",IF(L207="","参照先未定義",_xlfn.XLOOKUP(L207,B:B,C:C,"エラー")))</f>
        <v/>
      </c>
      <c r="N207" s="11" t="s">
        <v>474</v>
      </c>
      <c r="O207" s="11" t="s">
        <v>474</v>
      </c>
      <c r="P207" s="11" t="s">
        <v>551</v>
      </c>
      <c r="Q207" s="11"/>
      <c r="R207" s="9"/>
      <c r="S207" s="9"/>
      <c r="T207" s="9"/>
      <c r="U207" s="11"/>
    </row>
    <row r="208" spans="1:21" ht="18.75" customHeight="1">
      <c r="A208" s="9" t="s">
        <v>46</v>
      </c>
      <c r="B208" s="9" t="str">
        <f ca="1">D208&amp;"."&amp;F208</f>
        <v>screen_element.message_id</v>
      </c>
      <c r="C208" s="10">
        <f t="shared" si="5"/>
        <v>207</v>
      </c>
      <c r="D208" s="11" t="str" cm="1">
        <f t="array" aca="1" ref="D208" ca="1">INDIRECT(ADDRESS(ROW()-1,COLUMN()))</f>
        <v>screen_element</v>
      </c>
      <c r="E208" s="11" t="str" cm="1">
        <f t="array" aca="1" ref="E208" ca="1">INDIRECT(ADDRESS(ROW()-1,COLUMN()))</f>
        <v>画面要素</v>
      </c>
      <c r="F208" s="11" t="s">
        <v>190</v>
      </c>
      <c r="G208" s="11" t="s">
        <v>191</v>
      </c>
      <c r="H208" s="11" t="s">
        <v>71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128</v>
      </c>
      <c r="J208" s="11"/>
      <c r="K208" s="11"/>
      <c r="L208" s="9"/>
      <c r="M208" s="11" t="str">
        <f>IF(K208="","",IF(L208="","参照先未定義",_xlfn.XLOOKUP(L208,B:B,C:C,"エラー")))</f>
        <v/>
      </c>
      <c r="N208" s="11" t="s">
        <v>466</v>
      </c>
      <c r="O208" s="11" t="s">
        <v>466</v>
      </c>
      <c r="P208" s="11"/>
      <c r="Q208" s="11" t="s">
        <v>192</v>
      </c>
      <c r="R208" s="9"/>
      <c r="S208" s="9"/>
      <c r="T208" s="9"/>
      <c r="U208" s="11"/>
    </row>
    <row r="209" spans="1:21" ht="18.75" customHeight="1">
      <c r="A209" s="9" t="s">
        <v>46</v>
      </c>
      <c r="B209" s="9" t="str">
        <f ca="1">D209&amp;"."&amp;F209</f>
        <v>screen_element.create_datetime</v>
      </c>
      <c r="C209" s="10">
        <f t="shared" si="5"/>
        <v>208</v>
      </c>
      <c r="D209" s="11" t="str" cm="1">
        <f t="array" aca="1" ref="D209" ca="1">INDIRECT(ADDRESS(ROW()-1,COLUMN()))</f>
        <v>screen_element</v>
      </c>
      <c r="E209" s="11" t="str" cm="1">
        <f t="array" aca="1" ref="E209" ca="1">INDIRECT(ADDRESS(ROW()-1,COLUMN()))</f>
        <v>画面要素</v>
      </c>
      <c r="F209" s="11" t="s">
        <v>104</v>
      </c>
      <c r="G209" s="11" t="s">
        <v>105</v>
      </c>
      <c r="H209" s="11" t="s">
        <v>488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64</v>
      </c>
      <c r="J209" s="11"/>
      <c r="K209" s="11"/>
      <c r="L209" s="9"/>
      <c r="M209" s="11" t="str">
        <f>IF(K209="","",IF(L209="","参照先未定義",_xlfn.XLOOKUP(L209,B:B,C:C,"エラー")))</f>
        <v/>
      </c>
      <c r="N209" s="11" t="s">
        <v>48</v>
      </c>
      <c r="O209" s="11"/>
      <c r="P209" s="11" t="s">
        <v>106</v>
      </c>
      <c r="Q209" s="11"/>
      <c r="R209" s="9"/>
      <c r="S209" s="9"/>
      <c r="T209" s="9"/>
      <c r="U209" s="11"/>
    </row>
    <row r="210" spans="1:21" ht="18.75" customHeight="1">
      <c r="A210" s="9" t="s">
        <v>46</v>
      </c>
      <c r="B210" s="9" t="str">
        <f ca="1">D210&amp;"."&amp;F210</f>
        <v>screen_element.create_user</v>
      </c>
      <c r="C210" s="10">
        <f t="shared" si="5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107</v>
      </c>
      <c r="G210" s="11" t="s">
        <v>108</v>
      </c>
      <c r="H210" s="11" t="s">
        <v>65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256</v>
      </c>
      <c r="J210" s="11"/>
      <c r="K210" s="11"/>
      <c r="L210" s="9"/>
      <c r="M210" s="11" t="str">
        <f>IF(K210="","",IF(L210="","参照先未定義",_xlfn.XLOOKUP(L210,B:B,C:C,"エラー")))</f>
        <v/>
      </c>
      <c r="N210" s="11" t="s">
        <v>48</v>
      </c>
      <c r="O210" s="11"/>
      <c r="P210" s="11" t="s">
        <v>109</v>
      </c>
      <c r="Q210" s="11"/>
      <c r="R210" s="9"/>
      <c r="S210" s="9"/>
      <c r="T210" s="9"/>
      <c r="U210" s="11" t="s">
        <v>110</v>
      </c>
    </row>
    <row r="211" spans="1:21" ht="18.75" customHeight="1">
      <c r="A211" s="9" t="s">
        <v>46</v>
      </c>
      <c r="B211" s="9" t="str">
        <f ca="1">D211&amp;"."&amp;F211</f>
        <v>screen_element.update_datetime</v>
      </c>
      <c r="C211" s="10">
        <f t="shared" si="5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111</v>
      </c>
      <c r="G211" s="11" t="s">
        <v>112</v>
      </c>
      <c r="H211" s="11" t="s">
        <v>488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64</v>
      </c>
      <c r="J211" s="11"/>
      <c r="K211" s="11"/>
      <c r="L211" s="9"/>
      <c r="M211" s="11" t="str">
        <f>IF(K211="","",IF(L211="","参照先未定義",_xlfn.XLOOKUP(L211,B:B,C:C,"エラー")))</f>
        <v/>
      </c>
      <c r="N211" s="11" t="s">
        <v>48</v>
      </c>
      <c r="O211" s="11"/>
      <c r="P211" s="11" t="s">
        <v>106</v>
      </c>
      <c r="Q211" s="11"/>
      <c r="R211" s="9"/>
      <c r="S211" s="9"/>
      <c r="T211" s="9"/>
      <c r="U211" s="11"/>
    </row>
    <row r="212" spans="1:21" ht="18.75" customHeight="1">
      <c r="A212" s="9" t="s">
        <v>46</v>
      </c>
      <c r="B212" s="9" t="str">
        <f ca="1">D212&amp;"."&amp;F212</f>
        <v>screen_element.update_user</v>
      </c>
      <c r="C212" s="10">
        <f t="shared" si="5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65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256</v>
      </c>
      <c r="J212" s="11"/>
      <c r="K212" s="11"/>
      <c r="L212" s="9"/>
      <c r="M212" s="11" t="str">
        <f>IF(K212="","",IF(L212="","参照先未定義",_xlfn.XLOOKUP(L212,B:B,C:C,"エラー")))</f>
        <v/>
      </c>
      <c r="N212" s="11" t="s">
        <v>48</v>
      </c>
      <c r="O212" s="11"/>
      <c r="P212" s="11" t="s">
        <v>109</v>
      </c>
      <c r="Q212" s="11"/>
      <c r="R212" s="9"/>
      <c r="S212" s="9"/>
      <c r="T212" s="9"/>
      <c r="U212" s="11" t="s">
        <v>110</v>
      </c>
    </row>
    <row r="213" spans="1:21" ht="18.75" customHeight="1">
      <c r="A213" s="9" t="s">
        <v>46</v>
      </c>
      <c r="B213" s="9" t="str">
        <f ca="1">D213&amp;"."&amp;F213</f>
        <v>screen_element.soft_delete_flag</v>
      </c>
      <c r="C213" s="10">
        <f t="shared" si="5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115</v>
      </c>
      <c r="G213" s="11" t="s">
        <v>116</v>
      </c>
      <c r="H213" s="11" t="s">
        <v>490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8</v>
      </c>
      <c r="J213" s="11"/>
      <c r="K213" s="11"/>
      <c r="L213" s="9"/>
      <c r="M213" s="11" t="str">
        <f>IF(K213="","",IF(L213="","参照先未定義",_xlfn.XLOOKUP(L213,B:B,C:C,"エラー")))</f>
        <v/>
      </c>
      <c r="N213" s="11" t="s">
        <v>48</v>
      </c>
      <c r="O213" s="11"/>
      <c r="P213" s="11" t="b">
        <v>0</v>
      </c>
      <c r="Q213" s="11"/>
      <c r="R213" s="9"/>
      <c r="S213" s="9"/>
      <c r="T213" s="9"/>
      <c r="U213" s="11"/>
    </row>
    <row r="214" spans="1:21" ht="18.75" customHeight="1">
      <c r="A214" s="9" t="s">
        <v>46</v>
      </c>
      <c r="B214" s="9" t="str">
        <f>D214&amp;"."&amp;F214</f>
        <v>likes.likes_sequence_id</v>
      </c>
      <c r="C214" s="10">
        <f t="shared" si="5"/>
        <v>213</v>
      </c>
      <c r="D214" s="11" t="s">
        <v>475</v>
      </c>
      <c r="E214" s="11" t="s">
        <v>98</v>
      </c>
      <c r="F214" s="11" t="str">
        <f>D214&amp;"_sequence_id"</f>
        <v>likes_sequence_id</v>
      </c>
      <c r="G214" s="11" t="str">
        <f>E214&amp;"ID"</f>
        <v>いいねID</v>
      </c>
      <c r="H214" s="11" t="s">
        <v>552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32</v>
      </c>
      <c r="J214" s="11" t="s">
        <v>453</v>
      </c>
      <c r="K214" s="11"/>
      <c r="L214" s="9"/>
      <c r="M214" s="11" t="str">
        <f>IF(K214="","",IF(L214="","参照先未定義",_xlfn.XLOOKUP(L214,B:B,C:C,"エラー")))</f>
        <v/>
      </c>
      <c r="N214" s="11" t="s">
        <v>474</v>
      </c>
      <c r="O214" s="11" t="s">
        <v>474</v>
      </c>
      <c r="P214" s="11" t="s">
        <v>551</v>
      </c>
      <c r="Q214" s="11"/>
      <c r="R214" s="9"/>
      <c r="S214" s="9"/>
      <c r="T214" s="9"/>
      <c r="U214" s="11"/>
    </row>
    <row r="215" spans="1:21" ht="18.75" customHeight="1">
      <c r="A215" s="9" t="s">
        <v>46</v>
      </c>
      <c r="B215" s="9" t="str">
        <f>D215&amp;"."&amp;F215</f>
        <v>likes.likes_do_user</v>
      </c>
      <c r="C215" s="10">
        <f t="shared" si="5"/>
        <v>214</v>
      </c>
      <c r="D215" s="11" t="s">
        <v>475</v>
      </c>
      <c r="E215" s="11" t="str" cm="1">
        <f t="array" aca="1" ref="E215" ca="1">INDIRECT(ADDRESS(ROW()-1,COLUMN()))</f>
        <v>いいね</v>
      </c>
      <c r="F215" s="11" t="s">
        <v>476</v>
      </c>
      <c r="G215" s="11" t="s">
        <v>258</v>
      </c>
      <c r="H215" s="11" t="s">
        <v>99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32</v>
      </c>
      <c r="J215" s="11"/>
      <c r="K215" s="11" t="s">
        <v>456</v>
      </c>
      <c r="L215" s="9" t="s">
        <v>555</v>
      </c>
      <c r="M215" s="11">
        <f ca="1">IF(K215="","",IF(L215="","参照先未定義",_xlfn.XLOOKUP(L215,B:B,C:C,"エラー")))</f>
        <v>149</v>
      </c>
      <c r="N215" s="11" t="s">
        <v>48</v>
      </c>
      <c r="O215" s="11" t="s">
        <v>473</v>
      </c>
      <c r="P215" s="11"/>
      <c r="Q215" s="11" t="s">
        <v>583</v>
      </c>
      <c r="R215" s="9"/>
      <c r="S215" s="9"/>
      <c r="T215" s="9"/>
      <c r="U215" s="11"/>
    </row>
    <row r="216" spans="1:21" ht="18.75" customHeight="1">
      <c r="A216" s="9" t="s">
        <v>46</v>
      </c>
      <c r="B216" s="9" t="str">
        <f ca="1">D216&amp;"."&amp;F216</f>
        <v>likes.likes_target_user</v>
      </c>
      <c r="C216" s="10">
        <f t="shared" si="5"/>
        <v>215</v>
      </c>
      <c r="D216" s="11" t="str" cm="1">
        <f t="array" aca="1" ref="D216" ca="1">INDIRECT(ADDRESS(ROW()-1,COLUMN()))</f>
        <v>likes</v>
      </c>
      <c r="E216" s="11" t="str" cm="1">
        <f t="array" aca="1" ref="E216" ca="1">INDIRECT(ADDRESS(ROW()-1,COLUMN()))</f>
        <v>いいね</v>
      </c>
      <c r="F216" s="11" t="s">
        <v>477</v>
      </c>
      <c r="G216" s="11" t="s">
        <v>259</v>
      </c>
      <c r="H216" s="11" t="s">
        <v>99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32</v>
      </c>
      <c r="J216" s="11"/>
      <c r="K216" s="11" t="s">
        <v>456</v>
      </c>
      <c r="L216" s="9" t="s">
        <v>555</v>
      </c>
      <c r="M216" s="11">
        <f ca="1">IF(K216="","",IF(L216="","参照先未定義",_xlfn.XLOOKUP(L216,B:B,C:C,"エラー")))</f>
        <v>149</v>
      </c>
      <c r="N216" s="11" t="s">
        <v>48</v>
      </c>
      <c r="O216" s="11" t="s">
        <v>473</v>
      </c>
      <c r="P216" s="11"/>
      <c r="Q216" s="11" t="s">
        <v>584</v>
      </c>
      <c r="R216" s="9"/>
      <c r="S216" s="9"/>
      <c r="T216" s="9"/>
      <c r="U216" s="11"/>
    </row>
    <row r="217" spans="1:21" ht="18.75" customHeight="1">
      <c r="A217" s="9" t="s">
        <v>46</v>
      </c>
      <c r="B217" s="9" t="str">
        <f ca="1">D217&amp;"."&amp;F217</f>
        <v>likes.likes_type</v>
      </c>
      <c r="C217" s="10">
        <f t="shared" si="5"/>
        <v>216</v>
      </c>
      <c r="D217" s="11" t="str" cm="1">
        <f t="array" aca="1" ref="D217" ca="1">INDIRECT(ADDRESS(ROW()-1,COLUMN()))</f>
        <v>likes</v>
      </c>
      <c r="E217" s="11" t="str" cm="1">
        <f t="array" aca="1" ref="E217" ca="1">INDIRECT(ADDRESS(ROW()-1,COLUMN()))</f>
        <v>いいね</v>
      </c>
      <c r="F217" s="11" t="s">
        <v>478</v>
      </c>
      <c r="G217" s="11" t="s">
        <v>260</v>
      </c>
      <c r="H217" s="11" t="s">
        <v>489</v>
      </c>
      <c r="I217" s="11" t="str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-</v>
      </c>
      <c r="J217" s="11"/>
      <c r="K217" s="11"/>
      <c r="L217" s="9"/>
      <c r="M217" s="11" t="str">
        <f>IF(K217="","",IF(L217="","参照先未定義",_xlfn.XLOOKUP(L217,B:B,C:C,"エラー")))</f>
        <v/>
      </c>
      <c r="N217" s="11" t="s">
        <v>48</v>
      </c>
      <c r="O217" s="11" t="s">
        <v>473</v>
      </c>
      <c r="P217" s="11"/>
      <c r="Q217" s="11" t="s">
        <v>479</v>
      </c>
      <c r="R217" s="9"/>
      <c r="S217" s="9"/>
      <c r="T217" s="9"/>
      <c r="U217" s="11"/>
    </row>
    <row r="218" spans="1:21" ht="18.75" customHeight="1">
      <c r="A218" s="9" t="s">
        <v>46</v>
      </c>
      <c r="B218" s="9" t="str">
        <f ca="1">D218&amp;"."&amp;F218</f>
        <v>likes.likes_datetime</v>
      </c>
      <c r="C218" s="10">
        <f t="shared" si="5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480</v>
      </c>
      <c r="G218" s="11" t="s">
        <v>261</v>
      </c>
      <c r="H218" s="11" t="s">
        <v>488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64</v>
      </c>
      <c r="J218" s="11"/>
      <c r="K218" s="11"/>
      <c r="L218" s="9"/>
      <c r="M218" s="11" t="str">
        <f>IF(K218="","",IF(L218="","参照先未定義",_xlfn.XLOOKUP(L218,B:B,C:C,"エラー")))</f>
        <v/>
      </c>
      <c r="N218" s="11" t="s">
        <v>48</v>
      </c>
      <c r="O218" s="11"/>
      <c r="P218" s="11"/>
      <c r="Q218" s="11"/>
      <c r="R218" s="9"/>
      <c r="S218" s="9"/>
      <c r="T218" s="9"/>
      <c r="U218" s="11"/>
    </row>
    <row r="219" spans="1:21" ht="18.75" customHeight="1">
      <c r="A219" s="9" t="s">
        <v>46</v>
      </c>
      <c r="B219" s="9" t="str">
        <f ca="1">D219&amp;"."&amp;F219</f>
        <v>likes.create_datetime</v>
      </c>
      <c r="C219" s="10">
        <f t="shared" si="5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104</v>
      </c>
      <c r="G219" s="11" t="s">
        <v>105</v>
      </c>
      <c r="H219" s="11" t="s">
        <v>488</v>
      </c>
      <c r="I219" s="11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64</v>
      </c>
      <c r="J219" s="11"/>
      <c r="K219" s="11"/>
      <c r="L219" s="9"/>
      <c r="M219" s="11" t="str">
        <f>IF(K219="","",IF(L219="","参照先未定義",_xlfn.XLOOKUP(L219,B:B,C:C,"エラー")))</f>
        <v/>
      </c>
      <c r="N219" s="11" t="s">
        <v>48</v>
      </c>
      <c r="O219" s="11"/>
      <c r="P219" s="11" t="s">
        <v>106</v>
      </c>
      <c r="Q219" s="11"/>
      <c r="R219" s="9"/>
      <c r="S219" s="9"/>
      <c r="T219" s="9"/>
      <c r="U219" s="11"/>
    </row>
    <row r="220" spans="1:21" ht="18.75" customHeight="1">
      <c r="A220" s="9" t="s">
        <v>46</v>
      </c>
      <c r="B220" s="9" t="str">
        <f ca="1">D220&amp;"."&amp;F220</f>
        <v>likes.create_user</v>
      </c>
      <c r="C220" s="10">
        <f t="shared" si="5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107</v>
      </c>
      <c r="G220" s="11" t="s">
        <v>108</v>
      </c>
      <c r="H220" s="11" t="s">
        <v>65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256</v>
      </c>
      <c r="J220" s="11"/>
      <c r="K220" s="11"/>
      <c r="L220" s="9"/>
      <c r="M220" s="11" t="str">
        <f>IF(K220="","",IF(L220="","参照先未定義",_xlfn.XLOOKUP(L220,B:B,C:C,"エラー")))</f>
        <v/>
      </c>
      <c r="N220" s="11" t="s">
        <v>48</v>
      </c>
      <c r="O220" s="11"/>
      <c r="P220" s="11" t="s">
        <v>109</v>
      </c>
      <c r="Q220" s="11"/>
      <c r="R220" s="9"/>
      <c r="S220" s="9"/>
      <c r="T220" s="9"/>
      <c r="U220" s="11" t="s">
        <v>110</v>
      </c>
    </row>
    <row r="221" spans="1:21" ht="18.75" customHeight="1">
      <c r="A221" s="9" t="s">
        <v>46</v>
      </c>
      <c r="B221" s="9" t="str">
        <f ca="1">D221&amp;"."&amp;F221</f>
        <v>likes.update_datetime</v>
      </c>
      <c r="C221" s="10">
        <f t="shared" si="5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111</v>
      </c>
      <c r="G221" s="11" t="s">
        <v>112</v>
      </c>
      <c r="H221" s="11" t="s">
        <v>488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64</v>
      </c>
      <c r="J221" s="11"/>
      <c r="K221" s="11"/>
      <c r="L221" s="9"/>
      <c r="M221" s="11" t="str">
        <f>IF(K221="","",IF(L221="","参照先未定義",_xlfn.XLOOKUP(L221,B:B,C:C,"エラー")))</f>
        <v/>
      </c>
      <c r="N221" s="11" t="s">
        <v>48</v>
      </c>
      <c r="O221" s="11"/>
      <c r="P221" s="11" t="s">
        <v>106</v>
      </c>
      <c r="Q221" s="11"/>
      <c r="R221" s="9"/>
      <c r="S221" s="9"/>
      <c r="T221" s="9"/>
      <c r="U221" s="11"/>
    </row>
    <row r="222" spans="1:21" ht="18.75" customHeight="1">
      <c r="A222" s="9" t="s">
        <v>46</v>
      </c>
      <c r="B222" s="9" t="str">
        <f ca="1">D222&amp;"."&amp;F222</f>
        <v>likes.update_user</v>
      </c>
      <c r="C222" s="10">
        <f t="shared" si="5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65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256</v>
      </c>
      <c r="J222" s="11"/>
      <c r="K222" s="11"/>
      <c r="L222" s="9"/>
      <c r="M222" s="11" t="str">
        <f>IF(K222="","",IF(L222="","参照先未定義",_xlfn.XLOOKUP(L222,B:B,C:C,"エラー")))</f>
        <v/>
      </c>
      <c r="N222" s="11" t="s">
        <v>48</v>
      </c>
      <c r="O222" s="11"/>
      <c r="P222" s="11" t="s">
        <v>109</v>
      </c>
      <c r="Q222" s="11"/>
      <c r="R222" s="9"/>
      <c r="S222" s="9"/>
      <c r="T222" s="9"/>
      <c r="U222" s="11" t="s">
        <v>110</v>
      </c>
    </row>
    <row r="223" spans="1:21" ht="18.75" customHeight="1">
      <c r="A223" s="9" t="s">
        <v>46</v>
      </c>
      <c r="B223" s="9" t="str">
        <f ca="1">D223&amp;"."&amp;F223</f>
        <v>likes.soft_delete_flag</v>
      </c>
      <c r="C223" s="10">
        <f t="shared" si="5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115</v>
      </c>
      <c r="G223" s="11" t="s">
        <v>116</v>
      </c>
      <c r="H223" s="11" t="s">
        <v>490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8</v>
      </c>
      <c r="J223" s="11"/>
      <c r="K223" s="11"/>
      <c r="L223" s="9"/>
      <c r="M223" s="11" t="str">
        <f>IF(K223="","",IF(L223="","参照先未定義",_xlfn.XLOOKUP(L223,B:B,C:C,"エラー")))</f>
        <v/>
      </c>
      <c r="N223" s="11" t="s">
        <v>48</v>
      </c>
      <c r="O223" s="11"/>
      <c r="P223" s="11" t="b">
        <v>0</v>
      </c>
      <c r="Q223" s="11"/>
      <c r="R223" s="9"/>
      <c r="S223" s="9"/>
      <c r="T223" s="9"/>
      <c r="U223" s="11"/>
    </row>
    <row r="224" spans="1:21" ht="18.75" customHeight="1">
      <c r="A224" s="9" t="s">
        <v>46</v>
      </c>
      <c r="B224" s="9" t="str">
        <f>D224&amp;"."&amp;F224</f>
        <v>movie_link.movie_link_sequence_id</v>
      </c>
      <c r="C224" s="10">
        <f t="shared" si="5"/>
        <v>223</v>
      </c>
      <c r="D224" s="11" t="s">
        <v>262</v>
      </c>
      <c r="E224" s="11" t="s">
        <v>77</v>
      </c>
      <c r="F224" s="11" t="str">
        <f>D224&amp;"_sequence_id"</f>
        <v>movie_link_sequence_id</v>
      </c>
      <c r="G224" s="11" t="str">
        <f>E224&amp;"ID"</f>
        <v>動画リンクID</v>
      </c>
      <c r="H224" s="11" t="s">
        <v>552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32</v>
      </c>
      <c r="J224" s="11" t="s">
        <v>453</v>
      </c>
      <c r="K224" s="11"/>
      <c r="L224" s="9"/>
      <c r="M224" s="11" t="str">
        <f>IF(K224="","",IF(L224="","参照先未定義",_xlfn.XLOOKUP(L224,B:B,C:C,"エラー")))</f>
        <v/>
      </c>
      <c r="N224" s="11" t="s">
        <v>474</v>
      </c>
      <c r="O224" s="11" t="s">
        <v>474</v>
      </c>
      <c r="P224" s="11" t="s">
        <v>551</v>
      </c>
      <c r="Q224" s="11"/>
      <c r="R224" s="9"/>
      <c r="S224" s="9"/>
      <c r="T224" s="9"/>
      <c r="U224" s="11"/>
    </row>
    <row r="225" spans="1:21" ht="18.75" customHeight="1">
      <c r="A225" s="9" t="s">
        <v>46</v>
      </c>
      <c r="B225" s="9" t="str">
        <f ca="1">D225&amp;"."&amp;F225</f>
        <v>movie_link.vtuber_profiles_id</v>
      </c>
      <c r="C225" s="10">
        <f t="shared" si="5"/>
        <v>224</v>
      </c>
      <c r="D225" s="11" t="str" cm="1">
        <f t="array" aca="1" ref="D225" ca="1">INDIRECT(ADDRESS(ROW()-1,COLUMN()))</f>
        <v>movie_link</v>
      </c>
      <c r="E225" s="11" t="str" cm="1">
        <f t="array" aca="1" ref="E225" ca="1">INDIRECT(ADDRESS(ROW()-1,COLUMN()))</f>
        <v>動画リンク</v>
      </c>
      <c r="F225" s="11" t="s">
        <v>49</v>
      </c>
      <c r="G225" s="11" t="s">
        <v>50</v>
      </c>
      <c r="H225" s="11" t="s">
        <v>99</v>
      </c>
      <c r="I225" s="11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32</v>
      </c>
      <c r="J225" s="11"/>
      <c r="K225" s="11" t="s">
        <v>48</v>
      </c>
      <c r="L225" s="9" t="s">
        <v>558</v>
      </c>
      <c r="M225" s="11">
        <f>IF(K225="","",IF(L225="","参照先未定義",_xlfn.XLOOKUP(L225,B:B,C:C,"エラー")))</f>
        <v>1</v>
      </c>
      <c r="N225" s="11" t="s">
        <v>48</v>
      </c>
      <c r="O225" s="11"/>
      <c r="P225" s="11"/>
      <c r="Q225" s="11" t="s">
        <v>582</v>
      </c>
      <c r="R225" s="9"/>
      <c r="S225" s="9"/>
      <c r="T225" s="9"/>
      <c r="U225" s="11"/>
    </row>
    <row r="226" spans="1:21" ht="18.75" customHeight="1">
      <c r="A226" s="9" t="s">
        <v>46</v>
      </c>
      <c r="B226" s="9" t="str">
        <f ca="1">D226&amp;"."&amp;F226</f>
        <v>movie_link.url</v>
      </c>
      <c r="C226" s="10">
        <f t="shared" si="5"/>
        <v>225</v>
      </c>
      <c r="D226" s="11" t="str" cm="1">
        <f t="array" aca="1" ref="D226" ca="1">INDIRECT(ADDRESS(ROW()-1,COLUMN()))</f>
        <v>movie_link</v>
      </c>
      <c r="E226" s="11" t="str" cm="1">
        <f t="array" aca="1" ref="E226" ca="1">INDIRECT(ADDRESS(ROW()-1,COLUMN()))</f>
        <v>動画リンク</v>
      </c>
      <c r="F226" s="11" t="s">
        <v>263</v>
      </c>
      <c r="G226" s="11" t="s">
        <v>264</v>
      </c>
      <c r="H226" s="11" t="s">
        <v>81</v>
      </c>
      <c r="I226" s="11" t="str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-</v>
      </c>
      <c r="J226" s="11"/>
      <c r="K226" s="11"/>
      <c r="L226" s="9"/>
      <c r="M226" s="11" t="str">
        <f>IF(K226="","",IF(L226="","参照先未定義",_xlfn.XLOOKUP(L226,B:B,C:C,"エラー")))</f>
        <v/>
      </c>
      <c r="N226" s="11" t="s">
        <v>48</v>
      </c>
      <c r="O226" s="11"/>
      <c r="P226" s="11"/>
      <c r="Q226" s="11"/>
      <c r="R226" s="9"/>
      <c r="S226" s="9"/>
      <c r="T226" s="9"/>
      <c r="U226" s="11"/>
    </row>
    <row r="227" spans="1:21" ht="18.75" customHeight="1">
      <c r="A227" s="9" t="s">
        <v>46</v>
      </c>
      <c r="B227" s="9" t="str">
        <f ca="1">D227&amp;"."&amp;F227</f>
        <v>movie_link.create_datetime</v>
      </c>
      <c r="C227" s="10">
        <f t="shared" si="5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104</v>
      </c>
      <c r="G227" s="11" t="s">
        <v>105</v>
      </c>
      <c r="H227" s="11" t="s">
        <v>488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>IF(K227="","",IF(L227="","参照先未定義",_xlfn.XLOOKUP(L227,B:B,C:C,"エラー")))</f>
        <v/>
      </c>
      <c r="N227" s="11" t="s">
        <v>48</v>
      </c>
      <c r="O227" s="11"/>
      <c r="P227" s="11" t="s">
        <v>106</v>
      </c>
      <c r="Q227" s="11"/>
      <c r="R227" s="9"/>
      <c r="S227" s="9"/>
      <c r="T227" s="9"/>
      <c r="U227" s="11"/>
    </row>
    <row r="228" spans="1:21" ht="18.75" customHeight="1">
      <c r="A228" s="9" t="s">
        <v>46</v>
      </c>
      <c r="B228" s="9" t="str">
        <f ca="1">D228&amp;"."&amp;F228</f>
        <v>movie_link.create_user</v>
      </c>
      <c r="C228" s="10">
        <f t="shared" si="5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107</v>
      </c>
      <c r="G228" s="11" t="s">
        <v>108</v>
      </c>
      <c r="H228" s="11" t="s">
        <v>65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256</v>
      </c>
      <c r="J228" s="11"/>
      <c r="K228" s="11"/>
      <c r="L228" s="9"/>
      <c r="M228" s="11" t="str">
        <f>IF(K228="","",IF(L228="","参照先未定義",_xlfn.XLOOKUP(L228,B:B,C:C,"エラー")))</f>
        <v/>
      </c>
      <c r="N228" s="11" t="s">
        <v>48</v>
      </c>
      <c r="O228" s="11"/>
      <c r="P228" s="11" t="s">
        <v>109</v>
      </c>
      <c r="Q228" s="11"/>
      <c r="R228" s="9"/>
      <c r="S228" s="9"/>
      <c r="T228" s="9"/>
      <c r="U228" s="11" t="s">
        <v>110</v>
      </c>
    </row>
    <row r="229" spans="1:21" ht="18.75" customHeight="1">
      <c r="A229" s="9" t="s">
        <v>46</v>
      </c>
      <c r="B229" s="9" t="str">
        <f ca="1">D229&amp;"."&amp;F229</f>
        <v>movie_link.update_datetime</v>
      </c>
      <c r="C229" s="10">
        <f t="shared" si="5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111</v>
      </c>
      <c r="G229" s="11" t="s">
        <v>112</v>
      </c>
      <c r="H229" s="11" t="s">
        <v>488</v>
      </c>
      <c r="I229" s="11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64</v>
      </c>
      <c r="J229" s="11"/>
      <c r="K229" s="11"/>
      <c r="L229" s="9"/>
      <c r="M229" s="11" t="str">
        <f>IF(K229="","",IF(L229="","参照先未定義",_xlfn.XLOOKUP(L229,B:B,C:C,"エラー")))</f>
        <v/>
      </c>
      <c r="N229" s="11" t="s">
        <v>48</v>
      </c>
      <c r="O229" s="11"/>
      <c r="P229" s="11" t="s">
        <v>106</v>
      </c>
      <c r="Q229" s="11"/>
      <c r="R229" s="9"/>
      <c r="S229" s="9"/>
      <c r="T229" s="9"/>
      <c r="U229" s="11"/>
    </row>
    <row r="230" spans="1:21" ht="18.75" customHeight="1">
      <c r="A230" s="9" t="s">
        <v>46</v>
      </c>
      <c r="B230" s="9" t="str">
        <f ca="1">D230&amp;"."&amp;F230</f>
        <v>movie_link.update_user</v>
      </c>
      <c r="C230" s="10">
        <f t="shared" si="5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113</v>
      </c>
      <c r="G230" s="11" t="s">
        <v>114</v>
      </c>
      <c r="H230" s="11" t="s">
        <v>65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256</v>
      </c>
      <c r="J230" s="11"/>
      <c r="K230" s="11"/>
      <c r="L230" s="9"/>
      <c r="M230" s="11" t="str">
        <f>IF(K230="","",IF(L230="","参照先未定義",_xlfn.XLOOKUP(L230,B:B,C:C,"エラー")))</f>
        <v/>
      </c>
      <c r="N230" s="11" t="s">
        <v>48</v>
      </c>
      <c r="O230" s="11"/>
      <c r="P230" s="11" t="s">
        <v>109</v>
      </c>
      <c r="Q230" s="11"/>
      <c r="R230" s="9"/>
      <c r="S230" s="9"/>
      <c r="T230" s="9"/>
      <c r="U230" s="11" t="s">
        <v>110</v>
      </c>
    </row>
    <row r="231" spans="1:21" ht="18.75" customHeight="1">
      <c r="A231" s="9" t="s">
        <v>46</v>
      </c>
      <c r="B231" s="9" t="str">
        <f ca="1">D231&amp;"."&amp;F231</f>
        <v>movie_link.soft_delete_flag</v>
      </c>
      <c r="C231" s="10">
        <f t="shared" si="5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115</v>
      </c>
      <c r="G231" s="11" t="s">
        <v>116</v>
      </c>
      <c r="H231" s="11" t="s">
        <v>490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8</v>
      </c>
      <c r="J231" s="11"/>
      <c r="K231" s="11"/>
      <c r="L231" s="9"/>
      <c r="M231" s="11" t="str">
        <f>IF(K231="","",IF(L231="","参照先未定義",_xlfn.XLOOKUP(L231,B:B,C:C,"エラー")))</f>
        <v/>
      </c>
      <c r="N231" s="11" t="s">
        <v>48</v>
      </c>
      <c r="O231" s="11"/>
      <c r="P231" s="11" t="b">
        <v>0</v>
      </c>
      <c r="Q231" s="11"/>
      <c r="R231" s="9"/>
      <c r="S231" s="9"/>
      <c r="T231" s="9"/>
      <c r="U231" s="11"/>
    </row>
    <row r="232" spans="1:21" ht="18.75" customHeight="1">
      <c r="A232" s="9" t="s">
        <v>46</v>
      </c>
      <c r="B232" s="9" t="str">
        <f>D232&amp;"."&amp;F232</f>
        <v>relation.relation_sequence_id</v>
      </c>
      <c r="C232" s="10">
        <f t="shared" si="5"/>
        <v>231</v>
      </c>
      <c r="D232" s="11" t="s">
        <v>265</v>
      </c>
      <c r="E232" s="11" t="s">
        <v>266</v>
      </c>
      <c r="F232" s="11" t="str">
        <f>D232&amp;"_sequence_id"</f>
        <v>relation_sequence_id</v>
      </c>
      <c r="G232" s="11" t="str">
        <f>E232&amp;"ID"</f>
        <v>関係値ID</v>
      </c>
      <c r="H232" s="11" t="s">
        <v>552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32</v>
      </c>
      <c r="J232" s="11" t="s">
        <v>453</v>
      </c>
      <c r="K232" s="11"/>
      <c r="L232" s="9"/>
      <c r="M232" s="11" t="str">
        <f>IF(K232="","",IF(L232="","参照先未定義",_xlfn.XLOOKUP(L232,B:B,C:C,"エラー")))</f>
        <v/>
      </c>
      <c r="N232" s="11" t="s">
        <v>474</v>
      </c>
      <c r="O232" s="11" t="s">
        <v>474</v>
      </c>
      <c r="P232" s="11" t="s">
        <v>551</v>
      </c>
      <c r="Q232" s="11"/>
      <c r="R232" s="9"/>
      <c r="S232" s="9"/>
      <c r="T232" s="9"/>
      <c r="U232" s="11"/>
    </row>
    <row r="233" spans="1:21" ht="18.75" customHeight="1">
      <c r="A233" s="9" t="s">
        <v>46</v>
      </c>
      <c r="B233" s="9" t="str">
        <f ca="1">D233&amp;"."&amp;F233</f>
        <v>relation.node_from</v>
      </c>
      <c r="C233" s="10">
        <f t="shared" si="5"/>
        <v>232</v>
      </c>
      <c r="D233" s="11" t="str" cm="1">
        <f t="array" aca="1" ref="D233" ca="1">INDIRECT(ADDRESS(ROW()-1,COLUMN()))</f>
        <v>relation</v>
      </c>
      <c r="E233" s="11" t="str" cm="1">
        <f t="array" aca="1" ref="E233" ca="1">INDIRECT(ADDRESS(ROW()-1,COLUMN()))</f>
        <v>関係値</v>
      </c>
      <c r="F233" s="11" t="s">
        <v>463</v>
      </c>
      <c r="G233" s="11" t="s">
        <v>267</v>
      </c>
      <c r="H233" s="11" t="s">
        <v>99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32</v>
      </c>
      <c r="J233" s="11"/>
      <c r="K233" s="11" t="s">
        <v>48</v>
      </c>
      <c r="L233" s="9" t="s">
        <v>558</v>
      </c>
      <c r="M233" s="11">
        <f>IF(K233="","",IF(L233="","参照先未定義",_xlfn.XLOOKUP(L233,B:B,C:C,"エラー")))</f>
        <v>1</v>
      </c>
      <c r="N233" s="11" t="s">
        <v>48</v>
      </c>
      <c r="O233" s="11" t="s">
        <v>473</v>
      </c>
      <c r="P233" s="11"/>
      <c r="Q233" s="11" t="s">
        <v>585</v>
      </c>
      <c r="R233" s="9"/>
      <c r="S233" s="9"/>
      <c r="T233" s="9"/>
      <c r="U233" s="11"/>
    </row>
    <row r="234" spans="1:21" ht="18.75" customHeight="1">
      <c r="A234" s="9" t="s">
        <v>46</v>
      </c>
      <c r="B234" s="9" t="str">
        <f ca="1">D234&amp;"."&amp;F234</f>
        <v>relation.node_to</v>
      </c>
      <c r="C234" s="10">
        <f t="shared" si="5"/>
        <v>233</v>
      </c>
      <c r="D234" s="11" t="str" cm="1">
        <f t="array" aca="1" ref="D234" ca="1">INDIRECT(ADDRESS(ROW()-1,COLUMN()))</f>
        <v>relation</v>
      </c>
      <c r="E234" s="11" t="str" cm="1">
        <f t="array" aca="1" ref="E234" ca="1">INDIRECT(ADDRESS(ROW()-1,COLUMN()))</f>
        <v>関係値</v>
      </c>
      <c r="F234" s="11" t="s">
        <v>268</v>
      </c>
      <c r="G234" s="11" t="s">
        <v>269</v>
      </c>
      <c r="H234" s="11" t="s">
        <v>99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32</v>
      </c>
      <c r="J234" s="11"/>
      <c r="K234" s="11" t="s">
        <v>48</v>
      </c>
      <c r="L234" s="9" t="s">
        <v>558</v>
      </c>
      <c r="M234" s="11">
        <f>IF(K234="","",IF(L234="","参照先未定義",_xlfn.XLOOKUP(L234,B:B,C:C,"エラー")))</f>
        <v>1</v>
      </c>
      <c r="N234" s="11" t="s">
        <v>48</v>
      </c>
      <c r="O234" s="11" t="s">
        <v>473</v>
      </c>
      <c r="P234" s="11"/>
      <c r="Q234" s="11" t="s">
        <v>586</v>
      </c>
      <c r="R234" s="9"/>
      <c r="S234" s="9"/>
      <c r="T234" s="9"/>
      <c r="U234" s="11"/>
    </row>
    <row r="235" spans="1:21" ht="18.75" customHeight="1">
      <c r="A235" s="9" t="s">
        <v>46</v>
      </c>
      <c r="B235" s="9" t="str">
        <f ca="1">D235&amp;"."&amp;F235</f>
        <v>relation.node_name</v>
      </c>
      <c r="C235" s="10">
        <f t="shared" si="5"/>
        <v>234</v>
      </c>
      <c r="D235" s="11" t="str" cm="1">
        <f t="array" aca="1" ref="D235" ca="1">INDIRECT(ADDRESS(ROW()-1,COLUMN()))</f>
        <v>relation</v>
      </c>
      <c r="E235" s="11" t="str" cm="1">
        <f t="array" aca="1" ref="E235" ca="1">INDIRECT(ADDRESS(ROW()-1,COLUMN()))</f>
        <v>関係値</v>
      </c>
      <c r="F235" s="11" t="s">
        <v>270</v>
      </c>
      <c r="G235" s="11" t="s">
        <v>271</v>
      </c>
      <c r="H235" s="11" t="s">
        <v>65</v>
      </c>
      <c r="I235" s="11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256</v>
      </c>
      <c r="J235" s="11"/>
      <c r="K235" s="11"/>
      <c r="L235" s="9"/>
      <c r="M235" s="11" t="str">
        <f>IF(K235="","",IF(L235="","参照先未定義",_xlfn.XLOOKUP(L235,B:B,C:C,"エラー")))</f>
        <v/>
      </c>
      <c r="N235" s="11" t="s">
        <v>48</v>
      </c>
      <c r="O235" s="11"/>
      <c r="P235" s="11"/>
      <c r="Q235" s="11"/>
      <c r="R235" s="9"/>
      <c r="S235" s="9"/>
      <c r="T235" s="9"/>
      <c r="U235" s="11"/>
    </row>
    <row r="236" spans="1:21" ht="18.75" customHeight="1">
      <c r="A236" s="9" t="s">
        <v>46</v>
      </c>
      <c r="B236" s="9" t="str">
        <f ca="1">D236&amp;"."&amp;F236</f>
        <v>relation.create_datetime</v>
      </c>
      <c r="C236" s="10">
        <f t="shared" si="5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104</v>
      </c>
      <c r="G236" s="11" t="s">
        <v>105</v>
      </c>
      <c r="H236" s="11" t="s">
        <v>488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64</v>
      </c>
      <c r="J236" s="11"/>
      <c r="K236" s="11"/>
      <c r="L236" s="9"/>
      <c r="M236" s="11" t="str">
        <f>IF(K236="","",IF(L236="","参照先未定義",_xlfn.XLOOKUP(L236,B:B,C:C,"エラー")))</f>
        <v/>
      </c>
      <c r="N236" s="11" t="s">
        <v>48</v>
      </c>
      <c r="O236" s="11"/>
      <c r="P236" s="11" t="s">
        <v>106</v>
      </c>
      <c r="Q236" s="11"/>
      <c r="R236" s="9"/>
      <c r="S236" s="9"/>
      <c r="T236" s="9"/>
      <c r="U236" s="11"/>
    </row>
    <row r="237" spans="1:21" ht="18.75" customHeight="1">
      <c r="A237" s="9" t="s">
        <v>46</v>
      </c>
      <c r="B237" s="9" t="str">
        <f ca="1">D237&amp;"."&amp;F237</f>
        <v>relation.create_user</v>
      </c>
      <c r="C237" s="10">
        <f t="shared" si="5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107</v>
      </c>
      <c r="G237" s="11" t="s">
        <v>108</v>
      </c>
      <c r="H237" s="11" t="s">
        <v>65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256</v>
      </c>
      <c r="J237" s="11"/>
      <c r="K237" s="11"/>
      <c r="L237" s="9"/>
      <c r="M237" s="11" t="str">
        <f>IF(K237="","",IF(L237="","参照先未定義",_xlfn.XLOOKUP(L237,B:B,C:C,"エラー")))</f>
        <v/>
      </c>
      <c r="N237" s="11" t="s">
        <v>48</v>
      </c>
      <c r="O237" s="11"/>
      <c r="P237" s="11" t="s">
        <v>109</v>
      </c>
      <c r="Q237" s="11"/>
      <c r="R237" s="9"/>
      <c r="S237" s="9"/>
      <c r="T237" s="9"/>
      <c r="U237" s="11" t="s">
        <v>110</v>
      </c>
    </row>
    <row r="238" spans="1:21" ht="18.75" customHeight="1">
      <c r="A238" s="9" t="s">
        <v>46</v>
      </c>
      <c r="B238" s="9" t="str">
        <f ca="1">D238&amp;"."&amp;F238</f>
        <v>relation.update_datetime</v>
      </c>
      <c r="C238" s="10">
        <f t="shared" si="5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111</v>
      </c>
      <c r="G238" s="11" t="s">
        <v>112</v>
      </c>
      <c r="H238" s="11" t="s">
        <v>488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64</v>
      </c>
      <c r="J238" s="11"/>
      <c r="K238" s="11"/>
      <c r="L238" s="9"/>
      <c r="M238" s="11" t="str">
        <f>IF(K238="","",IF(L238="","参照先未定義",_xlfn.XLOOKUP(L238,B:B,C:C,"エラー")))</f>
        <v/>
      </c>
      <c r="N238" s="11" t="s">
        <v>48</v>
      </c>
      <c r="O238" s="11"/>
      <c r="P238" s="11" t="s">
        <v>106</v>
      </c>
      <c r="Q238" s="11"/>
      <c r="R238" s="9"/>
      <c r="S238" s="9"/>
      <c r="T238" s="9"/>
      <c r="U238" s="11"/>
    </row>
    <row r="239" spans="1:21" ht="18.75" customHeight="1">
      <c r="A239" s="9" t="s">
        <v>46</v>
      </c>
      <c r="B239" s="9" t="str">
        <f ca="1">D239&amp;"."&amp;F239</f>
        <v>relation.update_user</v>
      </c>
      <c r="C239" s="10">
        <f t="shared" si="5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113</v>
      </c>
      <c r="G239" s="11" t="s">
        <v>114</v>
      </c>
      <c r="H239" s="11" t="s">
        <v>65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256</v>
      </c>
      <c r="J239" s="11"/>
      <c r="K239" s="11"/>
      <c r="L239" s="9"/>
      <c r="M239" s="11" t="str">
        <f>IF(K239="","",IF(L239="","参照先未定義",_xlfn.XLOOKUP(L239,B:B,C:C,"エラー")))</f>
        <v/>
      </c>
      <c r="N239" s="11" t="s">
        <v>48</v>
      </c>
      <c r="O239" s="11"/>
      <c r="P239" s="11" t="s">
        <v>109</v>
      </c>
      <c r="Q239" s="11"/>
      <c r="R239" s="9"/>
      <c r="S239" s="9"/>
      <c r="T239" s="9"/>
      <c r="U239" s="11" t="s">
        <v>110</v>
      </c>
    </row>
    <row r="240" spans="1:21" ht="18.75" customHeight="1">
      <c r="A240" s="9" t="s">
        <v>46</v>
      </c>
      <c r="B240" s="9" t="str">
        <f ca="1">D240&amp;"."&amp;F240</f>
        <v>relation.soft_delete_flag</v>
      </c>
      <c r="C240" s="10">
        <f t="shared" si="5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115</v>
      </c>
      <c r="G240" s="11" t="s">
        <v>116</v>
      </c>
      <c r="H240" s="11" t="s">
        <v>490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8</v>
      </c>
      <c r="J240" s="11"/>
      <c r="K240" s="11"/>
      <c r="L240" s="9"/>
      <c r="M240" s="11" t="str">
        <f>IF(K240="","",IF(L240="","参照先未定義",_xlfn.XLOOKUP(L240,B:B,C:C,"エラー")))</f>
        <v/>
      </c>
      <c r="N240" s="11" t="s">
        <v>48</v>
      </c>
      <c r="O240" s="11"/>
      <c r="P240" s="11" t="b">
        <v>0</v>
      </c>
      <c r="Q240" s="11"/>
      <c r="R240" s="9"/>
      <c r="S240" s="9"/>
      <c r="T240" s="9"/>
      <c r="U240" s="11"/>
    </row>
    <row r="241" spans="1:21" ht="18.75" customHeight="1">
      <c r="A241" s="9" t="s">
        <v>46</v>
      </c>
      <c r="B241" s="9" t="str">
        <f>D241&amp;"."&amp;F241</f>
        <v>vtuber_profiles_lang.vtuber_profiles_lang_sequence_id</v>
      </c>
      <c r="C241" s="10">
        <f t="shared" si="5"/>
        <v>240</v>
      </c>
      <c r="D241" s="11" t="s">
        <v>452</v>
      </c>
      <c r="E241" s="11" t="s">
        <v>451</v>
      </c>
      <c r="F241" s="11" t="str">
        <f>D241&amp;"_sequence_id"</f>
        <v>vtuber_profiles_lang_sequence_id</v>
      </c>
      <c r="G241" s="11" t="str">
        <f>E241&amp;"ID"</f>
        <v>Vtuberプロフィール(各言語)ID</v>
      </c>
      <c r="H241" s="11" t="s">
        <v>552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32</v>
      </c>
      <c r="J241" s="11" t="s">
        <v>453</v>
      </c>
      <c r="K241" s="11"/>
      <c r="L241" s="9"/>
      <c r="M241" s="11" t="str">
        <f>IF(K241="","",IF(L241="","参照先未定義",_xlfn.XLOOKUP(L241,B:B,C:C,"エラー")))</f>
        <v/>
      </c>
      <c r="N241" s="11" t="s">
        <v>474</v>
      </c>
      <c r="O241" s="11" t="s">
        <v>474</v>
      </c>
      <c r="P241" s="11" t="s">
        <v>551</v>
      </c>
      <c r="Q241" s="11"/>
      <c r="R241" s="9"/>
      <c r="S241" s="9"/>
      <c r="T241" s="9"/>
      <c r="U241" s="11"/>
    </row>
    <row r="242" spans="1:21" ht="18.75" customHeight="1">
      <c r="A242" s="9" t="s">
        <v>46</v>
      </c>
      <c r="B242" s="9" t="str">
        <f ca="1">D242&amp;"."&amp;F242</f>
        <v>vtuber_profiles_lang.vtuber_profiles_id</v>
      </c>
      <c r="C242" s="10">
        <f t="shared" si="5"/>
        <v>241</v>
      </c>
      <c r="D242" s="11" t="str" cm="1">
        <f t="array" aca="1" ref="D242" ca="1">INDIRECT(ADDRESS(ROW()-1,COLUMN()))</f>
        <v>vtuber_profiles_lang</v>
      </c>
      <c r="E242" s="11" t="str" cm="1">
        <f t="array" aca="1" ref="E242" ca="1">INDIRECT(ADDRESS(ROW()-1,COLUMN()))</f>
        <v>Vtuberプロフィール(各言語)</v>
      </c>
      <c r="F242" s="11" t="s">
        <v>469</v>
      </c>
      <c r="G242" s="11" t="s">
        <v>50</v>
      </c>
      <c r="H242" s="11" t="s">
        <v>99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32</v>
      </c>
      <c r="J242" s="11"/>
      <c r="K242" s="11" t="s">
        <v>453</v>
      </c>
      <c r="L242" s="9" t="s">
        <v>558</v>
      </c>
      <c r="M242" s="11">
        <f>IF(K242="","",IF(L242="","参照先未定義",_xlfn.XLOOKUP(L242,B:B,C:C,"エラー")))</f>
        <v>1</v>
      </c>
      <c r="N242" s="11" t="s">
        <v>48</v>
      </c>
      <c r="O242" s="11" t="s">
        <v>472</v>
      </c>
      <c r="P242" s="11"/>
      <c r="Q242" s="11" t="s">
        <v>587</v>
      </c>
      <c r="R242" s="9"/>
      <c r="S242" s="9"/>
      <c r="T242" s="9"/>
      <c r="U242" s="11"/>
    </row>
    <row r="243" spans="1:21" ht="18.75" customHeight="1">
      <c r="A243" s="9" t="s">
        <v>46</v>
      </c>
      <c r="B243" s="9" t="str">
        <f ca="1">D243&amp;"."&amp;F243</f>
        <v>vtuber_profiles_lang.lang</v>
      </c>
      <c r="C243" s="10">
        <f t="shared" si="5"/>
        <v>242</v>
      </c>
      <c r="D243" s="11" t="str" cm="1">
        <f t="array" aca="1" ref="D243" ca="1">INDIRECT(ADDRESS(ROW()-1,COLUMN()))</f>
        <v>vtuber_profiles_lang</v>
      </c>
      <c r="E243" s="11" t="str" cm="1">
        <f t="array" aca="1" ref="E243" ca="1">INDIRECT(ADDRESS(ROW()-1,COLUMN()))</f>
        <v>Vtuberプロフィール(各言語)</v>
      </c>
      <c r="F243" s="11" t="s">
        <v>458</v>
      </c>
      <c r="G243" s="11" t="s">
        <v>457</v>
      </c>
      <c r="H243" s="11" t="s">
        <v>99</v>
      </c>
      <c r="I243" s="11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32</v>
      </c>
      <c r="J243" s="11"/>
      <c r="K243" s="11" t="s">
        <v>456</v>
      </c>
      <c r="L243" s="9" t="s">
        <v>563</v>
      </c>
      <c r="M243" s="11">
        <f ca="1">IF(K243="","",IF(L243="","参照先未定義",_xlfn.XLOOKUP(L243,B:B,C:C,"エラー")))</f>
        <v>102</v>
      </c>
      <c r="N243" s="11" t="s">
        <v>48</v>
      </c>
      <c r="O243" s="11" t="s">
        <v>472</v>
      </c>
      <c r="P243" s="11"/>
      <c r="Q243" s="11" t="s">
        <v>588</v>
      </c>
      <c r="R243" s="9"/>
      <c r="S243" s="9"/>
      <c r="T243" s="9"/>
      <c r="U243" s="11"/>
    </row>
    <row r="244" spans="1:21" ht="18.75" customHeight="1">
      <c r="A244" s="9" t="s">
        <v>46</v>
      </c>
      <c r="B244" s="9" t="str">
        <f ca="1">D244&amp;"."&amp;F244</f>
        <v>vtuber_profiles_lang.name</v>
      </c>
      <c r="C244" s="10">
        <f t="shared" si="5"/>
        <v>243</v>
      </c>
      <c r="D244" s="11" t="str" cm="1">
        <f t="array" aca="1" ref="D244" ca="1">INDIRECT(ADDRESS(ROW()-1,COLUMN()))</f>
        <v>vtuber_profiles_lang</v>
      </c>
      <c r="E244" s="11" t="str" cm="1">
        <f t="array" aca="1" ref="E244" ca="1">INDIRECT(ADDRESS(ROW()-1,COLUMN()))</f>
        <v>Vtuberプロフィール(各言語)</v>
      </c>
      <c r="F244" s="11" t="s">
        <v>56</v>
      </c>
      <c r="G244" s="11" t="s">
        <v>57</v>
      </c>
      <c r="H244" s="11" t="s">
        <v>58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1024</v>
      </c>
      <c r="J244" s="11"/>
      <c r="K244" s="11"/>
      <c r="L244" s="9"/>
      <c r="M244" s="11" t="str">
        <f>IF(K244="","",IF(L244="","参照先未定義",_xlfn.XLOOKUP(L244,B:B,C:C,"エラー")))</f>
        <v/>
      </c>
      <c r="N244" s="11" t="s">
        <v>48</v>
      </c>
      <c r="O244" s="11"/>
      <c r="P244" s="11"/>
      <c r="Q244" s="11"/>
      <c r="R244" s="9" t="s">
        <v>48</v>
      </c>
      <c r="S244" s="9"/>
      <c r="T244" s="9" t="s">
        <v>48</v>
      </c>
      <c r="U244" s="11"/>
    </row>
    <row r="245" spans="1:21" ht="18.75" customHeight="1">
      <c r="A245" s="9" t="s">
        <v>46</v>
      </c>
      <c r="B245" s="9" t="str">
        <f ca="1">D245&amp;"."&amp;F245</f>
        <v>vtuber_profiles_lang.nickname</v>
      </c>
      <c r="C245" s="10">
        <f t="shared" si="5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59</v>
      </c>
      <c r="G245" s="11" t="s">
        <v>60</v>
      </c>
      <c r="H245" s="11" t="s">
        <v>58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1024</v>
      </c>
      <c r="J245" s="11"/>
      <c r="K245" s="11"/>
      <c r="L245" s="9"/>
      <c r="M245" s="11" t="str">
        <f>IF(K245="","",IF(L245="","参照先未定義",_xlfn.XLOOKUP(L245,B:B,C:C,"エラー")))</f>
        <v/>
      </c>
      <c r="N245" s="11"/>
      <c r="O245" s="11"/>
      <c r="P245" s="11"/>
      <c r="Q245" s="11"/>
      <c r="R245" s="9"/>
      <c r="S245" s="9"/>
      <c r="T245" s="9" t="s">
        <v>48</v>
      </c>
      <c r="U245" s="11"/>
    </row>
    <row r="246" spans="1:21" ht="18.75" customHeight="1">
      <c r="A246" s="9" t="s">
        <v>46</v>
      </c>
      <c r="B246" s="9" t="str">
        <f ca="1">D246&amp;"."&amp;F246</f>
        <v>vtuber_profiles_lang.birthday</v>
      </c>
      <c r="C246" s="10">
        <f t="shared" si="5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63</v>
      </c>
      <c r="G246" s="11" t="s">
        <v>64</v>
      </c>
      <c r="H246" s="11" t="s">
        <v>65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256</v>
      </c>
      <c r="J246" s="11"/>
      <c r="K246" s="11"/>
      <c r="L246" s="9"/>
      <c r="M246" s="11" t="str">
        <f>IF(K246="","",IF(L246="","参照先未定義",_xlfn.XLOOKUP(L246,B:B,C:C,"エラー")))</f>
        <v/>
      </c>
      <c r="N246" s="11"/>
      <c r="O246" s="11"/>
      <c r="P246" s="11"/>
      <c r="Q246" s="11"/>
      <c r="R246" s="9"/>
      <c r="S246" s="9"/>
      <c r="T246" s="9" t="s">
        <v>48</v>
      </c>
      <c r="U246" s="11"/>
    </row>
    <row r="247" spans="1:21" ht="18.75" customHeight="1">
      <c r="A247" s="9" t="s">
        <v>46</v>
      </c>
      <c r="B247" s="9" t="str">
        <f ca="1">D247&amp;"."&amp;F247</f>
        <v>vtuber_profiles_lang.blood_type</v>
      </c>
      <c r="C247" s="10">
        <f t="shared" si="5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69</v>
      </c>
      <c r="G247" s="11" t="s">
        <v>70</v>
      </c>
      <c r="H247" s="11" t="s">
        <v>71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128</v>
      </c>
      <c r="J247" s="11"/>
      <c r="K247" s="11"/>
      <c r="L247" s="9"/>
      <c r="M247" s="11" t="str">
        <f>IF(K247="","",IF(L247="","参照先未定義",_xlfn.XLOOKUP(L247,B:B,C:C,"エラー")))</f>
        <v/>
      </c>
      <c r="N247" s="11"/>
      <c r="O247" s="11"/>
      <c r="P247" s="11"/>
      <c r="Q247" s="11"/>
      <c r="R247" s="9"/>
      <c r="S247" s="9"/>
      <c r="T247" s="9" t="s">
        <v>48</v>
      </c>
      <c r="U247" s="11"/>
    </row>
    <row r="248" spans="1:21" ht="18.75" customHeight="1">
      <c r="A248" s="9" t="s">
        <v>46</v>
      </c>
      <c r="B248" s="9" t="str">
        <f ca="1">D248&amp;"."&amp;F248</f>
        <v>vtuber_profiles_lang.height</v>
      </c>
      <c r="C248" s="10">
        <f t="shared" si="5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72</v>
      </c>
      <c r="G248" s="11" t="s">
        <v>73</v>
      </c>
      <c r="H248" s="11" t="s">
        <v>71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128</v>
      </c>
      <c r="J248" s="11"/>
      <c r="K248" s="11"/>
      <c r="L248" s="9"/>
      <c r="M248" s="11" t="str">
        <f>IF(K248="","",IF(L248="","参照先未定義",_xlfn.XLOOKUP(L248,B:B,C:C,"エラー")))</f>
        <v/>
      </c>
      <c r="N248" s="11"/>
      <c r="O248" s="11"/>
      <c r="P248" s="11"/>
      <c r="Q248" s="11"/>
      <c r="R248" s="9"/>
      <c r="S248" s="9"/>
      <c r="T248" s="9" t="s">
        <v>48</v>
      </c>
      <c r="U248" s="11"/>
    </row>
    <row r="249" spans="1:21" ht="18.75" customHeight="1">
      <c r="A249" s="9" t="s">
        <v>46</v>
      </c>
      <c r="B249" s="9" t="str">
        <f ca="1">D249&amp;"."&amp;F249</f>
        <v>vtuber_profiles_lang.mutter</v>
      </c>
      <c r="C249" s="10">
        <f t="shared" si="5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79</v>
      </c>
      <c r="G249" s="11" t="s">
        <v>80</v>
      </c>
      <c r="H249" s="11" t="s">
        <v>81</v>
      </c>
      <c r="I249" s="11" t="str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-</v>
      </c>
      <c r="J249" s="11"/>
      <c r="K249" s="11"/>
      <c r="L249" s="9"/>
      <c r="M249" s="11" t="str">
        <f>IF(K249="","",IF(L249="","参照先未定義",_xlfn.XLOOKUP(L249,B:B,C:C,"エラー")))</f>
        <v/>
      </c>
      <c r="N249" s="11"/>
      <c r="O249" s="11"/>
      <c r="P249" s="11"/>
      <c r="Q249" s="11"/>
      <c r="R249" s="9"/>
      <c r="S249" s="9"/>
      <c r="T249" s="9" t="s">
        <v>48</v>
      </c>
      <c r="U249" s="11"/>
    </row>
    <row r="250" spans="1:21" ht="18.75" customHeight="1">
      <c r="A250" s="9" t="s">
        <v>46</v>
      </c>
      <c r="B250" s="9" t="str">
        <f ca="1">D250&amp;"."&amp;F250</f>
        <v>vtuber_profiles_lang.catchphrase</v>
      </c>
      <c r="C250" s="10">
        <f t="shared" si="5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82</v>
      </c>
      <c r="G250" s="11" t="s">
        <v>83</v>
      </c>
      <c r="H250" s="11" t="s">
        <v>62</v>
      </c>
      <c r="I250" s="11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512</v>
      </c>
      <c r="J250" s="11"/>
      <c r="K250" s="11"/>
      <c r="L250" s="9"/>
      <c r="M250" s="11" t="str">
        <f>IF(K250="","",IF(L250="","参照先未定義",_xlfn.XLOOKUP(L250,B:B,C:C,"エラー")))</f>
        <v/>
      </c>
      <c r="N250" s="11"/>
      <c r="O250" s="11"/>
      <c r="P250" s="11"/>
      <c r="Q250" s="11"/>
      <c r="R250" s="9"/>
      <c r="S250" s="9"/>
      <c r="T250" s="9" t="s">
        <v>48</v>
      </c>
      <c r="U250" s="11"/>
    </row>
    <row r="251" spans="1:21" ht="18.75" customHeight="1">
      <c r="A251" s="9" t="s">
        <v>46</v>
      </c>
      <c r="B251" s="9" t="str">
        <f ca="1">D251&amp;"."&amp;F251</f>
        <v>vtuber_profiles_lang.favorite</v>
      </c>
      <c r="C251" s="10">
        <f t="shared" si="5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84</v>
      </c>
      <c r="G251" s="11" t="s">
        <v>85</v>
      </c>
      <c r="H251" s="11" t="s">
        <v>62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512</v>
      </c>
      <c r="J251" s="11"/>
      <c r="K251" s="11"/>
      <c r="L251" s="9"/>
      <c r="M251" s="11" t="str">
        <f>IF(K251="","",IF(L251="","参照先未定義",_xlfn.XLOOKUP(L251,B:B,C:C,"エラー")))</f>
        <v/>
      </c>
      <c r="N251" s="11"/>
      <c r="O251" s="11"/>
      <c r="P251" s="11"/>
      <c r="Q251" s="11"/>
      <c r="R251" s="9"/>
      <c r="S251" s="9"/>
      <c r="T251" s="9" t="s">
        <v>48</v>
      </c>
      <c r="U251" s="11"/>
    </row>
    <row r="252" spans="1:21" ht="18.75" customHeight="1">
      <c r="A252" s="9" t="s">
        <v>46</v>
      </c>
      <c r="B252" s="9" t="str">
        <f ca="1">D252&amp;"."&amp;F252</f>
        <v>vtuber_profiles_lang.dis_favorite</v>
      </c>
      <c r="C252" s="10">
        <f t="shared" ref="C252:C272" si="6">ROW()-1</f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86</v>
      </c>
      <c r="G252" s="11" t="s">
        <v>87</v>
      </c>
      <c r="H252" s="11" t="s">
        <v>62</v>
      </c>
      <c r="I252" s="11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512</v>
      </c>
      <c r="J252" s="11"/>
      <c r="K252" s="11"/>
      <c r="L252" s="9"/>
      <c r="M252" s="11" t="str">
        <f>IF(K252="","",IF(L252="","参照先未定義",_xlfn.XLOOKUP(L252,B:B,C:C,"エラー")))</f>
        <v/>
      </c>
      <c r="N252" s="11"/>
      <c r="O252" s="11"/>
      <c r="P252" s="11"/>
      <c r="Q252" s="11"/>
      <c r="R252" s="9"/>
      <c r="S252" s="9"/>
      <c r="T252" s="9" t="s">
        <v>48</v>
      </c>
      <c r="U252" s="11"/>
    </row>
    <row r="253" spans="1:21" ht="18.75" customHeight="1">
      <c r="A253" s="9" t="s">
        <v>46</v>
      </c>
      <c r="B253" s="9" t="str">
        <f ca="1">D253&amp;"."&amp;F253</f>
        <v>vtuber_profiles_lang.hobby</v>
      </c>
      <c r="C253" s="10">
        <f t="shared" si="6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62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512</v>
      </c>
      <c r="J253" s="11"/>
      <c r="K253" s="11"/>
      <c r="L253" s="9"/>
      <c r="M253" s="11" t="str">
        <f>IF(K253="","",IF(L253="","参照先未定義",_xlfn.XLOOKUP(L253,B:B,C:C,"エラー")))</f>
        <v/>
      </c>
      <c r="N253" s="11"/>
      <c r="O253" s="11"/>
      <c r="P253" s="11"/>
      <c r="Q253" s="11"/>
      <c r="R253" s="9"/>
      <c r="S253" s="9"/>
      <c r="T253" s="9" t="s">
        <v>48</v>
      </c>
      <c r="U253" s="11"/>
    </row>
    <row r="254" spans="1:21" ht="18.75" customHeight="1">
      <c r="A254" s="9" t="s">
        <v>46</v>
      </c>
      <c r="B254" s="9" t="str">
        <f ca="1">D254&amp;"."&amp;F254</f>
        <v>vtuber_profiles_lang.dream</v>
      </c>
      <c r="C254" s="10">
        <f t="shared" si="6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62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512</v>
      </c>
      <c r="J254" s="11"/>
      <c r="K254" s="11"/>
      <c r="L254" s="9"/>
      <c r="M254" s="11" t="str">
        <f>IF(K254="","",IF(L254="","参照先未定義",_xlfn.XLOOKUP(L254,B:B,C:C,"エラー")))</f>
        <v/>
      </c>
      <c r="N254" s="11"/>
      <c r="O254" s="11"/>
      <c r="P254" s="11"/>
      <c r="Q254" s="11"/>
      <c r="R254" s="9"/>
      <c r="S254" s="9"/>
      <c r="T254" s="9" t="s">
        <v>48</v>
      </c>
      <c r="U254" s="11"/>
    </row>
    <row r="255" spans="1:21" ht="18.75" customHeight="1">
      <c r="A255" s="9" t="s">
        <v>46</v>
      </c>
      <c r="B255" s="9" t="str">
        <f ca="1">D255&amp;"."&amp;F255</f>
        <v>vtuber_profiles_lang.messages</v>
      </c>
      <c r="C255" s="10">
        <f t="shared" si="6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81</v>
      </c>
      <c r="I255" s="11" t="str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-</v>
      </c>
      <c r="J255" s="11"/>
      <c r="K255" s="11"/>
      <c r="L255" s="9"/>
      <c r="M255" s="11" t="str">
        <f>IF(K255="","",IF(L255="","参照先未定義",_xlfn.XLOOKUP(L255,B:B,C:C,"エラー")))</f>
        <v/>
      </c>
      <c r="N255" s="11"/>
      <c r="O255" s="11"/>
      <c r="P255" s="11"/>
      <c r="Q255" s="11"/>
      <c r="R255" s="9"/>
      <c r="S255" s="9"/>
      <c r="T255" s="9" t="s">
        <v>48</v>
      </c>
      <c r="U255" s="11"/>
    </row>
    <row r="256" spans="1:21" ht="18.75" customHeight="1">
      <c r="A256" s="9" t="s">
        <v>46</v>
      </c>
      <c r="B256" s="9" t="str">
        <f ca="1">D256&amp;"."&amp;F256</f>
        <v>vtuber_profiles_lang.profile_detail</v>
      </c>
      <c r="C256" s="10">
        <f t="shared" si="6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81</v>
      </c>
      <c r="I256" s="11" t="str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-</v>
      </c>
      <c r="J256" s="11"/>
      <c r="K256" s="11"/>
      <c r="L256" s="9"/>
      <c r="M256" s="11" t="str">
        <f>IF(K256="","",IF(L256="","参照先未定義",_xlfn.XLOOKUP(L256,B:B,C:C,"エラー")))</f>
        <v/>
      </c>
      <c r="N256" s="11"/>
      <c r="O256" s="11"/>
      <c r="P256" s="11"/>
      <c r="Q256" s="11"/>
      <c r="R256" s="9"/>
      <c r="S256" s="9"/>
      <c r="T256" s="9" t="s">
        <v>48</v>
      </c>
      <c r="U256" s="11" t="s">
        <v>96</v>
      </c>
    </row>
    <row r="257" spans="1:21" ht="18.75" customHeight="1">
      <c r="A257" s="9" t="s">
        <v>46</v>
      </c>
      <c r="B257" s="9" t="str">
        <f ca="1">D257&amp;"."&amp;F257</f>
        <v>vtuber_profiles_lang.create_datetime</v>
      </c>
      <c r="C257" s="10">
        <f t="shared" si="6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104</v>
      </c>
      <c r="G257" s="11" t="s">
        <v>105</v>
      </c>
      <c r="H257" s="11" t="s">
        <v>488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64</v>
      </c>
      <c r="J257" s="11"/>
      <c r="K257" s="11"/>
      <c r="L257" s="9"/>
      <c r="M257" s="11" t="str">
        <f>IF(K257="","",IF(L257="","参照先未定義",_xlfn.XLOOKUP(L257,B:B,C:C,"エラー")))</f>
        <v/>
      </c>
      <c r="N257" s="11" t="s">
        <v>48</v>
      </c>
      <c r="O257" s="11"/>
      <c r="P257" s="11" t="s">
        <v>106</v>
      </c>
      <c r="Q257" s="11"/>
      <c r="R257" s="9"/>
      <c r="S257" s="9"/>
      <c r="T257" s="9"/>
      <c r="U257" s="11"/>
    </row>
    <row r="258" spans="1:21" ht="18.75" customHeight="1">
      <c r="A258" s="9" t="s">
        <v>46</v>
      </c>
      <c r="B258" s="9" t="str">
        <f ca="1">D258&amp;"."&amp;F258</f>
        <v>vtuber_profiles_lang.create_user</v>
      </c>
      <c r="C258" s="10">
        <f t="shared" si="6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107</v>
      </c>
      <c r="G258" s="11" t="s">
        <v>108</v>
      </c>
      <c r="H258" s="11" t="s">
        <v>65</v>
      </c>
      <c r="I258" s="11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256</v>
      </c>
      <c r="J258" s="11"/>
      <c r="K258" s="11"/>
      <c r="L258" s="9"/>
      <c r="M258" s="11" t="str">
        <f>IF(K258="","",IF(L258="","参照先未定義",_xlfn.XLOOKUP(L258,B:B,C:C,"エラー")))</f>
        <v/>
      </c>
      <c r="N258" s="11" t="s">
        <v>48</v>
      </c>
      <c r="O258" s="11"/>
      <c r="P258" s="11" t="s">
        <v>109</v>
      </c>
      <c r="Q258" s="11"/>
      <c r="R258" s="9"/>
      <c r="S258" s="9"/>
      <c r="T258" s="9"/>
      <c r="U258" s="11" t="s">
        <v>110</v>
      </c>
    </row>
    <row r="259" spans="1:21" ht="18.75" customHeight="1">
      <c r="A259" s="9" t="s">
        <v>46</v>
      </c>
      <c r="B259" s="9" t="str">
        <f ca="1">D259&amp;"."&amp;F259</f>
        <v>vtuber_profiles_lang.update_datetime</v>
      </c>
      <c r="C259" s="10">
        <f t="shared" si="6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111</v>
      </c>
      <c r="G259" s="11" t="s">
        <v>112</v>
      </c>
      <c r="H259" s="11" t="s">
        <v>488</v>
      </c>
      <c r="I259" s="11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64</v>
      </c>
      <c r="J259" s="11"/>
      <c r="K259" s="11"/>
      <c r="L259" s="9"/>
      <c r="M259" s="11" t="str">
        <f>IF(K259="","",IF(L259="","参照先未定義",_xlfn.XLOOKUP(L259,B:B,C:C,"エラー")))</f>
        <v/>
      </c>
      <c r="N259" s="11" t="s">
        <v>48</v>
      </c>
      <c r="O259" s="11"/>
      <c r="P259" s="11" t="s">
        <v>106</v>
      </c>
      <c r="Q259" s="11"/>
      <c r="R259" s="9"/>
      <c r="S259" s="9"/>
      <c r="T259" s="9"/>
      <c r="U259" s="11"/>
    </row>
    <row r="260" spans="1:21" ht="18.75" customHeight="1">
      <c r="A260" s="9" t="s">
        <v>46</v>
      </c>
      <c r="B260" s="9" t="str">
        <f ca="1">D260&amp;"."&amp;F260</f>
        <v>vtuber_profiles_lang.update_user</v>
      </c>
      <c r="C260" s="10">
        <f t="shared" si="6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113</v>
      </c>
      <c r="G260" s="11" t="s">
        <v>114</v>
      </c>
      <c r="H260" s="11" t="s">
        <v>65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256</v>
      </c>
      <c r="J260" s="11"/>
      <c r="K260" s="11"/>
      <c r="L260" s="9"/>
      <c r="M260" s="11" t="str">
        <f>IF(K260="","",IF(L260="","参照先未定義",_xlfn.XLOOKUP(L260,B:B,C:C,"エラー")))</f>
        <v/>
      </c>
      <c r="N260" s="11" t="s">
        <v>48</v>
      </c>
      <c r="O260" s="11"/>
      <c r="P260" s="11" t="s">
        <v>109</v>
      </c>
      <c r="Q260" s="11"/>
      <c r="R260" s="9"/>
      <c r="S260" s="9"/>
      <c r="T260" s="9"/>
      <c r="U260" s="11" t="s">
        <v>110</v>
      </c>
    </row>
    <row r="261" spans="1:21" ht="18">
      <c r="A261" s="9" t="s">
        <v>46</v>
      </c>
      <c r="B261" s="9" t="str">
        <f ca="1">D261&amp;"."&amp;F261</f>
        <v>vtuber_profiles_lang.soft_delete_flag</v>
      </c>
      <c r="C261" s="10">
        <f t="shared" si="6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115</v>
      </c>
      <c r="G261" s="11" t="s">
        <v>116</v>
      </c>
      <c r="H261" s="11" t="s">
        <v>490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8</v>
      </c>
      <c r="J261" s="11"/>
      <c r="K261" s="11"/>
      <c r="L261" s="9"/>
      <c r="M261" s="11" t="str">
        <f>IF(K261="","",IF(L261="","参照先未定義",_xlfn.XLOOKUP(L261,B:B,C:C,"エラー")))</f>
        <v/>
      </c>
      <c r="N261" s="11" t="s">
        <v>48</v>
      </c>
      <c r="O261" s="11"/>
      <c r="P261" s="11" t="b">
        <v>0</v>
      </c>
      <c r="Q261" s="11"/>
      <c r="R261" s="9"/>
      <c r="S261" s="9"/>
      <c r="T261" s="9"/>
      <c r="U261" s="11"/>
    </row>
    <row r="262" spans="1:21" ht="18">
      <c r="A262" s="9" t="s">
        <v>46</v>
      </c>
      <c r="B262" s="9" t="str">
        <f>D262&amp;"."&amp;F262</f>
        <v>profile_tag.profile_tag_sequence_id</v>
      </c>
      <c r="C262" s="10">
        <f t="shared" si="6"/>
        <v>261</v>
      </c>
      <c r="D262" s="11" t="s">
        <v>467</v>
      </c>
      <c r="E262" s="11" t="s">
        <v>460</v>
      </c>
      <c r="F262" s="11" t="str">
        <f>D262&amp;"_sequence_id"</f>
        <v>profile_tag_sequence_id</v>
      </c>
      <c r="G262" s="11" t="str">
        <f>E262&amp;"ID"</f>
        <v>プロフィールのタグID</v>
      </c>
      <c r="H262" s="11" t="s">
        <v>552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32</v>
      </c>
      <c r="J262" s="11" t="s">
        <v>453</v>
      </c>
      <c r="K262" s="11"/>
      <c r="L262" s="9"/>
      <c r="M262" s="11" t="str">
        <f>IF(K262="","",IF(L262="","参照先未定義",_xlfn.XLOOKUP(L262,B:B,C:C,"エラー")))</f>
        <v/>
      </c>
      <c r="N262" s="11" t="s">
        <v>474</v>
      </c>
      <c r="O262" s="11" t="s">
        <v>474</v>
      </c>
      <c r="P262" s="11" t="s">
        <v>551</v>
      </c>
      <c r="Q262" s="11"/>
      <c r="R262" s="9"/>
      <c r="S262" s="9"/>
      <c r="T262" s="9"/>
      <c r="U262" s="11"/>
    </row>
    <row r="263" spans="1:21" ht="18">
      <c r="A263" s="9" t="s">
        <v>46</v>
      </c>
      <c r="B263" s="9" t="str">
        <f ca="1">D263&amp;"."&amp;F263</f>
        <v>profile_tag.vtuber_profiles_id</v>
      </c>
      <c r="C263" s="10">
        <f t="shared" si="6"/>
        <v>262</v>
      </c>
      <c r="D263" s="11" t="str" cm="1">
        <f t="array" aca="1" ref="D263" ca="1">INDIRECT(ADDRESS(ROW()-1,COLUMN()))</f>
        <v>profile_tag</v>
      </c>
      <c r="E263" s="11" t="str" cm="1">
        <f t="array" aca="1" ref="E263" ca="1">INDIRECT(ADDRESS(ROW()-1,COLUMN()))</f>
        <v>プロフィールのタグ</v>
      </c>
      <c r="F263" s="11" t="s">
        <v>469</v>
      </c>
      <c r="G263" s="11" t="s">
        <v>50</v>
      </c>
      <c r="H263" s="11" t="s">
        <v>99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32</v>
      </c>
      <c r="J263" s="11"/>
      <c r="K263" s="11" t="s">
        <v>48</v>
      </c>
      <c r="L263" s="9" t="s">
        <v>558</v>
      </c>
      <c r="M263" s="11">
        <f>IF(K263="","",IF(L263="","参照先未定義",_xlfn.XLOOKUP(L263,B:B,C:C,"エラー")))</f>
        <v>1</v>
      </c>
      <c r="N263" s="11" t="s">
        <v>48</v>
      </c>
      <c r="O263" s="11" t="s">
        <v>473</v>
      </c>
      <c r="P263" s="11"/>
      <c r="Q263" s="11" t="s">
        <v>589</v>
      </c>
      <c r="R263" s="9"/>
      <c r="S263" s="9"/>
      <c r="T263" s="9"/>
      <c r="U263" s="11"/>
    </row>
    <row r="264" spans="1:21" ht="18">
      <c r="A264" s="9" t="s">
        <v>46</v>
      </c>
      <c r="B264" s="9" t="str">
        <f ca="1">D264&amp;"."&amp;F264</f>
        <v>profile_tag.tag</v>
      </c>
      <c r="C264" s="10">
        <f t="shared" si="6"/>
        <v>263</v>
      </c>
      <c r="D264" s="11" t="str" cm="1">
        <f t="array" aca="1" ref="D264" ca="1">INDIRECT(ADDRESS(ROW()-1,COLUMN()))</f>
        <v>profile_tag</v>
      </c>
      <c r="E264" s="11" t="str" cm="1">
        <f t="array" aca="1" ref="E264" ca="1">INDIRECT(ADDRESS(ROW()-1,COLUMN()))</f>
        <v>プロフィールのタグ</v>
      </c>
      <c r="F264" s="11" t="s">
        <v>470</v>
      </c>
      <c r="G264" s="11" t="s">
        <v>124</v>
      </c>
      <c r="H264" s="11" t="s">
        <v>99</v>
      </c>
      <c r="I264" s="11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32</v>
      </c>
      <c r="J264" s="11"/>
      <c r="K264" s="11" t="s">
        <v>453</v>
      </c>
      <c r="L264" s="9" t="s">
        <v>568</v>
      </c>
      <c r="M264" s="11">
        <f ca="1">IF(K264="","",IF(L264="","参照先未定義",_xlfn.XLOOKUP(L264,B:B,C:C,"エラー")))</f>
        <v>21</v>
      </c>
      <c r="N264" s="11" t="s">
        <v>48</v>
      </c>
      <c r="O264" s="11" t="s">
        <v>473</v>
      </c>
      <c r="P264" s="11"/>
      <c r="Q264" s="11" t="s">
        <v>590</v>
      </c>
      <c r="R264" s="9"/>
      <c r="S264" s="9"/>
      <c r="T264" s="9" t="s">
        <v>48</v>
      </c>
      <c r="U264" s="11"/>
    </row>
    <row r="265" spans="1:21" ht="18">
      <c r="A265" s="9" t="s">
        <v>46</v>
      </c>
      <c r="B265" s="9" t="str">
        <f ca="1">D265&amp;"."&amp;F265</f>
        <v>profile_tag.create_datetime</v>
      </c>
      <c r="C265" s="10">
        <f>ROW()-1</f>
        <v>264</v>
      </c>
      <c r="D265" s="11" t="str" cm="1">
        <f t="array" aca="1" ref="D265" ca="1">INDIRECT(ADDRESS(ROW()-1,COLUMN()))</f>
        <v>profile_tag</v>
      </c>
      <c r="E265" s="11" t="str" cm="1">
        <f t="array" aca="1" ref="E265" ca="1">INDIRECT(ADDRESS(ROW()-1,COLUMN()))</f>
        <v>プロフィールのタグ</v>
      </c>
      <c r="F265" s="11" t="s">
        <v>104</v>
      </c>
      <c r="G265" s="11" t="s">
        <v>105</v>
      </c>
      <c r="H265" s="11" t="s">
        <v>488</v>
      </c>
      <c r="I265" s="11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64</v>
      </c>
      <c r="J265" s="11"/>
      <c r="K265" s="11"/>
      <c r="L265" s="9"/>
      <c r="M265" s="11" t="str">
        <f>IF(K265="","",IF(L265="","参照先未定義",_xlfn.XLOOKUP(L265,B:B,C:C,"エラー")))</f>
        <v/>
      </c>
      <c r="N265" s="11" t="s">
        <v>48</v>
      </c>
      <c r="O265" s="11"/>
      <c r="P265" s="11" t="s">
        <v>106</v>
      </c>
      <c r="Q265" s="11"/>
      <c r="R265" s="9"/>
      <c r="S265" s="9"/>
      <c r="T265" s="9"/>
      <c r="U265" s="11"/>
    </row>
    <row r="266" spans="1:21" ht="18.75" customHeight="1">
      <c r="A266" s="9" t="s">
        <v>46</v>
      </c>
      <c r="B266" s="9" t="str">
        <f ca="1">D266&amp;"."&amp;F266</f>
        <v>profile_tag.create_user</v>
      </c>
      <c r="C266" s="10">
        <f>ROW()-1</f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107</v>
      </c>
      <c r="G266" s="11" t="s">
        <v>108</v>
      </c>
      <c r="H266" s="11" t="s">
        <v>65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256</v>
      </c>
      <c r="J266" s="11"/>
      <c r="K266" s="11"/>
      <c r="L266" s="9"/>
      <c r="M266" s="11" t="str">
        <f>IF(K266="","",IF(L266="","参照先未定義",_xlfn.XLOOKUP(L266,B:B,C:C,"エラー")))</f>
        <v/>
      </c>
      <c r="N266" s="11" t="s">
        <v>48</v>
      </c>
      <c r="O266" s="11"/>
      <c r="P266" s="11" t="s">
        <v>109</v>
      </c>
      <c r="Q266" s="11"/>
      <c r="R266" s="9"/>
      <c r="S266" s="9"/>
      <c r="T266" s="9"/>
      <c r="U266" s="11" t="s">
        <v>110</v>
      </c>
    </row>
    <row r="267" spans="1:21" ht="18.75" customHeight="1">
      <c r="A267" s="9" t="s">
        <v>46</v>
      </c>
      <c r="B267" s="9" t="str">
        <f ca="1">D267&amp;"."&amp;F267</f>
        <v>profile_tag.update_datetime</v>
      </c>
      <c r="C267" s="10">
        <f>ROW()-1</f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111</v>
      </c>
      <c r="G267" s="11" t="s">
        <v>112</v>
      </c>
      <c r="H267" s="11" t="s">
        <v>488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64</v>
      </c>
      <c r="J267" s="11"/>
      <c r="K267" s="11"/>
      <c r="L267" s="9"/>
      <c r="M267" s="11" t="str">
        <f>IF(K267="","",IF(L267="","参照先未定義",_xlfn.XLOOKUP(L267,B:B,C:C,"エラー")))</f>
        <v/>
      </c>
      <c r="N267" s="11" t="s">
        <v>48</v>
      </c>
      <c r="O267" s="11"/>
      <c r="P267" s="11" t="s">
        <v>106</v>
      </c>
      <c r="Q267" s="11"/>
      <c r="R267" s="9"/>
      <c r="S267" s="9"/>
      <c r="T267" s="9"/>
      <c r="U267" s="11"/>
    </row>
    <row r="268" spans="1:21" ht="18.75" customHeight="1">
      <c r="A268" s="9" t="s">
        <v>46</v>
      </c>
      <c r="B268" s="9" t="str">
        <f ca="1">D268&amp;"."&amp;F268</f>
        <v>profile_tag.update_user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113</v>
      </c>
      <c r="G268" s="11" t="s">
        <v>114</v>
      </c>
      <c r="H268" s="11" t="s">
        <v>65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256</v>
      </c>
      <c r="J268" s="11"/>
      <c r="K268" s="11"/>
      <c r="L268" s="9"/>
      <c r="M268" s="11" t="str">
        <f>IF(K268="","",IF(L268="","参照先未定義",_xlfn.XLOOKUP(L268,B:B,C:C,"エラー")))</f>
        <v/>
      </c>
      <c r="N268" s="11" t="s">
        <v>48</v>
      </c>
      <c r="O268" s="11"/>
      <c r="P268" s="11" t="s">
        <v>109</v>
      </c>
      <c r="Q268" s="11"/>
      <c r="R268" s="9"/>
      <c r="S268" s="9"/>
      <c r="T268" s="9"/>
      <c r="U268" s="11" t="s">
        <v>110</v>
      </c>
    </row>
    <row r="269" spans="1:21" ht="18.75" customHeight="1">
      <c r="A269" s="9" t="s">
        <v>46</v>
      </c>
      <c r="B269" s="9" t="str">
        <f ca="1">D269&amp;"."&amp;F269</f>
        <v>profile_tag.soft_delete_flag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115</v>
      </c>
      <c r="G269" s="11" t="s">
        <v>116</v>
      </c>
      <c r="H269" s="11" t="s">
        <v>490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8</v>
      </c>
      <c r="J269" s="11"/>
      <c r="K269" s="11"/>
      <c r="L269" s="9"/>
      <c r="M269" s="11" t="str">
        <f>IF(K269="","",IF(L269="","参照先未定義",_xlfn.XLOOKUP(L269,B:B,C:C,"エラー")))</f>
        <v/>
      </c>
      <c r="N269" s="11" t="s">
        <v>48</v>
      </c>
      <c r="O269" s="11"/>
      <c r="P269" s="11" t="b">
        <v>0</v>
      </c>
      <c r="Q269" s="11"/>
      <c r="R269" s="9"/>
      <c r="S269" s="9"/>
      <c r="T269" s="9"/>
      <c r="U269" s="11"/>
    </row>
    <row r="270" spans="1:21" ht="18">
      <c r="A270" s="9" t="s">
        <v>46</v>
      </c>
      <c r="B270" s="9" t="str">
        <f>D270&amp;"."&amp;F270</f>
        <v>profile_activity.profile_activity_sequence_id</v>
      </c>
      <c r="C270" s="10">
        <f t="shared" si="6"/>
        <v>269</v>
      </c>
      <c r="D270" s="11" t="s">
        <v>481</v>
      </c>
      <c r="E270" s="11" t="s">
        <v>482</v>
      </c>
      <c r="F270" s="11" t="str">
        <f>D270&amp;"_sequence_id"</f>
        <v>profile_activity_sequence_id</v>
      </c>
      <c r="G270" s="11" t="str">
        <f>E270&amp;"ID"</f>
        <v>プロフィールの活動ジャンルID</v>
      </c>
      <c r="H270" s="11" t="s">
        <v>552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32</v>
      </c>
      <c r="J270" s="11" t="s">
        <v>453</v>
      </c>
      <c r="K270" s="11"/>
      <c r="L270" s="9"/>
      <c r="M270" s="11" t="str">
        <f>IF(K270="","",IF(L270="","参照先未定義",_xlfn.XLOOKUP(L270,B:B,C:C,"エラー")))</f>
        <v/>
      </c>
      <c r="N270" s="11" t="s">
        <v>474</v>
      </c>
      <c r="O270" s="11" t="s">
        <v>474</v>
      </c>
      <c r="P270" s="11" t="s">
        <v>551</v>
      </c>
      <c r="Q270" s="11"/>
      <c r="R270" s="9"/>
      <c r="S270" s="9"/>
      <c r="T270" s="9"/>
      <c r="U270" s="11"/>
    </row>
    <row r="271" spans="1:21" ht="18">
      <c r="A271" s="9" t="s">
        <v>46</v>
      </c>
      <c r="B271" s="9" t="str">
        <f ca="1">D271&amp;"."&amp;F271</f>
        <v>profile_activity.vtuber_profiles_id</v>
      </c>
      <c r="C271" s="10">
        <f t="shared" si="6"/>
        <v>270</v>
      </c>
      <c r="D271" s="11" t="str" cm="1">
        <f t="array" aca="1" ref="D271" ca="1">INDIRECT(ADDRESS(ROW()-1,COLUMN()))</f>
        <v>profile_activity</v>
      </c>
      <c r="E271" s="11" t="str" cm="1">
        <f t="array" aca="1" ref="E271" ca="1">INDIRECT(ADDRESS(ROW()-1,COLUMN()))</f>
        <v>プロフィールの活動ジャンル</v>
      </c>
      <c r="F271" s="11" t="s">
        <v>469</v>
      </c>
      <c r="G271" s="11" t="s">
        <v>50</v>
      </c>
      <c r="H271" s="11" t="s">
        <v>99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32</v>
      </c>
      <c r="J271" s="11"/>
      <c r="K271" s="11" t="s">
        <v>48</v>
      </c>
      <c r="L271" s="9" t="s">
        <v>558</v>
      </c>
      <c r="M271" s="11">
        <f>IF(K271="","",IF(L271="","参照先未定義",_xlfn.XLOOKUP(L271,B:B,C:C,"エラー")))</f>
        <v>1</v>
      </c>
      <c r="N271" s="11" t="s">
        <v>48</v>
      </c>
      <c r="O271" s="11" t="s">
        <v>473</v>
      </c>
      <c r="P271" s="11"/>
      <c r="Q271" s="11" t="s">
        <v>591</v>
      </c>
      <c r="R271" s="9"/>
      <c r="S271" s="9"/>
      <c r="T271" s="9"/>
      <c r="U271" s="11"/>
    </row>
    <row r="272" spans="1:21" ht="18">
      <c r="A272" s="9" t="s">
        <v>46</v>
      </c>
      <c r="B272" s="9" t="str">
        <f ca="1">D272&amp;"."&amp;F272</f>
        <v>profile_activity.activity</v>
      </c>
      <c r="C272" s="10">
        <f t="shared" si="6"/>
        <v>271</v>
      </c>
      <c r="D272" s="11" t="str" cm="1">
        <f t="array" aca="1" ref="D272" ca="1">INDIRECT(ADDRESS(ROW()-1,COLUMN()))</f>
        <v>profile_activity</v>
      </c>
      <c r="E272" s="11" t="str" cm="1">
        <f t="array" aca="1" ref="E272" ca="1">INDIRECT(ADDRESS(ROW()-1,COLUMN()))</f>
        <v>プロフィールの活動ジャンル</v>
      </c>
      <c r="F272" s="11" t="s">
        <v>484</v>
      </c>
      <c r="G272" s="11" t="s">
        <v>68</v>
      </c>
      <c r="H272" s="11" t="s">
        <v>483</v>
      </c>
      <c r="I272" s="11">
        <f>_xlfn.LET(
    _xlpm.可変bit数,--MID(H272,FIND("(",H272)+1,FIND(")",H272)-FIND("(",H272)-1),
    _xlfn.XLOOKUP(
        $H272,
        型とバイト数!$B$3:$B$54,
        型とバイト数!$E$3:$E$54,
        IF(LEFT($H272,7)="varchar",_xlpm.可変bit数*8,
            IF(LEFT($H272,4)="char",_xlpm.可変bit数*8,
                IF(LEFT($H272,3)="bit",_xlpm.可変bit数,"???")
            )
        )
    )
)</f>
        <v>128</v>
      </c>
      <c r="J272" s="11"/>
      <c r="K272" s="11"/>
      <c r="L272" s="9"/>
      <c r="M272" s="11" t="str">
        <f>IF(K272="","",IF(L272="","参照先未定義",_xlfn.XLOOKUP(L272,B:B,C:C,"エラー")))</f>
        <v/>
      </c>
      <c r="N272" s="11" t="s">
        <v>48</v>
      </c>
      <c r="O272" s="11" t="s">
        <v>473</v>
      </c>
      <c r="P272" s="11"/>
      <c r="Q272" s="11" t="s">
        <v>485</v>
      </c>
      <c r="R272" s="9"/>
      <c r="S272" s="9"/>
      <c r="T272" s="9" t="s">
        <v>48</v>
      </c>
      <c r="U272" s="11"/>
    </row>
    <row r="273" spans="1:21" ht="18">
      <c r="A273" s="9" t="s">
        <v>46</v>
      </c>
      <c r="B273" s="9" t="str">
        <f ca="1">D273&amp;"."&amp;F273</f>
        <v>profile_activity.create_datetime</v>
      </c>
      <c r="C273" s="10">
        <f>ROW()-1</f>
        <v>272</v>
      </c>
      <c r="D273" s="11" t="str" cm="1">
        <f t="array" aca="1" ref="D273" ca="1">INDIRECT(ADDRESS(ROW()-1,COLUMN()))</f>
        <v>profile_activity</v>
      </c>
      <c r="E273" s="11" t="str" cm="1">
        <f t="array" aca="1" ref="E273" ca="1">INDIRECT(ADDRESS(ROW()-1,COLUMN()))</f>
        <v>プロフィールの活動ジャンル</v>
      </c>
      <c r="F273" s="11" t="s">
        <v>104</v>
      </c>
      <c r="G273" s="11" t="s">
        <v>105</v>
      </c>
      <c r="H273" s="11" t="s">
        <v>488</v>
      </c>
      <c r="I273" s="11">
        <f>_xlfn.LET(
    _xlpm.可変bit数,--MID(H273,FIND("(",H273)+1,FIND(")",H273)-FIND("(",H273)-1),
    _xlfn.XLOOKUP(
        $H273,
        型とバイト数!$B$3:$B$54,
        型とバイト数!$E$3:$E$54,
        IF(LEFT($H273,7)="varchar",_xlpm.可変bit数*8,
            IF(LEFT($H273,4)="char",_xlpm.可変bit数*8,
                IF(LEFT($H273,3)="bit",_xlpm.可変bit数,"???")
            )
        )
    )
)</f>
        <v>64</v>
      </c>
      <c r="J273" s="11"/>
      <c r="K273" s="11"/>
      <c r="L273" s="9"/>
      <c r="M273" s="11" t="str">
        <f>IF(K273="","",IF(L273="","参照先未定義",_xlfn.XLOOKUP(L273,B:B,C:C,"エラー")))</f>
        <v/>
      </c>
      <c r="N273" s="11" t="s">
        <v>48</v>
      </c>
      <c r="O273" s="11"/>
      <c r="P273" s="11" t="s">
        <v>106</v>
      </c>
      <c r="Q273" s="11"/>
      <c r="R273" s="9"/>
      <c r="S273" s="9"/>
      <c r="T273" s="9"/>
      <c r="U273" s="11"/>
    </row>
    <row r="274" spans="1:21" ht="18.75" customHeight="1">
      <c r="A274" s="9" t="s">
        <v>46</v>
      </c>
      <c r="B274" s="9" t="str">
        <f ca="1">D274&amp;"."&amp;F274</f>
        <v>profile_activity.create_user</v>
      </c>
      <c r="C274" s="10">
        <f>ROW()-1</f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107</v>
      </c>
      <c r="G274" s="11" t="s">
        <v>108</v>
      </c>
      <c r="H274" s="11" t="s">
        <v>65</v>
      </c>
      <c r="I274" s="11">
        <f>_xlfn.LET(
    _xlpm.可変bit数,--MID(H274,FIND("(",H274)+1,FIND(")",H274)-FIND("(",H274)-1),
    _xlfn.XLOOKUP(
        $H274,
        型とバイト数!$B$3:$B$54,
        型とバイト数!$E$3:$E$54,
        IF(LEFT($H274,7)="varchar",_xlpm.可変bit数*8,
            IF(LEFT($H274,4)="char",_xlpm.可変bit数*8,
                IF(LEFT($H274,3)="bit",_xlpm.可変bit数,"???")
            )
        )
    )
)</f>
        <v>256</v>
      </c>
      <c r="J274" s="11"/>
      <c r="K274" s="11"/>
      <c r="L274" s="9"/>
      <c r="M274" s="11" t="str">
        <f>IF(K274="","",IF(L274="","参照先未定義",_xlfn.XLOOKUP(L274,B:B,C:C,"エラー")))</f>
        <v/>
      </c>
      <c r="N274" s="11" t="s">
        <v>48</v>
      </c>
      <c r="O274" s="11"/>
      <c r="P274" s="11" t="s">
        <v>109</v>
      </c>
      <c r="Q274" s="11"/>
      <c r="R274" s="9"/>
      <c r="S274" s="9"/>
      <c r="T274" s="9"/>
      <c r="U274" s="11" t="s">
        <v>110</v>
      </c>
    </row>
    <row r="275" spans="1:21" ht="18.75" customHeight="1">
      <c r="A275" s="9" t="s">
        <v>46</v>
      </c>
      <c r="B275" s="9" t="str">
        <f ca="1">D275&amp;"."&amp;F275</f>
        <v>profile_activity.update_datetime</v>
      </c>
      <c r="C275" s="10">
        <f>ROW()-1</f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111</v>
      </c>
      <c r="G275" s="11" t="s">
        <v>112</v>
      </c>
      <c r="H275" s="11" t="s">
        <v>488</v>
      </c>
      <c r="I275" s="11">
        <f>_xlfn.LET(
    _xlpm.可変bit数,--MID(H275,FIND("(",H275)+1,FIND(")",H275)-FIND("(",H275)-1),
    _xlfn.XLOOKUP(
        $H275,
        型とバイト数!$B$3:$B$54,
        型とバイト数!$E$3:$E$54,
        IF(LEFT($H275,7)="varchar",_xlpm.可変bit数*8,
            IF(LEFT($H275,4)="char",_xlpm.可変bit数*8,
                IF(LEFT($H275,3)="bit",_xlpm.可変bit数,"???")
            )
        )
    )
)</f>
        <v>64</v>
      </c>
      <c r="J275" s="11"/>
      <c r="K275" s="11"/>
      <c r="L275" s="9"/>
      <c r="M275" s="11" t="str">
        <f>IF(K275="","",IF(L275="","参照先未定義",_xlfn.XLOOKUP(L275,B:B,C:C,"エラー")))</f>
        <v/>
      </c>
      <c r="N275" s="11" t="s">
        <v>48</v>
      </c>
      <c r="O275" s="11"/>
      <c r="P275" s="11" t="s">
        <v>106</v>
      </c>
      <c r="Q275" s="11"/>
      <c r="R275" s="9"/>
      <c r="S275" s="9"/>
      <c r="T275" s="9"/>
      <c r="U275" s="11"/>
    </row>
    <row r="276" spans="1:21" ht="18.75" customHeight="1">
      <c r="A276" s="9" t="s">
        <v>46</v>
      </c>
      <c r="B276" s="9" t="str">
        <f ca="1">D276&amp;"."&amp;F276</f>
        <v>profile_activity.update_user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113</v>
      </c>
      <c r="G276" s="11" t="s">
        <v>114</v>
      </c>
      <c r="H276" s="11" t="s">
        <v>65</v>
      </c>
      <c r="I276" s="11">
        <f>_xlfn.LET(
    _xlpm.可変bit数,--MID(H276,FIND("(",H276)+1,FIND(")",H276)-FIND("(",H276)-1),
    _xlfn.XLOOKUP(
        $H276,
        型とバイト数!$B$3:$B$54,
        型とバイト数!$E$3:$E$54,
        IF(LEFT($H276,7)="varchar",_xlpm.可変bit数*8,
            IF(LEFT($H276,4)="char",_xlpm.可変bit数*8,
                IF(LEFT($H276,3)="bit",_xlpm.可変bit数,"???")
            )
        )
    )
)</f>
        <v>256</v>
      </c>
      <c r="J276" s="11"/>
      <c r="K276" s="11"/>
      <c r="L276" s="9"/>
      <c r="M276" s="11" t="str">
        <f>IF(K276="","",IF(L276="","参照先未定義",_xlfn.XLOOKUP(L276,B:B,C:C,"エラー")))</f>
        <v/>
      </c>
      <c r="N276" s="11" t="s">
        <v>48</v>
      </c>
      <c r="O276" s="11"/>
      <c r="P276" s="11" t="s">
        <v>109</v>
      </c>
      <c r="Q276" s="11"/>
      <c r="R276" s="9"/>
      <c r="S276" s="9"/>
      <c r="T276" s="9"/>
      <c r="U276" s="11" t="s">
        <v>110</v>
      </c>
    </row>
    <row r="277" spans="1:21" ht="18.75" customHeight="1">
      <c r="A277" s="9" t="s">
        <v>46</v>
      </c>
      <c r="B277" s="9" t="str">
        <f ca="1">D277&amp;"."&amp;F277</f>
        <v>profile_activity.soft_delete_flag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115</v>
      </c>
      <c r="G277" s="11" t="s">
        <v>116</v>
      </c>
      <c r="H277" s="11" t="s">
        <v>490</v>
      </c>
      <c r="I277" s="11">
        <f>_xlfn.LET(
    _xlpm.可変bit数,--MID(H277,FIND("(",H277)+1,FIND(")",H277)-FIND("(",H277)-1),
    _xlfn.XLOOKUP(
        $H277,
        型とバイト数!$B$3:$B$54,
        型とバイト数!$E$3:$E$54,
        IF(LEFT($H277,7)="varchar",_xlpm.可変bit数*8,
            IF(LEFT($H277,4)="char",_xlpm.可変bit数*8,
                IF(LEFT($H277,3)="bit",_xlpm.可変bit数,"???")
            )
        )
    )
)</f>
        <v>8</v>
      </c>
      <c r="J277" s="11"/>
      <c r="K277" s="11"/>
      <c r="L277" s="9"/>
      <c r="M277" s="11" t="str">
        <f>IF(K277="","",IF(L277="","参照先未定義",_xlfn.XLOOKUP(L277,B:B,C:C,"エラー")))</f>
        <v/>
      </c>
      <c r="N277" s="11" t="s">
        <v>48</v>
      </c>
      <c r="O277" s="11"/>
      <c r="P277" s="11" t="b">
        <v>0</v>
      </c>
      <c r="Q277" s="11"/>
      <c r="R277" s="9"/>
      <c r="S277" s="9"/>
      <c r="T277" s="9"/>
      <c r="U277" s="11"/>
    </row>
  </sheetData>
  <autoFilter ref="A1:U277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10" activePane="bottomLeft" state="frozen"/>
      <selection pane="bottomLeft" activeCell="A45" sqref="A45"/>
    </sheetView>
  </sheetViews>
  <sheetFormatPr baseColWidth="10" defaultColWidth="14.5" defaultRowHeight="15"/>
  <cols>
    <col min="1" max="1" width="17.5" bestFit="1" customWidth="1"/>
    <col min="2" max="2" width="43.1640625" bestFit="1" customWidth="1"/>
    <col min="3" max="3" width="21.5" bestFit="1" customWidth="1"/>
    <col min="4" max="4" width="22.1640625" hidden="1" customWidth="1"/>
    <col min="5" max="5" width="20.1640625" bestFit="1" customWidth="1"/>
    <col min="6" max="6" width="64.5" bestFit="1" customWidth="1"/>
    <col min="7" max="7" width="93.33203125" bestFit="1" customWidth="1"/>
    <col min="8" max="26" width="8.6640625" customWidth="1"/>
  </cols>
  <sheetData>
    <row r="1" spans="1:7" ht="18">
      <c r="A1" s="33" t="s">
        <v>272</v>
      </c>
      <c r="B1" s="34"/>
      <c r="C1" s="34"/>
      <c r="D1" s="34"/>
      <c r="E1" s="34"/>
      <c r="F1" s="34"/>
      <c r="G1" s="34"/>
    </row>
    <row r="2" spans="1:7" ht="19">
      <c r="A2" s="12" t="s">
        <v>273</v>
      </c>
      <c r="B2" s="12" t="s">
        <v>274</v>
      </c>
      <c r="C2" s="12" t="s">
        <v>275</v>
      </c>
      <c r="D2" s="12" t="s">
        <v>464</v>
      </c>
      <c r="E2" s="12" t="s">
        <v>465</v>
      </c>
      <c r="F2" s="12" t="s">
        <v>276</v>
      </c>
      <c r="G2" s="12" t="s">
        <v>277</v>
      </c>
    </row>
    <row r="3" spans="1:7" ht="19">
      <c r="A3" s="13" t="s">
        <v>278</v>
      </c>
      <c r="B3" s="13" t="s">
        <v>279</v>
      </c>
      <c r="C3" s="13" t="s">
        <v>280</v>
      </c>
      <c r="D3" s="13">
        <v>2</v>
      </c>
      <c r="E3" s="13">
        <f t="shared" ref="E3:E54" si="0">IF(D3&lt;&gt;"-",D3*8,"-")</f>
        <v>16</v>
      </c>
      <c r="F3" s="13" t="s">
        <v>281</v>
      </c>
      <c r="G3" s="13" t="s">
        <v>282</v>
      </c>
    </row>
    <row r="4" spans="1:7" ht="19">
      <c r="A4" s="14" t="s">
        <v>278</v>
      </c>
      <c r="B4" s="14" t="s">
        <v>99</v>
      </c>
      <c r="C4" s="14" t="s">
        <v>283</v>
      </c>
      <c r="D4" s="14">
        <v>4</v>
      </c>
      <c r="E4" s="14">
        <f t="shared" si="0"/>
        <v>32</v>
      </c>
      <c r="F4" s="14" t="s">
        <v>284</v>
      </c>
      <c r="G4" s="14" t="s">
        <v>285</v>
      </c>
    </row>
    <row r="5" spans="1:7" ht="19">
      <c r="A5" s="13" t="s">
        <v>278</v>
      </c>
      <c r="B5" s="13" t="s">
        <v>286</v>
      </c>
      <c r="C5" s="13" t="s">
        <v>287</v>
      </c>
      <c r="D5" s="13">
        <v>8</v>
      </c>
      <c r="E5" s="13">
        <f t="shared" si="0"/>
        <v>64</v>
      </c>
      <c r="F5" s="13" t="s">
        <v>288</v>
      </c>
      <c r="G5" s="13" t="s">
        <v>289</v>
      </c>
    </row>
    <row r="6" spans="1:7" ht="19">
      <c r="A6" s="14" t="s">
        <v>278</v>
      </c>
      <c r="B6" s="14" t="s">
        <v>290</v>
      </c>
      <c r="C6" s="14" t="s">
        <v>291</v>
      </c>
      <c r="D6" s="14" t="s">
        <v>76</v>
      </c>
      <c r="E6" s="14" t="str">
        <f t="shared" si="0"/>
        <v>-</v>
      </c>
      <c r="F6" s="14" t="s">
        <v>292</v>
      </c>
      <c r="G6" s="14" t="s">
        <v>293</v>
      </c>
    </row>
    <row r="7" spans="1:7" ht="19">
      <c r="A7" s="13" t="s">
        <v>278</v>
      </c>
      <c r="B7" s="13" t="s">
        <v>294</v>
      </c>
      <c r="C7" s="13" t="s">
        <v>291</v>
      </c>
      <c r="D7" s="13" t="s">
        <v>76</v>
      </c>
      <c r="E7" s="13" t="str">
        <f t="shared" si="0"/>
        <v>-</v>
      </c>
      <c r="F7" s="13" t="s">
        <v>292</v>
      </c>
      <c r="G7" s="13" t="s">
        <v>295</v>
      </c>
    </row>
    <row r="8" spans="1:7" ht="19">
      <c r="A8" s="14" t="s">
        <v>278</v>
      </c>
      <c r="B8" s="14" t="s">
        <v>296</v>
      </c>
      <c r="C8" s="14" t="s">
        <v>283</v>
      </c>
      <c r="D8" s="14">
        <v>4</v>
      </c>
      <c r="E8" s="14">
        <f t="shared" si="0"/>
        <v>32</v>
      </c>
      <c r="F8" s="15" t="s">
        <v>297</v>
      </c>
      <c r="G8" s="14" t="s">
        <v>298</v>
      </c>
    </row>
    <row r="9" spans="1:7" ht="19">
      <c r="A9" s="13" t="s">
        <v>278</v>
      </c>
      <c r="B9" s="13" t="s">
        <v>299</v>
      </c>
      <c r="C9" s="13" t="s">
        <v>287</v>
      </c>
      <c r="D9" s="13">
        <v>8</v>
      </c>
      <c r="E9" s="13">
        <f t="shared" si="0"/>
        <v>64</v>
      </c>
      <c r="F9" s="16" t="s">
        <v>300</v>
      </c>
      <c r="G9" s="13" t="s">
        <v>301</v>
      </c>
    </row>
    <row r="10" spans="1:7" ht="19">
      <c r="A10" s="14" t="s">
        <v>278</v>
      </c>
      <c r="B10" s="14" t="s">
        <v>302</v>
      </c>
      <c r="C10" s="14" t="s">
        <v>280</v>
      </c>
      <c r="D10" s="14">
        <v>2</v>
      </c>
      <c r="E10" s="14">
        <f t="shared" si="0"/>
        <v>16</v>
      </c>
      <c r="F10" s="14" t="s">
        <v>303</v>
      </c>
      <c r="G10" s="14" t="s">
        <v>304</v>
      </c>
    </row>
    <row r="11" spans="1:7" ht="19">
      <c r="A11" s="13" t="s">
        <v>278</v>
      </c>
      <c r="B11" s="13" t="s">
        <v>157</v>
      </c>
      <c r="C11" s="13" t="s">
        <v>283</v>
      </c>
      <c r="D11" s="13">
        <v>4</v>
      </c>
      <c r="E11" s="13">
        <f t="shared" si="0"/>
        <v>32</v>
      </c>
      <c r="F11" s="13" t="s">
        <v>305</v>
      </c>
      <c r="G11" s="13" t="s">
        <v>306</v>
      </c>
    </row>
    <row r="12" spans="1:7" ht="19">
      <c r="A12" s="14" t="s">
        <v>278</v>
      </c>
      <c r="B12" s="14" t="s">
        <v>55</v>
      </c>
      <c r="C12" s="14" t="s">
        <v>287</v>
      </c>
      <c r="D12" s="14">
        <v>8</v>
      </c>
      <c r="E12" s="14">
        <f t="shared" si="0"/>
        <v>64</v>
      </c>
      <c r="F12" s="14" t="s">
        <v>307</v>
      </c>
      <c r="G12" s="14" t="s">
        <v>308</v>
      </c>
    </row>
    <row r="13" spans="1:7" ht="19">
      <c r="A13" s="13" t="s">
        <v>309</v>
      </c>
      <c r="B13" s="13" t="s">
        <v>310</v>
      </c>
      <c r="C13" s="13" t="s">
        <v>287</v>
      </c>
      <c r="D13" s="13">
        <v>8</v>
      </c>
      <c r="E13" s="13">
        <f t="shared" si="0"/>
        <v>64</v>
      </c>
      <c r="F13" s="13" t="s">
        <v>311</v>
      </c>
      <c r="G13" s="13" t="s">
        <v>312</v>
      </c>
    </row>
    <row r="14" spans="1:7" ht="19">
      <c r="A14" s="14" t="s">
        <v>313</v>
      </c>
      <c r="B14" s="14" t="s">
        <v>314</v>
      </c>
      <c r="C14" s="14" t="s">
        <v>315</v>
      </c>
      <c r="D14" s="14" t="s">
        <v>76</v>
      </c>
      <c r="E14" s="14" t="str">
        <f t="shared" si="0"/>
        <v>-</v>
      </c>
      <c r="F14" s="14" t="s">
        <v>316</v>
      </c>
      <c r="G14" s="14" t="s">
        <v>317</v>
      </c>
    </row>
    <row r="15" spans="1:7" ht="19">
      <c r="A15" s="13" t="s">
        <v>313</v>
      </c>
      <c r="B15" s="13" t="s">
        <v>318</v>
      </c>
      <c r="C15" s="13" t="s">
        <v>319</v>
      </c>
      <c r="D15" s="13" t="s">
        <v>76</v>
      </c>
      <c r="E15" s="13" t="str">
        <f t="shared" si="0"/>
        <v>-</v>
      </c>
      <c r="F15" s="13" t="s">
        <v>320</v>
      </c>
      <c r="G15" s="13" t="s">
        <v>321</v>
      </c>
    </row>
    <row r="16" spans="1:7" ht="19">
      <c r="A16" s="14" t="s">
        <v>313</v>
      </c>
      <c r="B16" s="14" t="s">
        <v>81</v>
      </c>
      <c r="C16" s="14" t="s">
        <v>291</v>
      </c>
      <c r="D16" s="14" t="s">
        <v>76</v>
      </c>
      <c r="E16" s="14" t="str">
        <f t="shared" si="0"/>
        <v>-</v>
      </c>
      <c r="F16" s="14" t="s">
        <v>322</v>
      </c>
      <c r="G16" s="14" t="s">
        <v>323</v>
      </c>
    </row>
    <row r="17" spans="1:7" ht="19">
      <c r="A17" s="13" t="s">
        <v>324</v>
      </c>
      <c r="B17" s="13" t="s">
        <v>449</v>
      </c>
      <c r="C17" s="13" t="s">
        <v>287</v>
      </c>
      <c r="D17" s="13">
        <v>8</v>
      </c>
      <c r="E17" s="13">
        <f t="shared" si="0"/>
        <v>64</v>
      </c>
      <c r="F17" s="13" t="s">
        <v>325</v>
      </c>
      <c r="G17" s="13" t="s">
        <v>326</v>
      </c>
    </row>
    <row r="18" spans="1:7" ht="19">
      <c r="A18" s="14" t="s">
        <v>324</v>
      </c>
      <c r="B18" s="14" t="s">
        <v>327</v>
      </c>
      <c r="C18" s="14" t="s">
        <v>287</v>
      </c>
      <c r="D18" s="14">
        <v>8</v>
      </c>
      <c r="E18" s="14">
        <f>IF(D18&lt;&gt;"-",D18*8,"-")</f>
        <v>64</v>
      </c>
      <c r="F18" s="14" t="s">
        <v>325</v>
      </c>
      <c r="G18" s="14" t="s">
        <v>328</v>
      </c>
    </row>
    <row r="19" spans="1:7" ht="19">
      <c r="A19" s="17" t="s">
        <v>324</v>
      </c>
      <c r="B19" s="17" t="s">
        <v>445</v>
      </c>
      <c r="C19" s="17" t="s">
        <v>287</v>
      </c>
      <c r="D19" s="17">
        <v>8</v>
      </c>
      <c r="E19" s="17">
        <f t="shared" ref="E19" si="1">IF(D19&lt;&gt;"-",D19*8,"-")</f>
        <v>64</v>
      </c>
      <c r="F19" s="17"/>
      <c r="G19" s="17" t="s">
        <v>450</v>
      </c>
    </row>
    <row r="20" spans="1:7" ht="19">
      <c r="A20" s="17" t="s">
        <v>324</v>
      </c>
      <c r="B20" s="17" t="s">
        <v>487</v>
      </c>
      <c r="C20" s="17" t="s">
        <v>287</v>
      </c>
      <c r="D20" s="17">
        <v>8</v>
      </c>
      <c r="E20" s="17">
        <f t="shared" si="0"/>
        <v>64</v>
      </c>
      <c r="F20" s="17"/>
      <c r="G20" s="17" t="s">
        <v>450</v>
      </c>
    </row>
    <row r="21" spans="1:7" ht="19">
      <c r="A21" s="13" t="s">
        <v>324</v>
      </c>
      <c r="B21" s="13" t="s">
        <v>329</v>
      </c>
      <c r="C21" s="13" t="s">
        <v>283</v>
      </c>
      <c r="D21" s="13">
        <v>4</v>
      </c>
      <c r="E21" s="13">
        <f t="shared" si="0"/>
        <v>32</v>
      </c>
      <c r="F21" s="13" t="s">
        <v>330</v>
      </c>
      <c r="G21" s="13" t="s">
        <v>331</v>
      </c>
    </row>
    <row r="22" spans="1:7" ht="19">
      <c r="A22" s="14" t="s">
        <v>324</v>
      </c>
      <c r="B22" s="14" t="s">
        <v>332</v>
      </c>
      <c r="C22" s="14" t="s">
        <v>287</v>
      </c>
      <c r="D22" s="14">
        <v>8</v>
      </c>
      <c r="E22" s="14">
        <f t="shared" si="0"/>
        <v>64</v>
      </c>
      <c r="F22" s="14" t="s">
        <v>333</v>
      </c>
      <c r="G22" s="14" t="s">
        <v>334</v>
      </c>
    </row>
    <row r="23" spans="1:7" ht="19">
      <c r="A23" s="13" t="s">
        <v>324</v>
      </c>
      <c r="B23" s="13" t="s">
        <v>335</v>
      </c>
      <c r="C23" s="13" t="s">
        <v>336</v>
      </c>
      <c r="D23" s="13">
        <v>12</v>
      </c>
      <c r="E23" s="13">
        <f t="shared" si="0"/>
        <v>96</v>
      </c>
      <c r="F23" s="13" t="s">
        <v>337</v>
      </c>
      <c r="G23" s="13" t="s">
        <v>338</v>
      </c>
    </row>
    <row r="24" spans="1:7" ht="19">
      <c r="A24" s="14" t="s">
        <v>324</v>
      </c>
      <c r="B24" s="14" t="s">
        <v>339</v>
      </c>
      <c r="C24" s="14" t="s">
        <v>336</v>
      </c>
      <c r="D24" s="14">
        <v>12</v>
      </c>
      <c r="E24" s="14">
        <f t="shared" si="0"/>
        <v>96</v>
      </c>
      <c r="F24" s="14" t="s">
        <v>340</v>
      </c>
      <c r="G24" s="14" t="s">
        <v>341</v>
      </c>
    </row>
    <row r="25" spans="1:7" ht="19">
      <c r="A25" s="13" t="s">
        <v>342</v>
      </c>
      <c r="B25" s="13" t="s">
        <v>343</v>
      </c>
      <c r="C25" s="13" t="s">
        <v>344</v>
      </c>
      <c r="D25" s="13">
        <v>1</v>
      </c>
      <c r="E25" s="13">
        <f t="shared" si="0"/>
        <v>8</v>
      </c>
      <c r="F25" s="13" t="s">
        <v>345</v>
      </c>
      <c r="G25" s="13" t="s">
        <v>346</v>
      </c>
    </row>
    <row r="26" spans="1:7" ht="19">
      <c r="A26" s="14" t="s">
        <v>347</v>
      </c>
      <c r="B26" s="14" t="s">
        <v>348</v>
      </c>
      <c r="C26" s="14" t="s">
        <v>291</v>
      </c>
      <c r="D26" s="14" t="s">
        <v>76</v>
      </c>
      <c r="E26" s="14" t="str">
        <f t="shared" si="0"/>
        <v>-</v>
      </c>
      <c r="F26" s="14" t="s">
        <v>322</v>
      </c>
      <c r="G26" s="14" t="s">
        <v>349</v>
      </c>
    </row>
    <row r="27" spans="1:7" ht="19">
      <c r="A27" s="13" t="s">
        <v>347</v>
      </c>
      <c r="B27" s="13" t="s">
        <v>350</v>
      </c>
      <c r="C27" s="13" t="s">
        <v>291</v>
      </c>
      <c r="D27" s="13" t="s">
        <v>76</v>
      </c>
      <c r="E27" s="13" t="str">
        <f t="shared" si="0"/>
        <v>-</v>
      </c>
      <c r="F27" s="13" t="s">
        <v>322</v>
      </c>
      <c r="G27" s="13" t="s">
        <v>351</v>
      </c>
    </row>
    <row r="28" spans="1:7" ht="19">
      <c r="A28" s="14" t="s">
        <v>352</v>
      </c>
      <c r="B28" s="14" t="s">
        <v>353</v>
      </c>
      <c r="C28" s="14" t="s">
        <v>354</v>
      </c>
      <c r="D28" s="14">
        <v>16</v>
      </c>
      <c r="E28" s="14">
        <f t="shared" si="0"/>
        <v>128</v>
      </c>
      <c r="F28" s="14" t="s">
        <v>355</v>
      </c>
      <c r="G28" s="14" t="s">
        <v>356</v>
      </c>
    </row>
    <row r="29" spans="1:7" ht="19">
      <c r="A29" s="13" t="s">
        <v>352</v>
      </c>
      <c r="B29" s="13" t="s">
        <v>357</v>
      </c>
      <c r="C29" s="13" t="s">
        <v>358</v>
      </c>
      <c r="D29" s="13">
        <v>32</v>
      </c>
      <c r="E29" s="13">
        <f t="shared" si="0"/>
        <v>256</v>
      </c>
      <c r="F29" s="13" t="s">
        <v>359</v>
      </c>
      <c r="G29" s="13" t="s">
        <v>360</v>
      </c>
    </row>
    <row r="30" spans="1:7" ht="19">
      <c r="A30" s="14" t="s">
        <v>352</v>
      </c>
      <c r="B30" s="14" t="s">
        <v>361</v>
      </c>
      <c r="C30" s="14" t="s">
        <v>358</v>
      </c>
      <c r="D30" s="14">
        <v>32</v>
      </c>
      <c r="E30" s="14">
        <f t="shared" si="0"/>
        <v>256</v>
      </c>
      <c r="F30" s="14" t="s">
        <v>359</v>
      </c>
      <c r="G30" s="14" t="s">
        <v>362</v>
      </c>
    </row>
    <row r="31" spans="1:7" ht="19">
      <c r="A31" s="13" t="s">
        <v>352</v>
      </c>
      <c r="B31" s="13" t="s">
        <v>363</v>
      </c>
      <c r="C31" s="13" t="s">
        <v>358</v>
      </c>
      <c r="D31" s="13">
        <v>32</v>
      </c>
      <c r="E31" s="13">
        <f t="shared" si="0"/>
        <v>256</v>
      </c>
      <c r="F31" s="13" t="s">
        <v>359</v>
      </c>
      <c r="G31" s="13" t="s">
        <v>364</v>
      </c>
    </row>
    <row r="32" spans="1:7" ht="19">
      <c r="A32" s="14" t="s">
        <v>352</v>
      </c>
      <c r="B32" s="14" t="s">
        <v>365</v>
      </c>
      <c r="C32" s="14" t="s">
        <v>366</v>
      </c>
      <c r="D32" s="14" t="s">
        <v>76</v>
      </c>
      <c r="E32" s="14" t="str">
        <f t="shared" si="0"/>
        <v>-</v>
      </c>
      <c r="F32" s="14" t="s">
        <v>367</v>
      </c>
      <c r="G32" s="14" t="s">
        <v>368</v>
      </c>
    </row>
    <row r="33" spans="1:7" ht="19">
      <c r="A33" s="13" t="s">
        <v>352</v>
      </c>
      <c r="B33" s="13" t="s">
        <v>365</v>
      </c>
      <c r="C33" s="13" t="s">
        <v>366</v>
      </c>
      <c r="D33" s="13" t="s">
        <v>76</v>
      </c>
      <c r="E33" s="13" t="str">
        <f t="shared" si="0"/>
        <v>-</v>
      </c>
      <c r="F33" s="13" t="s">
        <v>369</v>
      </c>
      <c r="G33" s="13" t="s">
        <v>370</v>
      </c>
    </row>
    <row r="34" spans="1:7" ht="19">
      <c r="A34" s="14" t="s">
        <v>352</v>
      </c>
      <c r="B34" s="14" t="s">
        <v>371</v>
      </c>
      <c r="C34" s="14" t="s">
        <v>372</v>
      </c>
      <c r="D34" s="14" t="s">
        <v>76</v>
      </c>
      <c r="E34" s="14" t="str">
        <f t="shared" si="0"/>
        <v>-</v>
      </c>
      <c r="F34" s="14" t="s">
        <v>373</v>
      </c>
      <c r="G34" s="14" t="s">
        <v>374</v>
      </c>
    </row>
    <row r="35" spans="1:7" ht="19">
      <c r="A35" s="13" t="s">
        <v>352</v>
      </c>
      <c r="B35" s="13" t="s">
        <v>375</v>
      </c>
      <c r="C35" s="13" t="s">
        <v>376</v>
      </c>
      <c r="D35" s="13">
        <v>24</v>
      </c>
      <c r="E35" s="13">
        <f t="shared" si="0"/>
        <v>192</v>
      </c>
      <c r="F35" s="13" t="s">
        <v>377</v>
      </c>
      <c r="G35" s="13" t="s">
        <v>378</v>
      </c>
    </row>
    <row r="36" spans="1:7" ht="19">
      <c r="A36" s="14" t="s">
        <v>379</v>
      </c>
      <c r="B36" s="14" t="s">
        <v>380</v>
      </c>
      <c r="C36" s="14" t="s">
        <v>381</v>
      </c>
      <c r="D36" s="14" t="s">
        <v>76</v>
      </c>
      <c r="E36" s="14" t="str">
        <f t="shared" si="0"/>
        <v>-</v>
      </c>
      <c r="F36" s="14" t="s">
        <v>382</v>
      </c>
      <c r="G36" s="14" t="s">
        <v>383</v>
      </c>
    </row>
    <row r="37" spans="1:7" ht="19">
      <c r="A37" s="13" t="s">
        <v>379</v>
      </c>
      <c r="B37" s="13" t="s">
        <v>384</v>
      </c>
      <c r="C37" s="13" t="s">
        <v>381</v>
      </c>
      <c r="D37" s="13" t="s">
        <v>76</v>
      </c>
      <c r="E37" s="13" t="str">
        <f t="shared" si="0"/>
        <v>-</v>
      </c>
      <c r="F37" s="13" t="s">
        <v>385</v>
      </c>
      <c r="G37" s="13" t="s">
        <v>386</v>
      </c>
    </row>
    <row r="38" spans="1:7" ht="19">
      <c r="A38" s="14" t="s">
        <v>379</v>
      </c>
      <c r="B38" s="14" t="s">
        <v>387</v>
      </c>
      <c r="C38" s="14" t="s">
        <v>388</v>
      </c>
      <c r="D38" s="14">
        <v>6</v>
      </c>
      <c r="E38" s="14">
        <f t="shared" si="0"/>
        <v>48</v>
      </c>
      <c r="F38" s="14" t="s">
        <v>389</v>
      </c>
      <c r="G38" s="14" t="s">
        <v>390</v>
      </c>
    </row>
    <row r="39" spans="1:7" ht="19">
      <c r="A39" s="13" t="s">
        <v>391</v>
      </c>
      <c r="B39" s="13" t="s">
        <v>392</v>
      </c>
      <c r="C39" s="13" t="s">
        <v>393</v>
      </c>
      <c r="D39" s="13" t="s">
        <v>76</v>
      </c>
      <c r="E39" s="13" t="str">
        <f t="shared" si="0"/>
        <v>-</v>
      </c>
      <c r="F39" s="13" t="s">
        <v>394</v>
      </c>
      <c r="G39" s="13" t="s">
        <v>395</v>
      </c>
    </row>
    <row r="40" spans="1:7" ht="19">
      <c r="A40" s="14" t="s">
        <v>391</v>
      </c>
      <c r="B40" s="14" t="s">
        <v>396</v>
      </c>
      <c r="C40" s="14" t="s">
        <v>397</v>
      </c>
      <c r="D40" s="14" t="s">
        <v>76</v>
      </c>
      <c r="E40" s="14" t="str">
        <f t="shared" si="0"/>
        <v>-</v>
      </c>
      <c r="F40" s="14" t="s">
        <v>398</v>
      </c>
      <c r="G40" s="14" t="s">
        <v>399</v>
      </c>
    </row>
    <row r="41" spans="1:7" ht="19">
      <c r="A41" s="13" t="s">
        <v>400</v>
      </c>
      <c r="B41" s="13" t="s">
        <v>401</v>
      </c>
      <c r="C41" s="13" t="s">
        <v>291</v>
      </c>
      <c r="D41" s="13" t="s">
        <v>76</v>
      </c>
      <c r="E41" s="13" t="str">
        <f t="shared" si="0"/>
        <v>-</v>
      </c>
      <c r="F41" s="13" t="s">
        <v>76</v>
      </c>
      <c r="G41" s="13" t="s">
        <v>402</v>
      </c>
    </row>
    <row r="42" spans="1:7" ht="19">
      <c r="A42" s="14" t="s">
        <v>400</v>
      </c>
      <c r="B42" s="14" t="s">
        <v>403</v>
      </c>
      <c r="C42" s="14" t="s">
        <v>291</v>
      </c>
      <c r="D42" s="14" t="s">
        <v>76</v>
      </c>
      <c r="E42" s="14" t="str">
        <f t="shared" si="0"/>
        <v>-</v>
      </c>
      <c r="F42" s="14" t="s">
        <v>76</v>
      </c>
      <c r="G42" s="14" t="s">
        <v>404</v>
      </c>
    </row>
    <row r="43" spans="1:7" ht="19">
      <c r="A43" s="13" t="s">
        <v>400</v>
      </c>
      <c r="B43" s="13" t="s">
        <v>405</v>
      </c>
      <c r="C43" s="13" t="s">
        <v>283</v>
      </c>
      <c r="D43" s="13">
        <v>4</v>
      </c>
      <c r="E43" s="13">
        <f t="shared" si="0"/>
        <v>32</v>
      </c>
      <c r="F43" s="13" t="s">
        <v>76</v>
      </c>
      <c r="G43" s="13" t="s">
        <v>406</v>
      </c>
    </row>
    <row r="44" spans="1:7" ht="19">
      <c r="A44" s="14" t="s">
        <v>407</v>
      </c>
      <c r="B44" s="14" t="s">
        <v>408</v>
      </c>
      <c r="C44" s="14" t="s">
        <v>291</v>
      </c>
      <c r="D44" s="14" t="s">
        <v>76</v>
      </c>
      <c r="E44" s="14" t="str">
        <f t="shared" si="0"/>
        <v>-</v>
      </c>
      <c r="F44" s="14" t="s">
        <v>409</v>
      </c>
      <c r="G44" s="14" t="s">
        <v>410</v>
      </c>
    </row>
    <row r="45" spans="1:7" ht="19">
      <c r="A45" s="13" t="s">
        <v>411</v>
      </c>
      <c r="B45" s="13" t="s">
        <v>47</v>
      </c>
      <c r="C45" s="13" t="s">
        <v>354</v>
      </c>
      <c r="D45" s="13">
        <v>16</v>
      </c>
      <c r="E45" s="13">
        <f t="shared" si="0"/>
        <v>128</v>
      </c>
      <c r="F45" s="13" t="s">
        <v>412</v>
      </c>
      <c r="G45" s="13" t="s">
        <v>413</v>
      </c>
    </row>
    <row r="46" spans="1:7" ht="19">
      <c r="A46" s="14" t="s">
        <v>414</v>
      </c>
      <c r="B46" s="14" t="s">
        <v>415</v>
      </c>
      <c r="C46" s="14" t="s">
        <v>291</v>
      </c>
      <c r="D46" s="14" t="s">
        <v>76</v>
      </c>
      <c r="E46" s="14" t="str">
        <f t="shared" si="0"/>
        <v>-</v>
      </c>
      <c r="F46" s="14" t="s">
        <v>416</v>
      </c>
      <c r="G46" s="14" t="s">
        <v>417</v>
      </c>
    </row>
    <row r="47" spans="1:7" ht="19">
      <c r="A47" s="13" t="s">
        <v>418</v>
      </c>
      <c r="B47" s="13" t="s">
        <v>419</v>
      </c>
      <c r="C47" s="13" t="s">
        <v>291</v>
      </c>
      <c r="D47" s="13" t="s">
        <v>76</v>
      </c>
      <c r="E47" s="13" t="str">
        <f t="shared" si="0"/>
        <v>-</v>
      </c>
      <c r="F47" s="13" t="s">
        <v>420</v>
      </c>
      <c r="G47" s="13" t="s">
        <v>421</v>
      </c>
    </row>
    <row r="48" spans="1:7" ht="19">
      <c r="A48" s="14" t="s">
        <v>422</v>
      </c>
      <c r="B48" s="14" t="s">
        <v>423</v>
      </c>
      <c r="C48" s="14" t="s">
        <v>291</v>
      </c>
      <c r="D48" s="14" t="s">
        <v>76</v>
      </c>
      <c r="E48" s="14" t="str">
        <f t="shared" si="0"/>
        <v>-</v>
      </c>
      <c r="F48" s="14" t="s">
        <v>424</v>
      </c>
      <c r="G48" s="14" t="s">
        <v>425</v>
      </c>
    </row>
    <row r="49" spans="1:7" ht="19">
      <c r="A49" s="13" t="s">
        <v>426</v>
      </c>
      <c r="B49" s="13" t="s">
        <v>427</v>
      </c>
      <c r="C49" s="13" t="s">
        <v>291</v>
      </c>
      <c r="D49" s="13" t="s">
        <v>76</v>
      </c>
      <c r="E49" s="13" t="str">
        <f t="shared" si="0"/>
        <v>-</v>
      </c>
      <c r="F49" s="13" t="s">
        <v>428</v>
      </c>
      <c r="G49" s="13" t="s">
        <v>429</v>
      </c>
    </row>
    <row r="50" spans="1:7" ht="19">
      <c r="A50" s="14" t="s">
        <v>426</v>
      </c>
      <c r="B50" s="14" t="s">
        <v>430</v>
      </c>
      <c r="C50" s="14" t="s">
        <v>291</v>
      </c>
      <c r="D50" s="14" t="s">
        <v>76</v>
      </c>
      <c r="E50" s="14" t="str">
        <f t="shared" si="0"/>
        <v>-</v>
      </c>
      <c r="F50" s="14" t="s">
        <v>431</v>
      </c>
      <c r="G50" s="14" t="s">
        <v>432</v>
      </c>
    </row>
    <row r="51" spans="1:7" ht="19">
      <c r="A51" s="13" t="s">
        <v>426</v>
      </c>
      <c r="B51" s="13" t="s">
        <v>433</v>
      </c>
      <c r="C51" s="13" t="s">
        <v>291</v>
      </c>
      <c r="D51" s="13" t="s">
        <v>76</v>
      </c>
      <c r="E51" s="13" t="str">
        <f t="shared" si="0"/>
        <v>-</v>
      </c>
      <c r="F51" s="13" t="s">
        <v>434</v>
      </c>
      <c r="G51" s="13" t="s">
        <v>435</v>
      </c>
    </row>
    <row r="52" spans="1:7" ht="19">
      <c r="A52" s="14" t="s">
        <v>426</v>
      </c>
      <c r="B52" s="14" t="s">
        <v>436</v>
      </c>
      <c r="C52" s="14" t="s">
        <v>291</v>
      </c>
      <c r="D52" s="14" t="s">
        <v>76</v>
      </c>
      <c r="E52" s="14" t="str">
        <f t="shared" si="0"/>
        <v>-</v>
      </c>
      <c r="F52" s="14" t="s">
        <v>437</v>
      </c>
      <c r="G52" s="14" t="s">
        <v>438</v>
      </c>
    </row>
    <row r="53" spans="1:7" ht="19">
      <c r="A53" s="13" t="s">
        <v>426</v>
      </c>
      <c r="B53" s="13" t="s">
        <v>439</v>
      </c>
      <c r="C53" s="13" t="s">
        <v>291</v>
      </c>
      <c r="D53" s="13" t="s">
        <v>76</v>
      </c>
      <c r="E53" s="13" t="str">
        <f t="shared" si="0"/>
        <v>-</v>
      </c>
      <c r="F53" s="13" t="s">
        <v>440</v>
      </c>
      <c r="G53" s="13" t="s">
        <v>441</v>
      </c>
    </row>
    <row r="54" spans="1:7" ht="19">
      <c r="A54" s="14" t="s">
        <v>426</v>
      </c>
      <c r="B54" s="14" t="s">
        <v>442</v>
      </c>
      <c r="C54" s="14" t="s">
        <v>291</v>
      </c>
      <c r="D54" s="14" t="s">
        <v>76</v>
      </c>
      <c r="E54" s="14" t="str">
        <f t="shared" si="0"/>
        <v>-</v>
      </c>
      <c r="F54" s="14" t="s">
        <v>443</v>
      </c>
      <c r="G54" s="14" t="s">
        <v>444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dimension ref="A1"/>
  <sheetViews>
    <sheetView workbookViewId="0">
      <selection sqref="A1:B1"/>
    </sheetView>
  </sheetViews>
  <sheetFormatPr baseColWidth="10" defaultColWidth="8.83203125" defaultRowHeight="15"/>
  <sheetData/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dimension ref="A1:M33"/>
  <sheetViews>
    <sheetView tabSelected="1" topLeftCell="H1" zoomScale="160" zoomScaleNormal="160" workbookViewId="0">
      <selection activeCell="M14" sqref="M14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20.5" bestFit="1" customWidth="1"/>
    <col min="4" max="4" width="25.5" bestFit="1" customWidth="1"/>
    <col min="5" max="5" width="15.5" bestFit="1" customWidth="1"/>
    <col min="6" max="6" width="17.5" bestFit="1" customWidth="1"/>
    <col min="7" max="7" width="15" bestFit="1" customWidth="1"/>
    <col min="8" max="8" width="12.5" bestFit="1" customWidth="1"/>
    <col min="9" max="13" width="22.6640625" bestFit="1" customWidth="1"/>
  </cols>
  <sheetData>
    <row r="1" spans="1:13">
      <c r="A1" s="36" t="s">
        <v>500</v>
      </c>
      <c r="B1" s="37"/>
      <c r="C1" s="31" t="s">
        <v>533</v>
      </c>
      <c r="D1" s="24" t="s">
        <v>533</v>
      </c>
      <c r="E1" s="24" t="s">
        <v>533</v>
      </c>
      <c r="F1" s="24" t="s">
        <v>533</v>
      </c>
      <c r="G1" s="24" t="s">
        <v>533</v>
      </c>
      <c r="H1" s="23" t="s">
        <v>501</v>
      </c>
      <c r="I1" s="24" t="s">
        <v>501</v>
      </c>
      <c r="J1" s="31" t="s">
        <v>542</v>
      </c>
      <c r="K1" s="24" t="s">
        <v>542</v>
      </c>
      <c r="L1" s="24" t="s">
        <v>542</v>
      </c>
      <c r="M1" s="24" t="s">
        <v>542</v>
      </c>
    </row>
    <row r="2" spans="1:13">
      <c r="A2" s="38" t="s">
        <v>504</v>
      </c>
      <c r="B2" s="39"/>
      <c r="C2" s="21">
        <f t="shared" ref="C2" si="0">IF(B1=C1,B2+1,1)</f>
        <v>1</v>
      </c>
      <c r="D2" s="21">
        <f t="shared" ref="D2" si="1">IF(C1=D1,C2+1,1)</f>
        <v>2</v>
      </c>
      <c r="E2" s="21">
        <f t="shared" ref="E2" si="2">IF(D1=E1,D2+1,1)</f>
        <v>3</v>
      </c>
      <c r="F2" s="21">
        <f t="shared" ref="F2" si="3">IF(E1=F1,E2+1,1)</f>
        <v>4</v>
      </c>
      <c r="G2" s="21">
        <f t="shared" ref="G2:H2" si="4">IF(F1=G1,F2+1,1)</f>
        <v>5</v>
      </c>
      <c r="H2" s="21">
        <f t="shared" si="4"/>
        <v>1</v>
      </c>
      <c r="I2" s="21">
        <f t="shared" ref="I2:J2" si="5">IF(H1=I1,H2+1,1)</f>
        <v>2</v>
      </c>
      <c r="J2" s="21">
        <f t="shared" si="5"/>
        <v>1</v>
      </c>
      <c r="K2" s="21">
        <f t="shared" ref="K2" si="6">IF(J1=K1,J2+1,1)</f>
        <v>2</v>
      </c>
      <c r="L2" s="21">
        <f t="shared" ref="L2" si="7">IF(K1=L1,K2+1,1)</f>
        <v>3</v>
      </c>
      <c r="M2" s="21">
        <f t="shared" ref="M2" si="8">IF(L1=M1,L2+1,1)</f>
        <v>4</v>
      </c>
    </row>
    <row r="3" spans="1:13">
      <c r="A3" s="35" t="s">
        <v>527</v>
      </c>
      <c r="B3" s="26" t="s">
        <v>505</v>
      </c>
      <c r="C3" s="27" t="str" cm="1">
        <f t="array" aca="1" ref="C3" ca="1">INDEX(_xlfn._xlws.FILTER(テーブル定義_一覧!$D:$U, テーブル定義_一覧!$D:$D=C$1), C$2, _xlfn.XMATCH($B3, テーブル定義_一覧!$D$1:$Z$1))&amp;""</f>
        <v>screen_word_sequence_id</v>
      </c>
      <c r="D3" s="27" t="str" cm="1">
        <f t="array" aca="1" ref="D3" ca="1">INDEX(_xlfn._xlws.FILTER(テーブル定義_一覧!$D:$U, テーブル定義_一覧!$D:$D=D$1), D$2, _xlfn.XMATCH($B3, テーブル定義_一覧!$D$1:$Z$1))&amp;""</f>
        <v>language_physical_name</v>
      </c>
      <c r="E3" s="27" t="str" cm="1">
        <f t="array" aca="1" ref="E3" ca="1">INDEX(_xlfn._xlws.FILTER(テーブル定義_一覧!$D:$U, テーブル定義_一覧!$D:$D=E$1), E$2, _xlfn.XMATCH($B3, テーブル定義_一覧!$D$1:$Z$1))&amp;""</f>
        <v>message_id</v>
      </c>
      <c r="F3" s="27" t="str" cm="1">
        <f t="array" aca="1" ref="F3" ca="1">INDEX(_xlfn._xlws.FILTER(テーブル定義_一覧!$D:$U, テーブル定義_一覧!$D:$D=F$1), F$2, _xlfn.XMATCH($B3, テーブル定義_一覧!$D$1:$Z$1))&amp;""</f>
        <v>display_message</v>
      </c>
      <c r="G3" s="27" t="str" cm="1">
        <f t="array" aca="1" ref="G3" ca="1">INDEX(_xlfn._xlws.FILTER(テーブル定義_一覧!$D:$U, テーブル定義_一覧!$D:$D=G$1), G$2, _xlfn.XMATCH($B3, テーブル定義_一覧!$D$1:$Z$1))&amp;""</f>
        <v>message_type</v>
      </c>
      <c r="H3" s="27" t="str" cm="1">
        <f t="array" aca="1" ref="H3" ca="1">INDEX(_xlfn._xlws.FILTER(テーブル定義_一覧!$D:$U, テーブル定義_一覧!$D:$D=H$1), H$2, _xlfn.XMATCH($B3, テーブル定義_一覧!$D$1:$Z$1))&amp;""</f>
        <v>badge_sequence_id</v>
      </c>
      <c r="I3" s="27" t="str" cm="1">
        <f t="array" aca="1" ref="I3" ca="1">INDEX(_xlfn._xlws.FILTER(テーブル定義_一覧!$D:$U, テーブル定義_一覧!$D:$D=I$1), I$2, _xlfn.XMATCH($B3, テーブル定義_一覧!$D$1:$Z$1))&amp;""</f>
        <v>badge_physical_name</v>
      </c>
      <c r="J3" s="27" t="str" cm="1">
        <f t="array" aca="1" ref="J3" ca="1">INDEX(_xlfn._xlws.FILTER(テーブル定義_一覧!$D:$U, テーブル定義_一覧!$D:$D=J$1), J$2, _xlfn.XMATCH($B3, テーブル定義_一覧!$D$1:$Z$1))&amp;""</f>
        <v>language_sequence_id</v>
      </c>
      <c r="K3" s="27" t="str" cm="1">
        <f t="array" aca="1" ref="K3" ca="1">INDEX(_xlfn._xlws.FILTER(テーブル定義_一覧!$D:$U, テーブル定義_一覧!$D:$D=K$1), K$2, _xlfn.XMATCH($B3, テーブル定義_一覧!$D$1:$Z$1))&amp;""</f>
        <v>language_physical_name</v>
      </c>
      <c r="L3" s="27" t="str" cm="1">
        <f t="array" aca="1" ref="L3" ca="1">INDEX(_xlfn._xlws.FILTER(テーブル定義_一覧!$D:$U, テーブル定義_一覧!$D:$D=L$1), L$2, _xlfn.XMATCH($B3, テーブル定義_一覧!$D$1:$Z$1))&amp;""</f>
        <v>language_image</v>
      </c>
      <c r="M3" s="27" t="str" cm="1">
        <f t="array" aca="1" ref="M3" ca="1">INDEX(_xlfn._xlws.FILTER(テーブル定義_一覧!$D:$U, テーブル定義_一覧!$D:$D=M$1), M$2, _xlfn.XMATCH($B3, テーブル定義_一覧!$D$1:$Z$1))&amp;""</f>
        <v>enable</v>
      </c>
    </row>
    <row r="4" spans="1:13">
      <c r="A4" s="35"/>
      <c r="B4" s="26" t="s">
        <v>506</v>
      </c>
      <c r="C4" s="27" t="str" cm="1">
        <f t="array" aca="1" ref="C4" ca="1">INDEX(_xlfn._xlws.FILTER(テーブル定義_一覧!$D:$U, テーブル定義_一覧!$D:$D=C$1), C$2, _xlfn.XMATCH($B4, テーブル定義_一覧!$D$1:$Z$1))&amp;""</f>
        <v>画面文言ID</v>
      </c>
      <c r="D4" s="27" t="str" cm="1">
        <f t="array" aca="1" ref="D4" ca="1">INDEX(_xlfn._xlws.FILTER(テーブル定義_一覧!$D:$U, テーブル定義_一覧!$D:$D=D$1), D$2, _xlfn.XMATCH($B4, テーブル定義_一覧!$D$1:$Z$1))&amp;""</f>
        <v>表示言語(物理名)</v>
      </c>
      <c r="E4" s="27" t="str" cm="1">
        <f t="array" aca="1" ref="E4" ca="1">INDEX(_xlfn._xlws.FILTER(テーブル定義_一覧!$D:$U, テーブル定義_一覧!$D:$D=E$1), E$2, _xlfn.XMATCH($B4, テーブル定義_一覧!$D$1:$Z$1))&amp;""</f>
        <v>メッセージID</v>
      </c>
      <c r="F4" s="27" t="str" cm="1">
        <f t="array" aca="1" ref="F4" ca="1">INDEX(_xlfn._xlws.FILTER(テーブル定義_一覧!$D:$U, テーブル定義_一覧!$D:$D=F$1), F$2, _xlfn.XMATCH($B4, テーブル定義_一覧!$D$1:$Z$1))&amp;""</f>
        <v>文言</v>
      </c>
      <c r="G4" s="27" t="str" cm="1">
        <f t="array" aca="1" ref="G4" ca="1">INDEX(_xlfn._xlws.FILTER(テーブル定義_一覧!$D:$U, テーブル定義_一覧!$D:$D=G$1), G$2, _xlfn.XMATCH($B4, テーブル定義_一覧!$D$1:$Z$1))&amp;""</f>
        <v>文言種別</v>
      </c>
      <c r="H4" s="27" t="str" cm="1">
        <f t="array" aca="1" ref="H4" ca="1">INDEX(_xlfn._xlws.FILTER(テーブル定義_一覧!$D:$U, テーブル定義_一覧!$D:$D=H$1), H$2, _xlfn.XMATCH($B4, テーブル定義_一覧!$D$1:$Z$1))&amp;""</f>
        <v>バッジID</v>
      </c>
      <c r="I4" s="27" t="str" cm="1">
        <f t="array" aca="1" ref="I4" ca="1">INDEX(_xlfn._xlws.FILTER(テーブル定義_一覧!$D:$U, テーブル定義_一覧!$D:$D=I$1), I$2, _xlfn.XMATCH($B4, テーブル定義_一覧!$D$1:$Z$1))&amp;""</f>
        <v>バッジ名(物理名)</v>
      </c>
      <c r="J4" s="27" t="str" cm="1">
        <f t="array" aca="1" ref="J4" ca="1">INDEX(_xlfn._xlws.FILTER(テーブル定義_一覧!$D:$U, テーブル定義_一覧!$D:$D=J$1), J$2, _xlfn.XMATCH($B4, テーブル定義_一覧!$D$1:$Z$1))&amp;""</f>
        <v>表示言語ID</v>
      </c>
      <c r="K4" s="27" t="str" cm="1">
        <f t="array" aca="1" ref="K4" ca="1">INDEX(_xlfn._xlws.FILTER(テーブル定義_一覧!$D:$U, テーブル定義_一覧!$D:$D=K$1), K$2, _xlfn.XMATCH($B4, テーブル定義_一覧!$D$1:$Z$1))&amp;""</f>
        <v>表示言語(物理名)</v>
      </c>
      <c r="L4" s="27" t="str" cm="1">
        <f t="array" aca="1" ref="L4" ca="1">INDEX(_xlfn._xlws.FILTER(テーブル定義_一覧!$D:$U, テーブル定義_一覧!$D:$D=L$1), L$2, _xlfn.XMATCH($B4, テーブル定義_一覧!$D$1:$Z$1))&amp;""</f>
        <v>言語画像</v>
      </c>
      <c r="M4" s="27" t="str" cm="1">
        <f t="array" aca="1" ref="M4" ca="1">INDEX(_xlfn._xlws.FILTER(テーブル定義_一覧!$D:$U, テーブル定義_一覧!$D:$D=M$1), M$2, _xlfn.XMATCH($B4, テーブル定義_一覧!$D$1:$Z$1))&amp;""</f>
        <v>有効フラグ</v>
      </c>
    </row>
    <row r="5" spans="1:13">
      <c r="A5" s="35"/>
      <c r="B5" s="22" t="s">
        <v>503</v>
      </c>
      <c r="C5" s="27" t="str" cm="1">
        <f t="array" aca="1" ref="C5" ca="1">INDEX(_xlfn._xlws.FILTER(テーブル定義_一覧!$D:$U, テーブル定義_一覧!$D:$D=C$1), C$2, _xlfn.XMATCH($B5, テーブル定義_一覧!$D$1:$Z$1))&amp;""</f>
        <v>serial</v>
      </c>
      <c r="D5" s="27" t="str" cm="1">
        <f t="array" aca="1" ref="D5" ca="1">INDEX(_xlfn._xlws.FILTER(テーブル定義_一覧!$D:$U, テーブル定義_一覧!$D:$D=D$1), D$2, _xlfn.XMATCH($B5, テーブル定義_一覧!$D$1:$Z$1))&amp;""</f>
        <v>integer</v>
      </c>
      <c r="E5" s="27" t="str" cm="1">
        <f t="array" aca="1" ref="E5" ca="1">INDEX(_xlfn._xlws.FILTER(テーブル定義_一覧!$D:$U, テーブル定義_一覧!$D:$D=E$1), E$2, _xlfn.XMATCH($B5, テーブル定義_一覧!$D$1:$Z$1))&amp;""</f>
        <v>serial</v>
      </c>
      <c r="F5" s="27" t="str" cm="1">
        <f t="array" aca="1" ref="F5" ca="1">INDEX(_xlfn._xlws.FILTER(テーブル定義_一覧!$D:$U, テーブル定義_一覧!$D:$D=F$1), F$2, _xlfn.XMATCH($B5, テーブル定義_一覧!$D$1:$Z$1))&amp;""</f>
        <v>text</v>
      </c>
      <c r="G5" s="27" t="str" cm="1">
        <f t="array" aca="1" ref="G5" ca="1">INDEX(_xlfn._xlws.FILTER(テーブル定義_一覧!$D:$U, テーブル定義_一覧!$D:$D=G$1), G$2, _xlfn.XMATCH($B5, テーブル定義_一覧!$D$1:$Z$1))&amp;""</f>
        <v>enum</v>
      </c>
      <c r="H5" s="27" t="str" cm="1">
        <f t="array" aca="1" ref="H5" ca="1">INDEX(_xlfn._xlws.FILTER(テーブル定義_一覧!$D:$U, テーブル定義_一覧!$D:$D=H$1), H$2, _xlfn.XMATCH($B5, テーブル定義_一覧!$D$1:$Z$1))&amp;""</f>
        <v>serial</v>
      </c>
      <c r="I5" s="27" t="str" cm="1">
        <f t="array" aca="1" ref="I5" ca="1">INDEX(_xlfn._xlws.FILTER(テーブル定義_一覧!$D:$U, テーブル定義_一覧!$D:$D=I$1), I$2, _xlfn.XMATCH($B5, テーブル定義_一覧!$D$1:$Z$1))&amp;""</f>
        <v>varchar(24)</v>
      </c>
      <c r="J5" s="27" t="str" cm="1">
        <f t="array" aca="1" ref="J5" ca="1">INDEX(_xlfn._xlws.FILTER(テーブル定義_一覧!$D:$U, テーブル定義_一覧!$D:$D=J$1), J$2, _xlfn.XMATCH($B5, テーブル定義_一覧!$D$1:$Z$1))&amp;""</f>
        <v>serial</v>
      </c>
      <c r="K5" s="27" t="str" cm="1">
        <f t="array" aca="1" ref="K5" ca="1">INDEX(_xlfn._xlws.FILTER(テーブル定義_一覧!$D:$U, テーブル定義_一覧!$D:$D=K$1), K$2, _xlfn.XMATCH($B5, テーブル定義_一覧!$D$1:$Z$1))&amp;""</f>
        <v>varchar(16)</v>
      </c>
      <c r="L5" s="27" t="str" cm="1">
        <f t="array" aca="1" ref="L5" ca="1">INDEX(_xlfn._xlws.FILTER(テーブル定義_一覧!$D:$U, テーブル定義_一覧!$D:$D=L$1), L$2, _xlfn.XMATCH($B5, テーブル定義_一覧!$D$1:$Z$1))&amp;""</f>
        <v>integer</v>
      </c>
      <c r="M5" s="27" t="str" cm="1">
        <f t="array" aca="1" ref="M5" ca="1">INDEX(_xlfn._xlws.FILTER(テーブル定義_一覧!$D:$U, テーブル定義_一覧!$D:$D=M$1), M$2, _xlfn.XMATCH($B5, テーブル定義_一覧!$D$1:$Z$1))&amp;""</f>
        <v>boolean</v>
      </c>
    </row>
    <row r="6" spans="1:13">
      <c r="A6" s="35"/>
      <c r="B6" s="22" t="s">
        <v>545</v>
      </c>
      <c r="C6" s="27" t="str" cm="1">
        <f t="array" aca="1" ref="C6" ca="1">INDEX(_xlfn._xlws.FILTER(テーブル定義_一覧!$D:$U, テーブル定義_一覧!$D:$D=C$1), C$2, _xlfn.XMATCH($B6, テーブル定義_一覧!$D$1:$Z$1))&amp;""</f>
        <v>x</v>
      </c>
      <c r="D6" s="27" t="str" cm="1">
        <f t="array" aca="1" ref="D6" ca="1">INDEX(_xlfn._xlws.FILTER(テーブル定義_一覧!$D:$U, テーブル定義_一覧!$D:$D=D$1), D$2, _xlfn.XMATCH($B6, テーブル定義_一覧!$D$1:$Z$1))&amp;""</f>
        <v/>
      </c>
      <c r="E6" s="27" t="str" cm="1">
        <f t="array" aca="1" ref="E6" ca="1">INDEX(_xlfn._xlws.FILTER(テーブル定義_一覧!$D:$U, テーブル定義_一覧!$D:$D=E$1), E$2, _xlfn.XMATCH($B6, テーブル定義_一覧!$D$1:$Z$1))&amp;""</f>
        <v/>
      </c>
      <c r="F6" s="27" t="str" cm="1">
        <f t="array" aca="1" ref="F6" ca="1">INDEX(_xlfn._xlws.FILTER(テーブル定義_一覧!$D:$U, テーブル定義_一覧!$D:$D=F$1), F$2, _xlfn.XMATCH($B6, テーブル定義_一覧!$D$1:$Z$1))&amp;""</f>
        <v/>
      </c>
      <c r="G6" s="27" t="str" cm="1">
        <f t="array" aca="1" ref="G6" ca="1">INDEX(_xlfn._xlws.FILTER(テーブル定義_一覧!$D:$U, テーブル定義_一覧!$D:$D=G$1), G$2, _xlfn.XMATCH($B6, テーブル定義_一覧!$D$1:$Z$1))&amp;""</f>
        <v/>
      </c>
      <c r="H6" s="27" t="str" cm="1">
        <f t="array" aca="1" ref="H6" ca="1">INDEX(_xlfn._xlws.FILTER(テーブル定義_一覧!$D:$U, テーブル定義_一覧!$D:$D=H$1), H$2, _xlfn.XMATCH($B6, テーブル定義_一覧!$D$1:$Z$1))&amp;""</f>
        <v>x</v>
      </c>
      <c r="I6" s="27" t="str" cm="1">
        <f t="array" aca="1" ref="I6" ca="1">INDEX(_xlfn._xlws.FILTER(テーブル定義_一覧!$D:$U, テーブル定義_一覧!$D:$D=I$1), I$2, _xlfn.XMATCH($B6, テーブル定義_一覧!$D$1:$Z$1))&amp;""</f>
        <v/>
      </c>
      <c r="J6" s="27" t="str" cm="1">
        <f t="array" aca="1" ref="J6" ca="1">INDEX(_xlfn._xlws.FILTER(テーブル定義_一覧!$D:$U, テーブル定義_一覧!$D:$D=J$1), J$2, _xlfn.XMATCH($B6, テーブル定義_一覧!$D$1:$Z$1))&amp;""</f>
        <v>x</v>
      </c>
      <c r="K6" s="27" t="str" cm="1">
        <f t="array" aca="1" ref="K6" ca="1">INDEX(_xlfn._xlws.FILTER(テーブル定義_一覧!$D:$U, テーブル定義_一覧!$D:$D=K$1), K$2, _xlfn.XMATCH($B6, テーブル定義_一覧!$D$1:$Z$1))&amp;""</f>
        <v/>
      </c>
      <c r="L6" s="27" t="str" cm="1">
        <f t="array" aca="1" ref="L6" ca="1">INDEX(_xlfn._xlws.FILTER(テーブル定義_一覧!$D:$U, テーブル定義_一覧!$D:$D=L$1), L$2, _xlfn.XMATCH($B6, テーブル定義_一覧!$D$1:$Z$1))&amp;""</f>
        <v/>
      </c>
      <c r="M6" s="27" t="str" cm="1">
        <f t="array" aca="1" ref="M6" ca="1">INDEX(_xlfn._xlws.FILTER(テーブル定義_一覧!$D:$U, テーブル定義_一覧!$D:$D=M$1), M$2, _xlfn.XMATCH($B6, テーブル定義_一覧!$D$1:$Z$1))&amp;""</f>
        <v/>
      </c>
    </row>
    <row r="7" spans="1:13">
      <c r="A7" s="35"/>
      <c r="B7" s="22" t="s">
        <v>544</v>
      </c>
      <c r="C7" s="27" t="str" cm="1">
        <f t="array" aca="1" ref="C7" ca="1">INDEX(_xlfn._xlws.FILTER(テーブル定義_一覧!$D:$U, テーブル定義_一覧!$D:$D=C$1), C$2, _xlfn.XMATCH($B7, テーブル定義_一覧!$D$1:$Z$1))&amp;""</f>
        <v/>
      </c>
      <c r="D7" s="27" t="str" cm="1">
        <f t="array" aca="1" ref="D7" ca="1">INDEX(_xlfn._xlws.FILTER(テーブル定義_一覧!$D:$U, テーブル定義_一覧!$D:$D=D$1), D$2, _xlfn.XMATCH($B7, テーブル定義_一覧!$D$1:$Z$1))&amp;""</f>
        <v>x</v>
      </c>
      <c r="E7" s="27" t="str" cm="1">
        <f t="array" aca="1" ref="E7" ca="1">INDEX(_xlfn._xlws.FILTER(テーブル定義_一覧!$D:$U, テーブル定義_一覧!$D:$D=E$1), E$2, _xlfn.XMATCH($B7, テーブル定義_一覧!$D$1:$Z$1))&amp;""</f>
        <v/>
      </c>
      <c r="F7" s="27" t="str" cm="1">
        <f t="array" aca="1" ref="F7" ca="1">INDEX(_xlfn._xlws.FILTER(テーブル定義_一覧!$D:$U, テーブル定義_一覧!$D:$D=F$1), F$2, _xlfn.XMATCH($B7, テーブル定義_一覧!$D$1:$Z$1))&amp;""</f>
        <v/>
      </c>
      <c r="G7" s="27" t="str" cm="1">
        <f t="array" aca="1" ref="G7" ca="1">INDEX(_xlfn._xlws.FILTER(テーブル定義_一覧!$D:$U, テーブル定義_一覧!$D:$D=G$1), G$2, _xlfn.XMATCH($B7, テーブル定義_一覧!$D$1:$Z$1))&amp;""</f>
        <v/>
      </c>
      <c r="H7" s="27" t="str" cm="1">
        <f t="array" aca="1" ref="H7" ca="1">INDEX(_xlfn._xlws.FILTER(テーブル定義_一覧!$D:$U, テーブル定義_一覧!$D:$D=H$1), H$2, _xlfn.XMATCH($B7, テーブル定義_一覧!$D$1:$Z$1))&amp;""</f>
        <v/>
      </c>
      <c r="I7" s="27" t="str" cm="1">
        <f t="array" aca="1" ref="I7" ca="1">INDEX(_xlfn._xlws.FILTER(テーブル定義_一覧!$D:$U, テーブル定義_一覧!$D:$D=I$1), I$2, _xlfn.XMATCH($B7, テーブル定義_一覧!$D$1:$Z$1))&amp;""</f>
        <v/>
      </c>
      <c r="J7" s="27" t="str" cm="1">
        <f t="array" aca="1" ref="J7" ca="1">INDEX(_xlfn._xlws.FILTER(テーブル定義_一覧!$D:$U, テーブル定義_一覧!$D:$D=J$1), J$2, _xlfn.XMATCH($B7, テーブル定義_一覧!$D$1:$Z$1))&amp;""</f>
        <v/>
      </c>
      <c r="K7" s="27" t="str" cm="1">
        <f t="array" aca="1" ref="K7" ca="1">INDEX(_xlfn._xlws.FILTER(テーブル定義_一覧!$D:$U, テーブル定義_一覧!$D:$D=K$1), K$2, _xlfn.XMATCH($B7, テーブル定義_一覧!$D$1:$Z$1))&amp;""</f>
        <v/>
      </c>
      <c r="L7" s="27" t="str" cm="1">
        <f t="array" aca="1" ref="L7" ca="1">INDEX(_xlfn._xlws.FILTER(テーブル定義_一覧!$D:$U, テーブル定義_一覧!$D:$D=L$1), L$2, _xlfn.XMATCH($B7, テーブル定義_一覧!$D$1:$Z$1))&amp;""</f>
        <v>x</v>
      </c>
      <c r="M7" s="27" t="str" cm="1">
        <f t="array" aca="1" ref="M7" ca="1">INDEX(_xlfn._xlws.FILTER(テーブル定義_一覧!$D:$U, テーブル定義_一覧!$D:$D=M$1), M$2, _xlfn.XMATCH($B7, テーブル定義_一覧!$D$1:$Z$1))&amp;""</f>
        <v/>
      </c>
    </row>
    <row r="8" spans="1:13">
      <c r="A8" s="35"/>
      <c r="B8" s="22" t="s">
        <v>543</v>
      </c>
      <c r="C8" s="27" t="str" cm="1">
        <f t="array" aca="1" ref="C8" ca="1">INDEX(_xlfn._xlws.FILTER(テーブル定義_一覧!$D:$U, テーブル定義_一覧!$D:$D=C$1), C$2, _xlfn.XMATCH($B8, テーブル定義_一覧!$D$1:$Z$1))&amp;""</f>
        <v/>
      </c>
      <c r="D8" s="27" t="str" cm="1">
        <f t="array" aca="1" ref="D8" ca="1">INDEX(_xlfn._xlws.FILTER(テーブル定義_一覧!$D:$U, テーブル定義_一覧!$D:$D=D$1), D$2, _xlfn.XMATCH($B8, テーブル定義_一覧!$D$1:$Z$1))&amp;""</f>
        <v>language.language_sequence_id</v>
      </c>
      <c r="E8" s="27" t="str" cm="1">
        <f t="array" aca="1" ref="E8" ca="1">INDEX(_xlfn._xlws.FILTER(テーブル定義_一覧!$D:$U, テーブル定義_一覧!$D:$D=E$1), E$2, _xlfn.XMATCH($B8, テーブル定義_一覧!$D$1:$Z$1))&amp;""</f>
        <v/>
      </c>
      <c r="F8" s="27" t="str" cm="1">
        <f t="array" aca="1" ref="F8" ca="1">INDEX(_xlfn._xlws.FILTER(テーブル定義_一覧!$D:$U, テーブル定義_一覧!$D:$D=F$1), F$2, _xlfn.XMATCH($B8, テーブル定義_一覧!$D$1:$Z$1))&amp;""</f>
        <v/>
      </c>
      <c r="G8" s="27" t="str" cm="1">
        <f t="array" aca="1" ref="G8" ca="1">INDEX(_xlfn._xlws.FILTER(テーブル定義_一覧!$D:$U, テーブル定義_一覧!$D:$D=G$1), G$2, _xlfn.XMATCH($B8, テーブル定義_一覧!$D$1:$Z$1))&amp;""</f>
        <v/>
      </c>
      <c r="H8" s="27" t="str" cm="1">
        <f t="array" aca="1" ref="H8" ca="1">INDEX(_xlfn._xlws.FILTER(テーブル定義_一覧!$D:$U, テーブル定義_一覧!$D:$D=H$1), H$2, _xlfn.XMATCH($B8, テーブル定義_一覧!$D$1:$Z$1))&amp;""</f>
        <v/>
      </c>
      <c r="I8" s="27" t="str" cm="1">
        <f t="array" aca="1" ref="I8" ca="1">INDEX(_xlfn._xlws.FILTER(テーブル定義_一覧!$D:$U, テーブル定義_一覧!$D:$D=I$1), I$2, _xlfn.XMATCH($B8, テーブル定義_一覧!$D$1:$Z$1))&amp;""</f>
        <v/>
      </c>
      <c r="J8" s="27" t="str" cm="1">
        <f t="array" aca="1" ref="J8" ca="1">INDEX(_xlfn._xlws.FILTER(テーブル定義_一覧!$D:$U, テーブル定義_一覧!$D:$D=J$1), J$2, _xlfn.XMATCH($B8, テーブル定義_一覧!$D$1:$Z$1))&amp;""</f>
        <v/>
      </c>
      <c r="K8" s="27" t="str" cm="1">
        <f t="array" aca="1" ref="K8" ca="1">INDEX(_xlfn._xlws.FILTER(テーブル定義_一覧!$D:$U, テーブル定義_一覧!$D:$D=K$1), K$2, _xlfn.XMATCH($B8, テーブル定義_一覧!$D$1:$Z$1))&amp;""</f>
        <v/>
      </c>
      <c r="L8" s="27" t="str" cm="1">
        <f t="array" aca="1" ref="L8" ca="1">INDEX(_xlfn._xlws.FILTER(テーブル定義_一覧!$D:$U, テーブル定義_一覧!$D:$D=L$1), L$2, _xlfn.XMATCH($B8, テーブル定義_一覧!$D$1:$Z$1))&amp;""</f>
        <v>images_system.images_system_sequence_id</v>
      </c>
      <c r="M8" s="27" t="str" cm="1">
        <f t="array" aca="1" ref="M8" ca="1">INDEX(_xlfn._xlws.FILTER(テーブル定義_一覧!$D:$U, テーブル定義_一覧!$D:$D=M$1), M$2, _xlfn.XMATCH($B8, テーブル定義_一覧!$D$1:$Z$1))&amp;""</f>
        <v/>
      </c>
    </row>
    <row r="9" spans="1:13">
      <c r="A9" s="35"/>
      <c r="B9" s="21" t="s">
        <v>40</v>
      </c>
      <c r="C9" s="27" t="str" cm="1">
        <f t="array" aca="1" ref="C9" ca="1">INDEX(_xlfn._xlws.FILTER(テーブル定義_一覧!$D:$U, テーブル定義_一覧!$D:$D=C$1), C$2, _xlfn.XMATCH($B9, テーブル定義_一覧!$D$1:$Z$1))&amp;""</f>
        <v>x(PK制約)</v>
      </c>
      <c r="D9" s="27" t="str" cm="1">
        <f t="array" aca="1" ref="D9" ca="1">INDEX(_xlfn._xlws.FILTER(テーブル定義_一覧!$D:$U, テーブル定義_一覧!$D:$D=D$1), D$2, _xlfn.XMATCH($B9, テーブル定義_一覧!$D$1:$Z$1))&amp;""</f>
        <v/>
      </c>
      <c r="E9" s="27" t="str" cm="1">
        <f t="array" aca="1" ref="E9" ca="1">INDEX(_xlfn._xlws.FILTER(テーブル定義_一覧!$D:$U, テーブル定義_一覧!$D:$D=E$1), E$2, _xlfn.XMATCH($B9, テーブル定義_一覧!$D$1:$Z$1))&amp;""</f>
        <v>x</v>
      </c>
      <c r="F9" s="27" t="str" cm="1">
        <f t="array" aca="1" ref="F9" ca="1">INDEX(_xlfn._xlws.FILTER(テーブル定義_一覧!$D:$U, テーブル定義_一覧!$D:$D=F$1), F$2, _xlfn.XMATCH($B9, テーブル定義_一覧!$D$1:$Z$1))&amp;""</f>
        <v/>
      </c>
      <c r="G9" s="27" t="str" cm="1">
        <f t="array" aca="1" ref="G9" ca="1">INDEX(_xlfn._xlws.FILTER(テーブル定義_一覧!$D:$U, テーブル定義_一覧!$D:$D=G$1), G$2, _xlfn.XMATCH($B9, テーブル定義_一覧!$D$1:$Z$1))&amp;""</f>
        <v/>
      </c>
      <c r="H9" s="27" t="str" cm="1">
        <f t="array" aca="1" ref="H9" ca="1">INDEX(_xlfn._xlws.FILTER(テーブル定義_一覧!$D:$U, テーブル定義_一覧!$D:$D=H$1), H$2, _xlfn.XMATCH($B9, テーブル定義_一覧!$D$1:$Z$1))&amp;""</f>
        <v>x(PK制約)</v>
      </c>
      <c r="I9" s="27" t="str" cm="1">
        <f t="array" aca="1" ref="I9" ca="1">INDEX(_xlfn._xlws.FILTER(テーブル定義_一覧!$D:$U, テーブル定義_一覧!$D:$D=I$1), I$2, _xlfn.XMATCH($B9, テーブル定義_一覧!$D$1:$Z$1))&amp;""</f>
        <v>x</v>
      </c>
      <c r="J9" s="27" t="str" cm="1">
        <f t="array" aca="1" ref="J9" ca="1">INDEX(_xlfn._xlws.FILTER(テーブル定義_一覧!$D:$U, テーブル定義_一覧!$D:$D=J$1), J$2, _xlfn.XMATCH($B9, テーブル定義_一覧!$D$1:$Z$1))&amp;""</f>
        <v>x(PK制約)</v>
      </c>
      <c r="K9" s="27" t="str" cm="1">
        <f t="array" aca="1" ref="K9" ca="1">INDEX(_xlfn._xlws.FILTER(テーブル定義_一覧!$D:$U, テーブル定義_一覧!$D:$D=K$1), K$2, _xlfn.XMATCH($B9, テーブル定義_一覧!$D$1:$Z$1))&amp;""</f>
        <v>x</v>
      </c>
      <c r="L9" s="27" t="str" cm="1">
        <f t="array" aca="1" ref="L9" ca="1">INDEX(_xlfn._xlws.FILTER(テーブル定義_一覧!$D:$U, テーブル定義_一覧!$D:$D=L$1), L$2, _xlfn.XMATCH($B9, テーブル定義_一覧!$D$1:$Z$1))&amp;""</f>
        <v/>
      </c>
      <c r="M9" s="27" t="str" cm="1">
        <f t="array" aca="1" ref="M9" ca="1">INDEX(_xlfn._xlws.FILTER(テーブル定義_一覧!$D:$U, テーブル定義_一覧!$D:$D=M$1), M$2, _xlfn.XMATCH($B9, テーブル定義_一覧!$D$1:$Z$1))&amp;""</f>
        <v>x</v>
      </c>
    </row>
    <row r="10" spans="1:13">
      <c r="A10" s="35"/>
      <c r="B10" s="21" t="s">
        <v>41</v>
      </c>
      <c r="C10" s="27" t="str" cm="1">
        <f t="array" aca="1" ref="C10" ca="1">INDEX(_xlfn._xlws.FILTER(テーブル定義_一覧!$D:$U, テーブル定義_一覧!$D:$D=C$1), C$2, _xlfn.XMATCH($B10, テーブル定義_一覧!$D$1:$Z$1))&amp;""</f>
        <v>x(PK制約)</v>
      </c>
      <c r="D10" s="27" t="str" cm="1">
        <f t="array" aca="1" ref="D10" ca="1">INDEX(_xlfn._xlws.FILTER(テーブル定義_一覧!$D:$U, テーブル定義_一覧!$D:$D=D$1), D$2, _xlfn.XMATCH($B10, テーブル定義_一覧!$D$1:$Z$1))&amp;""</f>
        <v/>
      </c>
      <c r="E10" s="27" t="str" cm="1">
        <f t="array" aca="1" ref="E10" ca="1">INDEX(_xlfn._xlws.FILTER(テーブル定義_一覧!$D:$U, テーブル定義_一覧!$D:$D=E$1), E$2, _xlfn.XMATCH($B10, テーブル定義_一覧!$D$1:$Z$1))&amp;""</f>
        <v>x</v>
      </c>
      <c r="F10" s="27" t="str" cm="1">
        <f t="array" aca="1" ref="F10" ca="1">INDEX(_xlfn._xlws.FILTER(テーブル定義_一覧!$D:$U, テーブル定義_一覧!$D:$D=F$1), F$2, _xlfn.XMATCH($B10, テーブル定義_一覧!$D$1:$Z$1))&amp;""</f>
        <v/>
      </c>
      <c r="G10" s="27" t="str" cm="1">
        <f t="array" aca="1" ref="G10" ca="1">INDEX(_xlfn._xlws.FILTER(テーブル定義_一覧!$D:$U, テーブル定義_一覧!$D:$D=G$1), G$2, _xlfn.XMATCH($B10, テーブル定義_一覧!$D$1:$Z$1))&amp;""</f>
        <v/>
      </c>
      <c r="H10" s="27" t="str" cm="1">
        <f t="array" aca="1" ref="H10" ca="1">INDEX(_xlfn._xlws.FILTER(テーブル定義_一覧!$D:$U, テーブル定義_一覧!$D:$D=H$1), H$2, _xlfn.XMATCH($B10, テーブル定義_一覧!$D$1:$Z$1))&amp;""</f>
        <v>x(PK制約)</v>
      </c>
      <c r="I10" s="27" t="str" cm="1">
        <f t="array" aca="1" ref="I10" ca="1">INDEX(_xlfn._xlws.FILTER(テーブル定義_一覧!$D:$U, テーブル定義_一覧!$D:$D=I$1), I$2, _xlfn.XMATCH($B10, テーブル定義_一覧!$D$1:$Z$1))&amp;""</f>
        <v>x</v>
      </c>
      <c r="J10" s="27" t="str" cm="1">
        <f t="array" aca="1" ref="J10" ca="1">INDEX(_xlfn._xlws.FILTER(テーブル定義_一覧!$D:$U, テーブル定義_一覧!$D:$D=J$1), J$2, _xlfn.XMATCH($B10, テーブル定義_一覧!$D$1:$Z$1))&amp;""</f>
        <v>x(PK制約)</v>
      </c>
      <c r="K10" s="27" t="str" cm="1">
        <f t="array" aca="1" ref="K10" ca="1">INDEX(_xlfn._xlws.FILTER(テーブル定義_一覧!$D:$U, テーブル定義_一覧!$D:$D=K$1), K$2, _xlfn.XMATCH($B10, テーブル定義_一覧!$D$1:$Z$1))&amp;""</f>
        <v>x</v>
      </c>
      <c r="L10" s="27" t="str" cm="1">
        <f t="array" aca="1" ref="L10" ca="1">INDEX(_xlfn._xlws.FILTER(テーブル定義_一覧!$D:$U, テーブル定義_一覧!$D:$D=L$1), L$2, _xlfn.XMATCH($B10, テーブル定義_一覧!$D$1:$Z$1))&amp;""</f>
        <v/>
      </c>
      <c r="M10" s="27" t="str" cm="1">
        <f t="array" aca="1" ref="M10" ca="1">INDEX(_xlfn._xlws.FILTER(テーブル定義_一覧!$D:$U, テーブル定義_一覧!$D:$D=M$1), M$2, _xlfn.XMATCH($B10, テーブル定義_一覧!$D$1:$Z$1))&amp;""</f>
        <v/>
      </c>
    </row>
    <row r="11" spans="1:13">
      <c r="A11" s="35"/>
      <c r="B11" s="21" t="s">
        <v>42</v>
      </c>
      <c r="C11" s="27" t="str" cm="1">
        <f t="array" aca="1" ref="C11" ca="1">INDEX(_xlfn._xlws.FILTER(テーブル定義_一覧!$D:$U, テーブル定義_一覧!$D:$D=C$1), C$2, _xlfn.XMATCH($B11, テーブル定義_一覧!$D$1:$Z$1))&amp;""</f>
        <v>SEQUENCE</v>
      </c>
      <c r="D11" s="27" t="str" cm="1">
        <f t="array" aca="1" ref="D11" ca="1">INDEX(_xlfn._xlws.FILTER(テーブル定義_一覧!$D:$U, テーブル定義_一覧!$D:$D=D$1), D$2, _xlfn.XMATCH($B11, テーブル定義_一覧!$D$1:$Z$1))&amp;""</f>
        <v/>
      </c>
      <c r="E11" s="27" t="str" cm="1">
        <f t="array" aca="1" ref="E11" ca="1">INDEX(_xlfn._xlws.FILTER(テーブル定義_一覧!$D:$U, テーブル定義_一覧!$D:$D=E$1), E$2, _xlfn.XMATCH($B11, テーブル定義_一覧!$D$1:$Z$1))&amp;""</f>
        <v/>
      </c>
      <c r="F11" s="27" t="str" cm="1">
        <f t="array" aca="1" ref="F11" ca="1">INDEX(_xlfn._xlws.FILTER(テーブル定義_一覧!$D:$U, テーブル定義_一覧!$D:$D=F$1), F$2, _xlfn.XMATCH($B11, テーブル定義_一覧!$D$1:$Z$1))&amp;""</f>
        <v/>
      </c>
      <c r="G11" s="27" t="str" cm="1">
        <f t="array" aca="1" ref="G11" ca="1">INDEX(_xlfn._xlws.FILTER(テーブル定義_一覧!$D:$U, テーブル定義_一覧!$D:$D=G$1), G$2, _xlfn.XMATCH($B11, テーブル定義_一覧!$D$1:$Z$1))&amp;""</f>
        <v/>
      </c>
      <c r="H11" s="27" t="str" cm="1">
        <f t="array" aca="1" ref="H11" ca="1">INDEX(_xlfn._xlws.FILTER(テーブル定義_一覧!$D:$U, テーブル定義_一覧!$D:$D=H$1), H$2, _xlfn.XMATCH($B11, テーブル定義_一覧!$D$1:$Z$1))&amp;""</f>
        <v>SEQUENCE</v>
      </c>
      <c r="I11" s="27" t="str" cm="1">
        <f t="array" aca="1" ref="I11" ca="1">INDEX(_xlfn._xlws.FILTER(テーブル定義_一覧!$D:$U, テーブル定義_一覧!$D:$D=I$1), I$2, _xlfn.XMATCH($B11, テーブル定義_一覧!$D$1:$Z$1))&amp;""</f>
        <v/>
      </c>
      <c r="J11" s="27" t="str" cm="1">
        <f t="array" aca="1" ref="J11" ca="1">INDEX(_xlfn._xlws.FILTER(テーブル定義_一覧!$D:$U, テーブル定義_一覧!$D:$D=J$1), J$2, _xlfn.XMATCH($B11, テーブル定義_一覧!$D$1:$Z$1))&amp;""</f>
        <v>SEQUENCE</v>
      </c>
      <c r="K11" s="27" t="str" cm="1">
        <f t="array" aca="1" ref="K11" ca="1">INDEX(_xlfn._xlws.FILTER(テーブル定義_一覧!$D:$U, テーブル定義_一覧!$D:$D=K$1), K$2, _xlfn.XMATCH($B11, テーブル定義_一覧!$D$1:$Z$1))&amp;""</f>
        <v/>
      </c>
      <c r="L11" s="27" t="str" cm="1">
        <f t="array" aca="1" ref="L11" ca="1">INDEX(_xlfn._xlws.FILTER(テーブル定義_一覧!$D:$U, テーブル定義_一覧!$D:$D=L$1), L$2, _xlfn.XMATCH($B11, テーブル定義_一覧!$D$1:$Z$1))&amp;""</f>
        <v/>
      </c>
      <c r="M11" s="27" t="str" cm="1">
        <f t="array" aca="1" ref="M11" ca="1">INDEX(_xlfn._xlws.FILTER(テーブル定義_一覧!$D:$U, テーブル定義_一覧!$D:$D=M$1), M$2, _xlfn.XMATCH($B11, テーブル定義_一覧!$D$1:$Z$1))&amp;""</f>
        <v>FALSE</v>
      </c>
    </row>
    <row r="12" spans="1:13">
      <c r="A12" s="35" t="s">
        <v>528</v>
      </c>
      <c r="B12" s="23" t="s">
        <v>507</v>
      </c>
      <c r="C12" s="32" t="s">
        <v>537</v>
      </c>
      <c r="D12" s="28" t="s">
        <v>573</v>
      </c>
      <c r="E12" s="28" t="s">
        <v>575</v>
      </c>
      <c r="F12" s="28" t="s">
        <v>538</v>
      </c>
      <c r="G12" s="28" t="s">
        <v>541</v>
      </c>
      <c r="H12" s="32" t="s">
        <v>537</v>
      </c>
      <c r="I12" s="28" t="s">
        <v>531</v>
      </c>
      <c r="J12" s="32" t="s">
        <v>537</v>
      </c>
      <c r="K12" s="28" t="s">
        <v>546</v>
      </c>
      <c r="L12" s="28" t="s">
        <v>548</v>
      </c>
      <c r="M12" s="28" t="b">
        <v>1</v>
      </c>
    </row>
    <row r="13" spans="1:13">
      <c r="A13" s="35"/>
      <c r="B13" s="23" t="s">
        <v>508</v>
      </c>
      <c r="C13" s="32" t="s">
        <v>537</v>
      </c>
      <c r="D13" s="28" t="s">
        <v>573</v>
      </c>
      <c r="E13" s="28" t="s">
        <v>576</v>
      </c>
      <c r="F13" s="28" t="s">
        <v>539</v>
      </c>
      <c r="G13" s="28" t="s">
        <v>541</v>
      </c>
      <c r="H13" s="32" t="s">
        <v>537</v>
      </c>
      <c r="I13" s="28" t="s">
        <v>530</v>
      </c>
      <c r="J13" s="32" t="s">
        <v>537</v>
      </c>
      <c r="K13" s="28" t="s">
        <v>547</v>
      </c>
      <c r="L13" s="28" t="s">
        <v>548</v>
      </c>
      <c r="M13" s="28" t="b">
        <v>1</v>
      </c>
    </row>
    <row r="14" spans="1:13">
      <c r="A14" s="35"/>
      <c r="B14" s="23" t="s">
        <v>509</v>
      </c>
      <c r="C14" s="32" t="s">
        <v>537</v>
      </c>
      <c r="D14" s="28" t="s">
        <v>573</v>
      </c>
      <c r="E14" s="28" t="s">
        <v>577</v>
      </c>
      <c r="F14" s="28" t="s">
        <v>540</v>
      </c>
      <c r="G14" s="28" t="s">
        <v>541</v>
      </c>
      <c r="H14" s="32" t="s">
        <v>537</v>
      </c>
      <c r="I14" s="28" t="s">
        <v>529</v>
      </c>
      <c r="J14" s="32"/>
      <c r="K14" s="28"/>
      <c r="L14" s="28"/>
      <c r="M14" s="28"/>
    </row>
    <row r="15" spans="1:13">
      <c r="A15" s="35"/>
      <c r="B15" s="23" t="s">
        <v>510</v>
      </c>
      <c r="C15" s="32" t="s">
        <v>537</v>
      </c>
      <c r="D15" s="28" t="s">
        <v>574</v>
      </c>
      <c r="E15" s="28" t="s">
        <v>575</v>
      </c>
      <c r="F15" s="28" t="s">
        <v>538</v>
      </c>
      <c r="G15" s="28" t="s">
        <v>541</v>
      </c>
      <c r="H15" s="18"/>
      <c r="I15" s="18"/>
      <c r="J15" s="18"/>
      <c r="K15" s="18"/>
      <c r="L15" s="18"/>
      <c r="M15" s="18"/>
    </row>
    <row r="16" spans="1:13">
      <c r="A16" s="35"/>
      <c r="B16" s="23" t="s">
        <v>511</v>
      </c>
      <c r="C16" s="32" t="s">
        <v>537</v>
      </c>
      <c r="D16" s="28" t="s">
        <v>574</v>
      </c>
      <c r="E16" s="28" t="s">
        <v>576</v>
      </c>
      <c r="F16" s="28" t="s">
        <v>539</v>
      </c>
      <c r="G16" s="28" t="s">
        <v>541</v>
      </c>
      <c r="H16" s="18"/>
      <c r="I16" s="18"/>
      <c r="J16" s="18"/>
      <c r="K16" s="18"/>
      <c r="L16" s="18"/>
      <c r="M16" s="18"/>
    </row>
    <row r="17" spans="1:13">
      <c r="A17" s="35"/>
      <c r="B17" s="23" t="s">
        <v>512</v>
      </c>
      <c r="C17" s="32" t="s">
        <v>537</v>
      </c>
      <c r="D17" s="28" t="s">
        <v>574</v>
      </c>
      <c r="E17" s="28" t="s">
        <v>577</v>
      </c>
      <c r="F17" s="28" t="s">
        <v>540</v>
      </c>
      <c r="G17" s="28" t="s">
        <v>541</v>
      </c>
      <c r="H17" s="18"/>
      <c r="I17" s="18"/>
      <c r="J17" s="18"/>
      <c r="K17" s="18"/>
      <c r="L17" s="18"/>
      <c r="M17" s="18"/>
    </row>
    <row r="18" spans="1:13">
      <c r="A18" s="35"/>
      <c r="B18" s="23" t="s">
        <v>513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</row>
    <row r="19" spans="1:13">
      <c r="A19" s="35"/>
      <c r="B19" s="23" t="s">
        <v>514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13">
      <c r="A20" s="35"/>
      <c r="B20" s="23" t="s">
        <v>515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spans="1:13">
      <c r="A21" s="35"/>
      <c r="B21" s="23" t="s">
        <v>516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spans="1:13">
      <c r="A22" s="35"/>
      <c r="B22" s="23" t="s">
        <v>517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spans="1:13">
      <c r="A23" s="35"/>
      <c r="B23" s="23" t="s">
        <v>518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3">
      <c r="A24" s="35"/>
      <c r="B24" s="23" t="s">
        <v>519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</row>
    <row r="25" spans="1:13">
      <c r="A25" s="35"/>
      <c r="B25" s="23" t="s">
        <v>520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spans="1:13">
      <c r="A26" s="35"/>
      <c r="B26" s="23" t="s">
        <v>521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3">
      <c r="A27" s="35"/>
      <c r="B27" s="23" t="s">
        <v>522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3">
      <c r="A28" s="35"/>
      <c r="B28" s="23" t="s">
        <v>523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3">
      <c r="A29" s="35"/>
      <c r="B29" s="23" t="s">
        <v>524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spans="1:13">
      <c r="A30" s="35"/>
      <c r="B30" s="23" t="s">
        <v>525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spans="1:13">
      <c r="A31" s="35"/>
      <c r="B31" s="23" t="s">
        <v>526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3" spans="9:13">
      <c r="I33" s="20"/>
      <c r="J33" s="20"/>
      <c r="K33" s="20"/>
      <c r="L33" s="20"/>
      <c r="M33" s="20"/>
    </row>
  </sheetData>
  <mergeCells count="4">
    <mergeCell ref="A3:A11"/>
    <mergeCell ref="A12:A31"/>
    <mergeCell ref="A1:B1"/>
    <mergeCell ref="A2:B2"/>
  </mergeCells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dimension ref="A1:H9"/>
  <sheetViews>
    <sheetView zoomScale="145" zoomScaleNormal="145" workbookViewId="0">
      <selection activeCell="G10" sqref="G10"/>
    </sheetView>
  </sheetViews>
  <sheetFormatPr baseColWidth="10" defaultColWidth="8.83203125" defaultRowHeight="15"/>
  <cols>
    <col min="1" max="1" width="3.33203125" bestFit="1" customWidth="1"/>
    <col min="2" max="2" width="17.6640625" bestFit="1" customWidth="1"/>
    <col min="3" max="3" width="17.1640625" bestFit="1" customWidth="1"/>
    <col min="4" max="4" width="16.1640625" bestFit="1" customWidth="1"/>
    <col min="5" max="5" width="18" bestFit="1" customWidth="1"/>
    <col min="6" max="6" width="16.1640625" bestFit="1" customWidth="1"/>
    <col min="7" max="7" width="18.6640625" bestFit="1" customWidth="1"/>
  </cols>
  <sheetData>
    <row r="1" spans="1:8">
      <c r="A1" s="36" t="s">
        <v>500</v>
      </c>
      <c r="B1" s="37"/>
      <c r="C1" s="30" t="s">
        <v>535</v>
      </c>
      <c r="D1" s="29" t="s">
        <v>535</v>
      </c>
      <c r="E1" s="29" t="s">
        <v>535</v>
      </c>
      <c r="F1" s="29" t="s">
        <v>535</v>
      </c>
      <c r="G1" s="29" t="s">
        <v>535</v>
      </c>
    </row>
    <row r="2" spans="1:8">
      <c r="A2" s="38" t="s">
        <v>504</v>
      </c>
      <c r="B2" s="39"/>
      <c r="C2" s="21">
        <f t="shared" ref="C2:G2" si="0">IF(B1=C1,B2+1,1)</f>
        <v>1</v>
      </c>
      <c r="D2" s="21">
        <f t="shared" si="0"/>
        <v>2</v>
      </c>
      <c r="E2" s="21">
        <f t="shared" si="0"/>
        <v>3</v>
      </c>
      <c r="F2" s="21">
        <f t="shared" si="0"/>
        <v>4</v>
      </c>
      <c r="G2" s="21">
        <f t="shared" si="0"/>
        <v>5</v>
      </c>
    </row>
    <row r="3" spans="1:8">
      <c r="A3" s="35" t="s">
        <v>527</v>
      </c>
      <c r="B3" s="26" t="s">
        <v>505</v>
      </c>
      <c r="C3" s="27" t="s">
        <v>104</v>
      </c>
      <c r="D3" s="27" t="s">
        <v>107</v>
      </c>
      <c r="E3" s="27" t="s">
        <v>111</v>
      </c>
      <c r="F3" s="27" t="s">
        <v>113</v>
      </c>
      <c r="G3" s="27" t="s">
        <v>115</v>
      </c>
    </row>
    <row r="4" spans="1:8">
      <c r="A4" s="35"/>
      <c r="B4" s="26" t="s">
        <v>506</v>
      </c>
      <c r="C4" s="27" t="s">
        <v>105</v>
      </c>
      <c r="D4" s="27" t="s">
        <v>108</v>
      </c>
      <c r="E4" s="27" t="s">
        <v>112</v>
      </c>
      <c r="F4" s="27" t="s">
        <v>114</v>
      </c>
      <c r="G4" s="27" t="s">
        <v>116</v>
      </c>
    </row>
    <row r="5" spans="1:8">
      <c r="A5" s="35"/>
      <c r="B5" s="22" t="s">
        <v>503</v>
      </c>
      <c r="C5" s="27" t="s">
        <v>502</v>
      </c>
      <c r="D5" s="27" t="s">
        <v>65</v>
      </c>
      <c r="E5" s="27" t="s">
        <v>502</v>
      </c>
      <c r="F5" s="27" t="s">
        <v>65</v>
      </c>
      <c r="G5" s="27" t="s">
        <v>343</v>
      </c>
    </row>
    <row r="6" spans="1:8">
      <c r="A6" s="35"/>
      <c r="B6" s="21" t="s">
        <v>40</v>
      </c>
      <c r="C6" s="27" t="s">
        <v>48</v>
      </c>
      <c r="D6" s="27" t="s">
        <v>48</v>
      </c>
      <c r="E6" s="27" t="s">
        <v>48</v>
      </c>
      <c r="F6" s="27" t="s">
        <v>48</v>
      </c>
      <c r="G6" s="27" t="s">
        <v>48</v>
      </c>
    </row>
    <row r="7" spans="1:8">
      <c r="A7" s="35"/>
      <c r="B7" s="21" t="s">
        <v>41</v>
      </c>
      <c r="C7" s="27" t="s">
        <v>534</v>
      </c>
      <c r="D7" s="27" t="s">
        <v>534</v>
      </c>
      <c r="E7" s="27" t="s">
        <v>534</v>
      </c>
      <c r="F7" s="27" t="s">
        <v>534</v>
      </c>
      <c r="G7" s="27" t="s">
        <v>534</v>
      </c>
    </row>
    <row r="8" spans="1:8">
      <c r="A8" s="35"/>
      <c r="B8" s="21" t="s">
        <v>42</v>
      </c>
      <c r="C8" s="27" t="s">
        <v>106</v>
      </c>
      <c r="D8" s="27" t="s">
        <v>109</v>
      </c>
      <c r="E8" s="27" t="s">
        <v>106</v>
      </c>
      <c r="F8" s="27" t="s">
        <v>109</v>
      </c>
      <c r="G8" s="27" t="b">
        <v>0</v>
      </c>
    </row>
    <row r="9" spans="1:8" ht="58">
      <c r="A9" s="25" t="s">
        <v>528</v>
      </c>
      <c r="B9" s="23" t="s">
        <v>507</v>
      </c>
      <c r="C9" s="32" t="s">
        <v>537</v>
      </c>
      <c r="D9" s="28" t="s">
        <v>532</v>
      </c>
      <c r="E9" s="32" t="s">
        <v>537</v>
      </c>
      <c r="F9" s="28" t="s">
        <v>532</v>
      </c>
      <c r="G9" s="18" t="b">
        <v>0</v>
      </c>
      <c r="H9" s="19" t="s">
        <v>536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テーブル一覧</vt:lpstr>
      <vt:lpstr>テーブル定義_一覧</vt:lpstr>
      <vt:lpstr>型とバイト数</vt:lpstr>
      <vt:lpstr>|→マスターデータ</vt:lpstr>
      <vt:lpstr>各テーブル</vt:lpstr>
      <vt:lpstr>監査列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2026-08-01T06:10:14Z</dcterms:modified>
</cp:coreProperties>
</file>
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elopmentProjects\vtuber-meikan\.design\DB\"/>
    </mc:Choice>
  </mc:AlternateContent>
  <xr:revisionPtr revIDLastSave="0" documentId="13_ncr:1_{258077F9-9DD0-40F2-8F8E-88BFDA0E314E}" xr6:coauthVersionLast="47" xr6:coauthVersionMax="47" xr10:uidLastSave="{00000000-0000-0000-0000-000000000000}"/>
  <bookViews>
    <workbookView xWindow="-120" yWindow="-120" windowWidth="51840" windowHeight="21120" activeTab="1" xr2:uid="{F8A6FB77-447F-49A6-B43A-A0C969D84A61}"/>
  </bookViews>
  <sheets>
    <sheet name="テーブル一覧" sheetId="3" r:id="rId1"/>
    <sheet name="テーブル定義_一覧" sheetId="1" r:id="rId2"/>
    <sheet name="型とバイト数" sheetId="4" r:id="rId3"/>
  </sheets>
  <definedNames>
    <definedName name="_xlnm._FilterDatabase" localSheetId="0" hidden="1">テーブル一覧!$A$1:$H$1</definedName>
    <definedName name="_xlnm._FilterDatabase" localSheetId="1" hidden="1">テーブル定義_一覧!$A$1:$R$267</definedName>
    <definedName name="_xlnm._FilterDatabase" localSheetId="2" hidden="1">型とバイト数!$A$2:$G$2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52" i="1" l="1"/>
  <c r="H153" i="1"/>
  <c r="H162" i="1"/>
  <c r="H163" i="1"/>
  <c r="B165" i="1"/>
  <c r="B164" i="1"/>
  <c r="H86" i="1"/>
  <c r="H195" i="1"/>
  <c r="H197" i="1"/>
  <c r="H237" i="1"/>
  <c r="D195" i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95" i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B195" i="1"/>
  <c r="B237" i="1"/>
  <c r="B251" i="1"/>
  <c r="B250" i="1"/>
  <c r="H249" i="1"/>
  <c r="B249" i="1"/>
  <c r="B248" i="1"/>
  <c r="H247" i="1"/>
  <c r="B247" i="1"/>
  <c r="B246" i="1"/>
  <c r="H245" i="1"/>
  <c r="B245" i="1"/>
  <c r="B244" i="1"/>
  <c r="B243" i="1"/>
  <c r="B242" i="1"/>
  <c r="H241" i="1"/>
  <c r="B241" i="1"/>
  <c r="H240" i="1"/>
  <c r="B240" i="1"/>
  <c r="H239" i="1"/>
  <c r="B239" i="1"/>
  <c r="H238" i="1"/>
  <c r="B238" i="1"/>
  <c r="D236" i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C236" i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s="1"/>
  <c r="C250" i="1" s="1"/>
  <c r="C251" i="1" s="1"/>
  <c r="B236" i="1"/>
  <c r="B235" i="1"/>
  <c r="B22" i="3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D253" i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C253" i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H254" i="1"/>
  <c r="H255" i="1"/>
  <c r="H256" i="1"/>
  <c r="H257" i="1"/>
  <c r="H261" i="1"/>
  <c r="H265" i="1"/>
  <c r="H263" i="1"/>
  <c r="H142" i="1"/>
  <c r="H141" i="1"/>
  <c r="H48" i="1"/>
  <c r="H57" i="1"/>
  <c r="H56" i="1"/>
  <c r="H66" i="1"/>
  <c r="H65" i="1"/>
  <c r="H133" i="1"/>
  <c r="H132" i="1"/>
  <c r="H124" i="1"/>
  <c r="H123" i="1"/>
  <c r="H187" i="1"/>
  <c r="H186" i="1"/>
  <c r="H219" i="1"/>
  <c r="H218" i="1"/>
  <c r="H227" i="1"/>
  <c r="H228" i="1"/>
  <c r="H232" i="1"/>
  <c r="H230" i="1"/>
  <c r="H223" i="1"/>
  <c r="H221" i="1"/>
  <c r="H214" i="1"/>
  <c r="H212" i="1"/>
  <c r="H191" i="1"/>
  <c r="H189" i="1"/>
  <c r="H182" i="1"/>
  <c r="H180" i="1"/>
  <c r="H170" i="1"/>
  <c r="H168" i="1"/>
  <c r="H158" i="1"/>
  <c r="H156" i="1"/>
  <c r="H148" i="1"/>
  <c r="H146" i="1"/>
  <c r="H137" i="1"/>
  <c r="H135" i="1"/>
  <c r="H128" i="1"/>
  <c r="H126" i="1"/>
  <c r="H119" i="1"/>
  <c r="H117" i="1"/>
  <c r="H107" i="1"/>
  <c r="H105" i="1"/>
  <c r="H93" i="1"/>
  <c r="H91" i="1"/>
  <c r="H81" i="1"/>
  <c r="H79" i="1"/>
  <c r="H70" i="1"/>
  <c r="H68" i="1"/>
  <c r="H61" i="1"/>
  <c r="H59" i="1"/>
  <c r="H52" i="1"/>
  <c r="H50" i="1"/>
  <c r="H44" i="1"/>
  <c r="H42" i="1"/>
  <c r="H33" i="1"/>
  <c r="H31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7" i="1"/>
  <c r="H38" i="1"/>
  <c r="H39" i="1"/>
  <c r="H40" i="1"/>
  <c r="H75" i="1"/>
  <c r="H76" i="1"/>
  <c r="H77" i="1"/>
  <c r="H88" i="1"/>
  <c r="H97" i="1"/>
  <c r="H99" i="1"/>
  <c r="H100" i="1"/>
  <c r="H101" i="1"/>
  <c r="H102" i="1"/>
  <c r="H103" i="1"/>
  <c r="H111" i="1"/>
  <c r="H112" i="1"/>
  <c r="H113" i="1"/>
  <c r="H114" i="1"/>
  <c r="H115" i="1"/>
  <c r="H154" i="1"/>
  <c r="H174" i="1"/>
  <c r="H176" i="1"/>
  <c r="H177" i="1"/>
  <c r="H178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4" i="4"/>
  <c r="E3" i="4"/>
  <c r="B21" i="3"/>
  <c r="B225" i="1"/>
  <c r="B224" i="1"/>
  <c r="B223" i="1"/>
  <c r="B222" i="1"/>
  <c r="B221" i="1"/>
  <c r="B220" i="1"/>
  <c r="B219" i="1"/>
  <c r="D218" i="1"/>
  <c r="D219" i="1" s="1"/>
  <c r="D220" i="1" s="1"/>
  <c r="D221" i="1" s="1"/>
  <c r="D222" i="1" s="1"/>
  <c r="D223" i="1" s="1"/>
  <c r="D224" i="1" s="1"/>
  <c r="D225" i="1" s="1"/>
  <c r="C218" i="1"/>
  <c r="C219" i="1" s="1"/>
  <c r="C220" i="1" s="1"/>
  <c r="C221" i="1" s="1"/>
  <c r="C222" i="1" s="1"/>
  <c r="C223" i="1" s="1"/>
  <c r="C224" i="1" s="1"/>
  <c r="C225" i="1" s="1"/>
  <c r="B218" i="1"/>
  <c r="B217" i="1"/>
  <c r="B197" i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" i="3"/>
  <c r="D227" i="1"/>
  <c r="D228" i="1" s="1"/>
  <c r="D229" i="1" s="1"/>
  <c r="D230" i="1" s="1"/>
  <c r="D231" i="1" s="1"/>
  <c r="D232" i="1" s="1"/>
  <c r="D233" i="1" s="1"/>
  <c r="D234" i="1" s="1"/>
  <c r="C227" i="1"/>
  <c r="C228" i="1" s="1"/>
  <c r="C229" i="1" s="1"/>
  <c r="C230" i="1" s="1"/>
  <c r="C231" i="1" s="1"/>
  <c r="C232" i="1" s="1"/>
  <c r="C233" i="1" s="1"/>
  <c r="C234" i="1" s="1"/>
  <c r="D186" i="1"/>
  <c r="D187" i="1" s="1"/>
  <c r="D188" i="1" s="1"/>
  <c r="D189" i="1" s="1"/>
  <c r="D190" i="1" s="1"/>
  <c r="D191" i="1" s="1"/>
  <c r="D192" i="1" s="1"/>
  <c r="D193" i="1" s="1"/>
  <c r="C186" i="1"/>
  <c r="C187" i="1" s="1"/>
  <c r="C188" i="1" s="1"/>
  <c r="C189" i="1" s="1"/>
  <c r="C190" i="1" s="1"/>
  <c r="C191" i="1" s="1"/>
  <c r="C192" i="1" s="1"/>
  <c r="C193" i="1" s="1"/>
  <c r="D174" i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C174" i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D162" i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C162" i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D152" i="1"/>
  <c r="D153" i="1" s="1"/>
  <c r="D154" i="1" s="1"/>
  <c r="D155" i="1" s="1"/>
  <c r="D156" i="1" s="1"/>
  <c r="D157" i="1" s="1"/>
  <c r="D158" i="1" s="1"/>
  <c r="D159" i="1" s="1"/>
  <c r="D160" i="1" s="1"/>
  <c r="C152" i="1"/>
  <c r="C153" i="1" s="1"/>
  <c r="C154" i="1" s="1"/>
  <c r="C155" i="1" s="1"/>
  <c r="C156" i="1" s="1"/>
  <c r="C157" i="1" s="1"/>
  <c r="C158" i="1" s="1"/>
  <c r="C159" i="1" s="1"/>
  <c r="C160" i="1" s="1"/>
  <c r="D141" i="1"/>
  <c r="D142" i="1" s="1"/>
  <c r="D143" i="1" s="1"/>
  <c r="D144" i="1" s="1"/>
  <c r="D145" i="1" s="1"/>
  <c r="D146" i="1" s="1"/>
  <c r="D147" i="1" s="1"/>
  <c r="D148" i="1" s="1"/>
  <c r="D149" i="1" s="1"/>
  <c r="D150" i="1" s="1"/>
  <c r="C141" i="1"/>
  <c r="C142" i="1" s="1"/>
  <c r="C143" i="1" s="1"/>
  <c r="C144" i="1" s="1"/>
  <c r="C145" i="1" s="1"/>
  <c r="C146" i="1" s="1"/>
  <c r="C147" i="1" s="1"/>
  <c r="C148" i="1" s="1"/>
  <c r="C149" i="1" s="1"/>
  <c r="C150" i="1" s="1"/>
  <c r="D132" i="1"/>
  <c r="D133" i="1" s="1"/>
  <c r="D134" i="1" s="1"/>
  <c r="D135" i="1" s="1"/>
  <c r="D136" i="1" s="1"/>
  <c r="D137" i="1" s="1"/>
  <c r="D138" i="1" s="1"/>
  <c r="D139" i="1" s="1"/>
  <c r="C132" i="1"/>
  <c r="C133" i="1" s="1"/>
  <c r="C134" i="1" s="1"/>
  <c r="C135" i="1" s="1"/>
  <c r="C136" i="1" s="1"/>
  <c r="C137" i="1" s="1"/>
  <c r="C138" i="1" s="1"/>
  <c r="C139" i="1" s="1"/>
  <c r="D123" i="1"/>
  <c r="D124" i="1" s="1"/>
  <c r="D125" i="1" s="1"/>
  <c r="D126" i="1" s="1"/>
  <c r="D127" i="1" s="1"/>
  <c r="D128" i="1" s="1"/>
  <c r="D129" i="1" s="1"/>
  <c r="D130" i="1" s="1"/>
  <c r="C123" i="1"/>
  <c r="C124" i="1" s="1"/>
  <c r="C125" i="1" s="1"/>
  <c r="C126" i="1" s="1"/>
  <c r="C127" i="1" s="1"/>
  <c r="C128" i="1" s="1"/>
  <c r="C129" i="1" s="1"/>
  <c r="C130" i="1" s="1"/>
  <c r="D111" i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C111" i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D97" i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C97" i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D85" i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C85" i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D74" i="1"/>
  <c r="D75" i="1" s="1"/>
  <c r="D76" i="1" s="1"/>
  <c r="D77" i="1" s="1"/>
  <c r="D78" i="1" s="1"/>
  <c r="D79" i="1" s="1"/>
  <c r="D80" i="1" s="1"/>
  <c r="D81" i="1" s="1"/>
  <c r="D82" i="1" s="1"/>
  <c r="D83" i="1" s="1"/>
  <c r="C74" i="1"/>
  <c r="C75" i="1" s="1"/>
  <c r="C76" i="1" s="1"/>
  <c r="C77" i="1" s="1"/>
  <c r="C78" i="1" s="1"/>
  <c r="C79" i="1" s="1"/>
  <c r="C80" i="1" s="1"/>
  <c r="C81" i="1" s="1"/>
  <c r="C82" i="1" s="1"/>
  <c r="C83" i="1" s="1"/>
  <c r="D65" i="1"/>
  <c r="D66" i="1" s="1"/>
  <c r="D67" i="1" s="1"/>
  <c r="D68" i="1" s="1"/>
  <c r="D69" i="1" s="1"/>
  <c r="D70" i="1" s="1"/>
  <c r="D71" i="1" s="1"/>
  <c r="D72" i="1" s="1"/>
  <c r="C65" i="1"/>
  <c r="C66" i="1" s="1"/>
  <c r="C67" i="1" s="1"/>
  <c r="C68" i="1" s="1"/>
  <c r="C69" i="1" s="1"/>
  <c r="C70" i="1" s="1"/>
  <c r="C71" i="1" s="1"/>
  <c r="C72" i="1" s="1"/>
  <c r="D56" i="1"/>
  <c r="D57" i="1" s="1"/>
  <c r="D58" i="1" s="1"/>
  <c r="D59" i="1" s="1"/>
  <c r="D60" i="1" s="1"/>
  <c r="D61" i="1" s="1"/>
  <c r="D62" i="1" s="1"/>
  <c r="D63" i="1" s="1"/>
  <c r="C56" i="1"/>
  <c r="C57" i="1" s="1"/>
  <c r="C58" i="1" s="1"/>
  <c r="C59" i="1" s="1"/>
  <c r="C60" i="1" s="1"/>
  <c r="C61" i="1" s="1"/>
  <c r="C62" i="1" s="1"/>
  <c r="C63" i="1" s="1"/>
  <c r="D48" i="1"/>
  <c r="D49" i="1" s="1"/>
  <c r="D50" i="1" s="1"/>
  <c r="D51" i="1" s="1"/>
  <c r="D52" i="1" s="1"/>
  <c r="D53" i="1" s="1"/>
  <c r="D54" i="1" s="1"/>
  <c r="C48" i="1"/>
  <c r="C49" i="1" s="1"/>
  <c r="C50" i="1" s="1"/>
  <c r="C51" i="1" s="1"/>
  <c r="C52" i="1" s="1"/>
  <c r="C53" i="1" s="1"/>
  <c r="C54" i="1" s="1"/>
  <c r="D37" i="1"/>
  <c r="D38" i="1" s="1"/>
  <c r="D39" i="1" s="1"/>
  <c r="D40" i="1" s="1"/>
  <c r="D41" i="1" s="1"/>
  <c r="D42" i="1" s="1"/>
  <c r="D43" i="1" s="1"/>
  <c r="D44" i="1" s="1"/>
  <c r="D45" i="1" s="1"/>
  <c r="D46" i="1" s="1"/>
  <c r="C37" i="1"/>
  <c r="C38" i="1" s="1"/>
  <c r="C39" i="1" s="1"/>
  <c r="C40" i="1" s="1"/>
  <c r="C41" i="1" s="1"/>
  <c r="C42" i="1" s="1"/>
  <c r="C43" i="1" s="1"/>
  <c r="C44" i="1" s="1"/>
  <c r="C45" i="1" s="1"/>
  <c r="C46" i="1" s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B234" i="1"/>
  <c r="B233" i="1"/>
  <c r="B232" i="1"/>
  <c r="B231" i="1"/>
  <c r="B230" i="1"/>
  <c r="B229" i="1"/>
  <c r="B216" i="1"/>
  <c r="B215" i="1"/>
  <c r="B214" i="1"/>
  <c r="B213" i="1"/>
  <c r="B212" i="1"/>
  <c r="B211" i="1"/>
  <c r="B193" i="1"/>
  <c r="B192" i="1"/>
  <c r="B191" i="1"/>
  <c r="B190" i="1"/>
  <c r="B189" i="1"/>
  <c r="B188" i="1"/>
  <c r="B184" i="1"/>
  <c r="B183" i="1"/>
  <c r="B182" i="1"/>
  <c r="B181" i="1"/>
  <c r="B180" i="1"/>
  <c r="B179" i="1"/>
  <c r="B172" i="1"/>
  <c r="B171" i="1"/>
  <c r="B170" i="1"/>
  <c r="B169" i="1"/>
  <c r="B168" i="1"/>
  <c r="B167" i="1"/>
  <c r="B160" i="1"/>
  <c r="B159" i="1"/>
  <c r="B158" i="1"/>
  <c r="B157" i="1"/>
  <c r="B156" i="1"/>
  <c r="B155" i="1"/>
  <c r="B150" i="1"/>
  <c r="B149" i="1"/>
  <c r="B148" i="1"/>
  <c r="B147" i="1"/>
  <c r="B146" i="1"/>
  <c r="B145" i="1"/>
  <c r="B139" i="1"/>
  <c r="B138" i="1"/>
  <c r="B137" i="1"/>
  <c r="B136" i="1"/>
  <c r="B135" i="1"/>
  <c r="B134" i="1"/>
  <c r="B130" i="1"/>
  <c r="B129" i="1"/>
  <c r="B128" i="1"/>
  <c r="B127" i="1"/>
  <c r="B126" i="1"/>
  <c r="B125" i="1"/>
  <c r="B121" i="1"/>
  <c r="B120" i="1"/>
  <c r="B119" i="1"/>
  <c r="B118" i="1"/>
  <c r="B117" i="1"/>
  <c r="B116" i="1"/>
  <c r="B109" i="1"/>
  <c r="B108" i="1"/>
  <c r="B107" i="1"/>
  <c r="B106" i="1"/>
  <c r="B105" i="1"/>
  <c r="B104" i="1"/>
  <c r="B95" i="1"/>
  <c r="B94" i="1"/>
  <c r="B93" i="1"/>
  <c r="B92" i="1"/>
  <c r="B91" i="1"/>
  <c r="B90" i="1"/>
  <c r="B83" i="1"/>
  <c r="B82" i="1"/>
  <c r="B81" i="1"/>
  <c r="B80" i="1"/>
  <c r="B79" i="1"/>
  <c r="B78" i="1"/>
  <c r="B72" i="1"/>
  <c r="B71" i="1"/>
  <c r="B70" i="1"/>
  <c r="B69" i="1"/>
  <c r="B68" i="1"/>
  <c r="B67" i="1"/>
  <c r="B63" i="1"/>
  <c r="B62" i="1"/>
  <c r="B61" i="1"/>
  <c r="B60" i="1"/>
  <c r="B59" i="1"/>
  <c r="B58" i="1"/>
  <c r="B54" i="1"/>
  <c r="B53" i="1"/>
  <c r="B52" i="1"/>
  <c r="B51" i="1"/>
  <c r="B50" i="1"/>
  <c r="B49" i="1"/>
  <c r="B46" i="1"/>
  <c r="B45" i="1"/>
  <c r="B44" i="1"/>
  <c r="B43" i="1"/>
  <c r="B42" i="1"/>
  <c r="B41" i="1"/>
  <c r="B102" i="1"/>
  <c r="B100" i="1"/>
  <c r="B101" i="1"/>
  <c r="B99" i="1"/>
  <c r="B103" i="1"/>
  <c r="B97" i="1"/>
  <c r="B98" i="1"/>
  <c r="B110" i="1"/>
  <c r="B111" i="1"/>
  <c r="B112" i="1"/>
  <c r="B113" i="1"/>
  <c r="B114" i="1"/>
  <c r="B115" i="1"/>
  <c r="B122" i="1"/>
  <c r="B123" i="1"/>
  <c r="B124" i="1"/>
  <c r="B131" i="1"/>
  <c r="B132" i="1"/>
  <c r="B133" i="1"/>
  <c r="B140" i="1"/>
  <c r="B141" i="1"/>
  <c r="B142" i="1"/>
  <c r="B143" i="1"/>
  <c r="B144" i="1"/>
  <c r="B151" i="1"/>
  <c r="B152" i="1"/>
  <c r="B153" i="1"/>
  <c r="B154" i="1"/>
  <c r="B161" i="1"/>
  <c r="B162" i="1"/>
  <c r="B163" i="1"/>
  <c r="B166" i="1"/>
  <c r="B173" i="1"/>
  <c r="B174" i="1"/>
  <c r="B175" i="1"/>
  <c r="B176" i="1"/>
  <c r="B177" i="1"/>
  <c r="B178" i="1"/>
  <c r="B185" i="1"/>
  <c r="B186" i="1"/>
  <c r="B187" i="1"/>
  <c r="B194" i="1"/>
  <c r="B196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26" i="1"/>
  <c r="B227" i="1"/>
  <c r="B228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7" i="1"/>
  <c r="B48" i="1"/>
  <c r="B55" i="1"/>
  <c r="B56" i="1"/>
  <c r="B57" i="1"/>
  <c r="B64" i="1"/>
  <c r="B65" i="1"/>
  <c r="B66" i="1"/>
  <c r="B73" i="1"/>
  <c r="B74" i="1"/>
  <c r="B75" i="1"/>
  <c r="B76" i="1"/>
  <c r="B77" i="1"/>
  <c r="B84" i="1"/>
  <c r="B85" i="1"/>
  <c r="B86" i="1"/>
  <c r="B87" i="1"/>
  <c r="B88" i="1"/>
  <c r="B89" i="1"/>
  <c r="B96" i="1"/>
  <c r="B2" i="1"/>
  <c r="C2" i="3" l="1" a="1"/>
  <c r="D2" i="3" a="1"/>
  <c r="D2" i="3" s="1"/>
  <c r="A3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E22" i="3"/>
  <c r="E20" i="3"/>
  <c r="C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1" i="3"/>
  <c r="E2" i="3" l="1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<sst xmlns="http://schemas.openxmlformats.org/spreadsheetml/2006/main" count="1860" uniqueCount="467">
  <si>
    <t>プロフィール画像</t>
    <rPh sb="6" eb="8">
      <t>ガゾウ</t>
    </rPh>
    <phoneticPr fontId="1"/>
  </si>
  <si>
    <t>複数</t>
    <rPh sb="0" eb="2">
      <t>フクスウ</t>
    </rPh>
    <phoneticPr fontId="1"/>
  </si>
  <si>
    <t>名前</t>
    <rPh sb="0" eb="2">
      <t>ナマエ</t>
    </rPh>
    <phoneticPr fontId="1"/>
  </si>
  <si>
    <t>ニックネーム</t>
    <phoneticPr fontId="1"/>
  </si>
  <si>
    <t>所属</t>
    <rPh sb="0" eb="2">
      <t>ショゾク</t>
    </rPh>
    <phoneticPr fontId="1"/>
  </si>
  <si>
    <t>誕生日</t>
    <rPh sb="0" eb="3">
      <t>タンジョウビ</t>
    </rPh>
    <phoneticPr fontId="1"/>
  </si>
  <si>
    <t>デビュー日</t>
    <rPh sb="4" eb="5">
      <t>ビ</t>
    </rPh>
    <phoneticPr fontId="1"/>
  </si>
  <si>
    <t>活動歴</t>
    <rPh sb="0" eb="3">
      <t>カツドウレキ</t>
    </rPh>
    <phoneticPr fontId="1"/>
  </si>
  <si>
    <t>活動ジャンル</t>
    <rPh sb="0" eb="2">
      <t>カツドウ</t>
    </rPh>
    <phoneticPr fontId="1"/>
  </si>
  <si>
    <t>血液型</t>
    <rPh sb="0" eb="3">
      <t>ケツエキガタ</t>
    </rPh>
    <phoneticPr fontId="1"/>
  </si>
  <si>
    <t>身長</t>
    <rPh sb="0" eb="2">
      <t>シンチョウ</t>
    </rPh>
    <phoneticPr fontId="1"/>
  </si>
  <si>
    <t>タグ</t>
    <phoneticPr fontId="1"/>
  </si>
  <si>
    <t>カンマ区切り</t>
    <rPh sb="3" eb="5">
      <t>クギ</t>
    </rPh>
    <phoneticPr fontId="1"/>
  </si>
  <si>
    <t>date</t>
  </si>
  <si>
    <t>date</t>
    <phoneticPr fontId="1"/>
  </si>
  <si>
    <t>文字列</t>
    <rPh sb="0" eb="3">
      <t>モジレツ</t>
    </rPh>
    <phoneticPr fontId="1"/>
  </si>
  <si>
    <t>x</t>
    <phoneticPr fontId="1"/>
  </si>
  <si>
    <t>-</t>
  </si>
  <si>
    <t>-</t>
    <phoneticPr fontId="1"/>
  </si>
  <si>
    <t>UUID</t>
    <phoneticPr fontId="1"/>
  </si>
  <si>
    <t>ユーザーID</t>
    <phoneticPr fontId="1"/>
  </si>
  <si>
    <t>型</t>
    <rPh sb="0" eb="1">
      <t>カタ</t>
    </rPh>
    <phoneticPr fontId="1"/>
  </si>
  <si>
    <t>画像</t>
    <rPh sb="0" eb="2">
      <t>ガゾウ</t>
    </rPh>
    <phoneticPr fontId="1"/>
  </si>
  <si>
    <t>画面実装済み</t>
    <rPh sb="0" eb="2">
      <t>ガメン</t>
    </rPh>
    <rPh sb="2" eb="5">
      <t>ジッソウズ</t>
    </rPh>
    <phoneticPr fontId="1"/>
  </si>
  <si>
    <t>SNSリンク</t>
    <phoneticPr fontId="1"/>
  </si>
  <si>
    <t>複数アップロード未実装。URL削除未実施</t>
    <rPh sb="0" eb="2">
      <t>フクスウ</t>
    </rPh>
    <rPh sb="8" eb="11">
      <t>ミジッソウ</t>
    </rPh>
    <rPh sb="15" eb="17">
      <t>サクジョ</t>
    </rPh>
    <rPh sb="17" eb="18">
      <t>ミ</t>
    </rPh>
    <rPh sb="18" eb="20">
      <t>ジッシ</t>
    </rPh>
    <phoneticPr fontId="1"/>
  </si>
  <si>
    <t>動画リンク</t>
    <rPh sb="0" eb="2">
      <t>ドウガ</t>
    </rPh>
    <phoneticPr fontId="1"/>
  </si>
  <si>
    <t>URL</t>
    <phoneticPr fontId="1"/>
  </si>
  <si>
    <t>備考</t>
    <rPh sb="0" eb="2">
      <t>ビコウ</t>
    </rPh>
    <phoneticPr fontId="1"/>
  </si>
  <si>
    <t>URLに使用する（DB連携はUUIDで管理</t>
    <rPh sb="4" eb="6">
      <t>シヨウ</t>
    </rPh>
    <rPh sb="11" eb="13">
      <t>レンケイ</t>
    </rPh>
    <rPh sb="19" eb="21">
      <t>カンリ</t>
    </rPh>
    <phoneticPr fontId="1"/>
  </si>
  <si>
    <t>ひとこと</t>
    <phoneticPr fontId="1"/>
  </si>
  <si>
    <t>キャッチフレーズ</t>
    <phoneticPr fontId="1"/>
  </si>
  <si>
    <t>好きなもの</t>
    <rPh sb="0" eb="1">
      <t>ス</t>
    </rPh>
    <phoneticPr fontId="1"/>
  </si>
  <si>
    <t>苦手なもの</t>
    <rPh sb="0" eb="2">
      <t>ニガテ</t>
    </rPh>
    <phoneticPr fontId="1"/>
  </si>
  <si>
    <t>趣味・特技</t>
    <rPh sb="0" eb="2">
      <t>シュミ</t>
    </rPh>
    <rPh sb="3" eb="5">
      <t>トクギ</t>
    </rPh>
    <phoneticPr fontId="1"/>
  </si>
  <si>
    <t>将来の夢</t>
    <rPh sb="0" eb="2">
      <t>ショウライ</t>
    </rPh>
    <rPh sb="3" eb="4">
      <t>ユメ</t>
    </rPh>
    <phoneticPr fontId="1"/>
  </si>
  <si>
    <t>メッセージ</t>
    <phoneticPr fontId="1"/>
  </si>
  <si>
    <t>プロフィール詳細</t>
    <rPh sb="6" eb="8">
      <t>ショウサイ</t>
    </rPh>
    <phoneticPr fontId="1"/>
  </si>
  <si>
    <t>マークダウン対応</t>
    <rPh sb="6" eb="8">
      <t>タイオウ</t>
    </rPh>
    <phoneticPr fontId="1"/>
  </si>
  <si>
    <t>ユーザー</t>
  </si>
  <si>
    <t>所属名</t>
    <rPh sb="0" eb="3">
      <t>ショゾクメイ</t>
    </rPh>
    <phoneticPr fontId="1"/>
  </si>
  <si>
    <t>PK</t>
    <phoneticPr fontId="1"/>
  </si>
  <si>
    <t>FK</t>
    <phoneticPr fontId="1"/>
  </si>
  <si>
    <t>所属Vtuber</t>
    <rPh sb="0" eb="2">
      <t>ショゾク</t>
    </rPh>
    <phoneticPr fontId="1"/>
  </si>
  <si>
    <t>タグ名</t>
    <rPh sb="2" eb="3">
      <t>メイ</t>
    </rPh>
    <phoneticPr fontId="1"/>
  </si>
  <si>
    <t>活動状態</t>
    <rPh sb="0" eb="4">
      <t>カツドウジョウタイ</t>
    </rPh>
    <phoneticPr fontId="1"/>
  </si>
  <si>
    <t>バッジ</t>
    <phoneticPr fontId="1"/>
  </si>
  <si>
    <t>活動状態名(論理名)</t>
    <rPh sb="0" eb="4">
      <t>カツドウジョウタイ</t>
    </rPh>
    <rPh sb="4" eb="5">
      <t>メイ</t>
    </rPh>
    <rPh sb="6" eb="9">
      <t>ロンリメイ</t>
    </rPh>
    <phoneticPr fontId="1"/>
  </si>
  <si>
    <t>活動状態名(物理名)</t>
    <rPh sb="0" eb="4">
      <t>カツドウジョウタイ</t>
    </rPh>
    <rPh sb="4" eb="5">
      <t>メイ</t>
    </rPh>
    <rPh sb="6" eb="9">
      <t>ブツリメイ</t>
    </rPh>
    <phoneticPr fontId="1"/>
  </si>
  <si>
    <t>バッジ名(物理名)</t>
    <rPh sb="3" eb="4">
      <t>メイ</t>
    </rPh>
    <phoneticPr fontId="1"/>
  </si>
  <si>
    <t>バッジ名(論理名)</t>
    <rPh sb="3" eb="4">
      <t>メイ</t>
    </rPh>
    <phoneticPr fontId="1"/>
  </si>
  <si>
    <t>いいね</t>
    <phoneticPr fontId="1"/>
  </si>
  <si>
    <t>int</t>
    <phoneticPr fontId="1"/>
  </si>
  <si>
    <t>Vtuberプロフィール</t>
    <phoneticPr fontId="1"/>
  </si>
  <si>
    <t>ラベル名</t>
    <rPh sb="3" eb="4">
      <t>メイ</t>
    </rPh>
    <phoneticPr fontId="1"/>
  </si>
  <si>
    <t>SNSアイコン</t>
    <phoneticPr fontId="1"/>
  </si>
  <si>
    <t>SVG</t>
    <phoneticPr fontId="1"/>
  </si>
  <si>
    <t>SVG形式</t>
    <rPh sb="3" eb="5">
      <t>ケイシキ</t>
    </rPh>
    <phoneticPr fontId="1"/>
  </si>
  <si>
    <t>選択なしも含む</t>
    <rPh sb="0" eb="2">
      <t>センタク</t>
    </rPh>
    <rPh sb="5" eb="6">
      <t>フク</t>
    </rPh>
    <phoneticPr fontId="1"/>
  </si>
  <si>
    <t>運営状態</t>
    <rPh sb="0" eb="4">
      <t>ウンエイジョウタイ</t>
    </rPh>
    <phoneticPr fontId="1"/>
  </si>
  <si>
    <t>所属説明</t>
    <rPh sb="0" eb="4">
      <t>ショゾクセツメイ</t>
    </rPh>
    <phoneticPr fontId="1"/>
  </si>
  <si>
    <t>ページ編集者</t>
    <rPh sb="3" eb="6">
      <t>ヘンシュウシャ</t>
    </rPh>
    <phoneticPr fontId="1"/>
  </si>
  <si>
    <t>画面入力必須</t>
    <rPh sb="0" eb="6">
      <t>ガメンニュウリョクヒッス</t>
    </rPh>
    <phoneticPr fontId="1"/>
  </si>
  <si>
    <t>BBS</t>
    <phoneticPr fontId="1"/>
  </si>
  <si>
    <t>ユーザー名</t>
    <rPh sb="4" eb="5">
      <t>メイ</t>
    </rPh>
    <phoneticPr fontId="1"/>
  </si>
  <si>
    <t>問い合わせ</t>
    <rPh sb="0" eb="1">
      <t>ト</t>
    </rPh>
    <rPh sb="2" eb="3">
      <t>ア</t>
    </rPh>
    <phoneticPr fontId="1"/>
  </si>
  <si>
    <t>メールアドレス</t>
    <phoneticPr fontId="1"/>
  </si>
  <si>
    <t>件名</t>
    <rPh sb="0" eb="2">
      <t>ケンメイ</t>
    </rPh>
    <phoneticPr fontId="1"/>
  </si>
  <si>
    <t>問い合わせ内容</t>
    <rPh sb="0" eb="1">
      <t>ト</t>
    </rPh>
    <rPh sb="2" eb="3">
      <t>ア</t>
    </rPh>
    <rPh sb="5" eb="7">
      <t>ナイヨウ</t>
    </rPh>
    <phoneticPr fontId="1"/>
  </si>
  <si>
    <t>優先度</t>
    <rPh sb="0" eb="3">
      <t>ユウセンド</t>
    </rPh>
    <phoneticPr fontId="1"/>
  </si>
  <si>
    <t>対応状況</t>
    <rPh sb="0" eb="4">
      <t>タイオウジョウキョウ</t>
    </rPh>
    <phoneticPr fontId="1"/>
  </si>
  <si>
    <t>email</t>
    <phoneticPr fontId="1"/>
  </si>
  <si>
    <t>優先度(物理名)</t>
    <rPh sb="0" eb="3">
      <t>ユウセンド</t>
    </rPh>
    <phoneticPr fontId="1"/>
  </si>
  <si>
    <t>対応状況(物理名)</t>
    <rPh sb="0" eb="4">
      <t>タイオウジョウキョウ</t>
    </rPh>
    <phoneticPr fontId="1"/>
  </si>
  <si>
    <t>優先度(論理名)</t>
    <rPh sb="0" eb="3">
      <t>ユウセンド</t>
    </rPh>
    <phoneticPr fontId="1"/>
  </si>
  <si>
    <t>対応状況(論理名)</t>
    <rPh sb="0" eb="4">
      <t>タイオウジョウキョウ</t>
    </rPh>
    <phoneticPr fontId="1"/>
  </si>
  <si>
    <t>表示言語</t>
    <rPh sb="0" eb="4">
      <t>ヒョウジゲンゴ</t>
    </rPh>
    <phoneticPr fontId="1"/>
  </si>
  <si>
    <t>表示言語(物理名)</t>
    <rPh sb="0" eb="4">
      <t>ヒョウジゲンゴ</t>
    </rPh>
    <phoneticPr fontId="1"/>
  </si>
  <si>
    <t>表示言語(論理名)</t>
    <rPh sb="0" eb="4">
      <t>ヒョウジゲンゴ</t>
    </rPh>
    <phoneticPr fontId="1"/>
  </si>
  <si>
    <t>言語画像</t>
    <rPh sb="0" eb="2">
      <t>ゲンゴ</t>
    </rPh>
    <rPh sb="2" eb="4">
      <t>ガゾウ</t>
    </rPh>
    <phoneticPr fontId="1"/>
  </si>
  <si>
    <t>有効フラグ</t>
    <rPh sb="0" eb="2">
      <t>ユウコウ</t>
    </rPh>
    <phoneticPr fontId="1"/>
  </si>
  <si>
    <t>bool</t>
    <phoneticPr fontId="1"/>
  </si>
  <si>
    <t>画面文言</t>
    <rPh sb="0" eb="4">
      <t>ガメンモンゴン</t>
    </rPh>
    <phoneticPr fontId="1"/>
  </si>
  <si>
    <t>文言</t>
    <rPh sb="0" eb="2">
      <t>モンゴン</t>
    </rPh>
    <phoneticPr fontId="1"/>
  </si>
  <si>
    <t>ログインサービス</t>
    <phoneticPr fontId="1"/>
  </si>
  <si>
    <t>サービス名(論理名)</t>
    <rPh sb="4" eb="5">
      <t>メイ</t>
    </rPh>
    <phoneticPr fontId="1"/>
  </si>
  <si>
    <t>サービス名(物理名)</t>
    <rPh sb="4" eb="5">
      <t>メイ</t>
    </rPh>
    <phoneticPr fontId="1"/>
  </si>
  <si>
    <t>作成日</t>
    <phoneticPr fontId="1"/>
  </si>
  <si>
    <t>作成ユーザー</t>
    <phoneticPr fontId="1"/>
  </si>
  <si>
    <t>更新日</t>
    <phoneticPr fontId="1"/>
  </si>
  <si>
    <t>更新ユーザー</t>
    <phoneticPr fontId="1"/>
  </si>
  <si>
    <t>論理削除フラグ</t>
    <phoneticPr fontId="1"/>
  </si>
  <si>
    <t>物理削除フラグ</t>
    <phoneticPr fontId="1"/>
  </si>
  <si>
    <t>通報件数</t>
    <rPh sb="0" eb="4">
      <t>ツウホウケンスウ</t>
    </rPh>
    <phoneticPr fontId="1"/>
  </si>
  <si>
    <t>プロフィール通報</t>
    <rPh sb="6" eb="8">
      <t>ツウホウ</t>
    </rPh>
    <phoneticPr fontId="1"/>
  </si>
  <si>
    <t>通報理由</t>
    <rPh sb="0" eb="4">
      <t>ツウホウリユウ</t>
    </rPh>
    <phoneticPr fontId="1"/>
  </si>
  <si>
    <t>詳細</t>
    <rPh sb="0" eb="2">
      <t>ショウサイ</t>
    </rPh>
    <phoneticPr fontId="1"/>
  </si>
  <si>
    <t>通報日時</t>
    <rPh sb="0" eb="4">
      <t>ツウホウニチジ</t>
    </rPh>
    <phoneticPr fontId="1"/>
  </si>
  <si>
    <t>通報理由</t>
    <phoneticPr fontId="1"/>
  </si>
  <si>
    <t>通報理由(物理名)</t>
    <phoneticPr fontId="1"/>
  </si>
  <si>
    <t>通報理由(論理名)</t>
    <phoneticPr fontId="1"/>
  </si>
  <si>
    <t>画面非表示フラグ</t>
    <rPh sb="0" eb="2">
      <t>ガメン</t>
    </rPh>
    <rPh sb="2" eb="3">
      <t>ヒ</t>
    </rPh>
    <rPh sb="3" eb="5">
      <t>ヒョウジ</t>
    </rPh>
    <phoneticPr fontId="1"/>
  </si>
  <si>
    <t>登録日</t>
    <rPh sb="0" eb="3">
      <t>トウロクビ</t>
    </rPh>
    <phoneticPr fontId="1"/>
  </si>
  <si>
    <t>ほかのユーザーからの獲得いいね数</t>
    <phoneticPr fontId="1"/>
  </si>
  <si>
    <t>VTuber本人からのいいね数</t>
    <phoneticPr fontId="1"/>
  </si>
  <si>
    <t>あなたがいいねしたVtuber数</t>
    <phoneticPr fontId="1"/>
  </si>
  <si>
    <t>あなたがページ編集者にいいねした数</t>
    <phoneticPr fontId="1"/>
  </si>
  <si>
    <t>いいねしたVtuber</t>
    <phoneticPr fontId="1"/>
  </si>
  <si>
    <t>あなたの編集をいいねしたVtuber</t>
    <phoneticPr fontId="1"/>
  </si>
  <si>
    <t>最近あなたが編集したVtuber</t>
    <phoneticPr fontId="1"/>
  </si>
  <si>
    <t>コメント履歴</t>
    <rPh sb="4" eb="6">
      <t>リレキ</t>
    </rPh>
    <phoneticPr fontId="1"/>
  </si>
  <si>
    <t>画面テーマ</t>
    <rPh sb="0" eb="2">
      <t>ガメン</t>
    </rPh>
    <phoneticPr fontId="1"/>
  </si>
  <si>
    <t>表示言語</t>
    <rPh sb="0" eb="2">
      <t>ヒョウジ</t>
    </rPh>
    <rPh sb="2" eb="4">
      <t>ゲンゴ</t>
    </rPh>
    <phoneticPr fontId="1"/>
  </si>
  <si>
    <t>画面テーマ</t>
    <phoneticPr fontId="1"/>
  </si>
  <si>
    <t>画面テーマ(物理名)</t>
    <phoneticPr fontId="1"/>
  </si>
  <si>
    <t>画面テーマ(論理名)</t>
    <phoneticPr fontId="1"/>
  </si>
  <si>
    <t>group</t>
    <phoneticPr fontId="1"/>
  </si>
  <si>
    <t>tag</t>
    <phoneticPr fontId="1"/>
  </si>
  <si>
    <t>badge</t>
    <phoneticPr fontId="1"/>
  </si>
  <si>
    <t>activity_status</t>
    <phoneticPr fontId="1"/>
  </si>
  <si>
    <t>sns_link</t>
    <phoneticPr fontId="1"/>
  </si>
  <si>
    <t>bbs_res</t>
    <phoneticPr fontId="1"/>
  </si>
  <si>
    <t>page_author</t>
    <phoneticPr fontId="1"/>
  </si>
  <si>
    <t>contact</t>
    <phoneticPr fontId="1"/>
  </si>
  <si>
    <t>priority</t>
    <phoneticPr fontId="1"/>
  </si>
  <si>
    <t>response_status</t>
    <phoneticPr fontId="1"/>
  </si>
  <si>
    <t>language</t>
    <phoneticPr fontId="1"/>
  </si>
  <si>
    <t>screen_word</t>
    <phoneticPr fontId="1"/>
  </si>
  <si>
    <t>profile_report</t>
    <phoneticPr fontId="1"/>
  </si>
  <si>
    <t>report_reason</t>
    <phoneticPr fontId="1"/>
  </si>
  <si>
    <t>user</t>
    <phoneticPr fontId="1"/>
  </si>
  <si>
    <t>theme</t>
    <phoneticPr fontId="1"/>
  </si>
  <si>
    <t>テーブル名(物理名)</t>
    <rPh sb="4" eb="5">
      <t>メイ</t>
    </rPh>
    <rPh sb="6" eb="9">
      <t>ブツリメイ</t>
    </rPh>
    <phoneticPr fontId="1"/>
  </si>
  <si>
    <t>テーブル名(論理名)</t>
    <rPh sb="4" eb="5">
      <t>メイ</t>
    </rPh>
    <rPh sb="6" eb="9">
      <t>ロンリメイ</t>
    </rPh>
    <phoneticPr fontId="1"/>
  </si>
  <si>
    <t>vtuber_profiles</t>
    <phoneticPr fontId="1"/>
  </si>
  <si>
    <t>カラム名(物理名)</t>
    <rPh sb="3" eb="4">
      <t>メイ</t>
    </rPh>
    <rPh sb="5" eb="7">
      <t>ブツリ</t>
    </rPh>
    <rPh sb="7" eb="8">
      <t>メイ</t>
    </rPh>
    <phoneticPr fontId="1"/>
  </si>
  <si>
    <t>カラム名(論理名)</t>
    <rPh sb="3" eb="4">
      <t>メイ</t>
    </rPh>
    <rPh sb="5" eb="7">
      <t>ロンリ</t>
    </rPh>
    <rPh sb="7" eb="8">
      <t>メイ</t>
    </rPh>
    <phoneticPr fontId="1"/>
  </si>
  <si>
    <t>デフォルト</t>
    <phoneticPr fontId="1"/>
  </si>
  <si>
    <t>説明</t>
    <phoneticPr fontId="1"/>
  </si>
  <si>
    <t>No</t>
    <phoneticPr fontId="1"/>
  </si>
  <si>
    <t>修正項目</t>
    <rPh sb="0" eb="2">
      <t>シュウセイ</t>
    </rPh>
    <rPh sb="2" eb="4">
      <t>コウモク</t>
    </rPh>
    <phoneticPr fontId="1"/>
  </si>
  <si>
    <t>修正前</t>
    <rPh sb="0" eb="2">
      <t>シュウセイ</t>
    </rPh>
    <rPh sb="2" eb="3">
      <t>マエ</t>
    </rPh>
    <phoneticPr fontId="1"/>
  </si>
  <si>
    <t>修正後</t>
    <rPh sb="0" eb="2">
      <t>シュウセイ</t>
    </rPh>
    <rPh sb="2" eb="3">
      <t>ノチ</t>
    </rPh>
    <phoneticPr fontId="1"/>
  </si>
  <si>
    <t>修正日時</t>
    <rPh sb="0" eb="2">
      <t>シュウセイ</t>
    </rPh>
    <rPh sb="2" eb="4">
      <t>ニチジ</t>
    </rPh>
    <phoneticPr fontId="1"/>
  </si>
  <si>
    <t>通報数</t>
    <rPh sb="0" eb="3">
      <t>ツウホウスウ</t>
    </rPh>
    <phoneticPr fontId="1"/>
  </si>
  <si>
    <t>uuid</t>
  </si>
  <si>
    <t>uuid</t>
    <phoneticPr fontId="1"/>
  </si>
  <si>
    <t>非NULL</t>
    <rPh sb="0" eb="1">
      <t>ヒ</t>
    </rPh>
    <phoneticPr fontId="1"/>
  </si>
  <si>
    <t>Unique</t>
    <phoneticPr fontId="1"/>
  </si>
  <si>
    <t>create_datetime</t>
    <phoneticPr fontId="1"/>
  </si>
  <si>
    <t>datetime</t>
  </si>
  <si>
    <t>削除して自動計算に変更するかも</t>
    <rPh sb="0" eb="2">
      <t>サクジョ</t>
    </rPh>
    <rPh sb="4" eb="6">
      <t>ジドウ</t>
    </rPh>
    <rPh sb="6" eb="8">
      <t>ケイサン</t>
    </rPh>
    <rPh sb="9" eb="11">
      <t>ヘンコウ</t>
    </rPh>
    <phoneticPr fontId="1"/>
  </si>
  <si>
    <t>create_user</t>
    <phoneticPr fontId="1"/>
  </si>
  <si>
    <t>update_datetime</t>
    <phoneticPr fontId="1"/>
  </si>
  <si>
    <t>update_user</t>
    <phoneticPr fontId="1"/>
  </si>
  <si>
    <t>soft_delete_flag</t>
    <phoneticPr fontId="1"/>
  </si>
  <si>
    <t>hard_delete_flag</t>
    <phoneticPr fontId="1"/>
  </si>
  <si>
    <t>gen_random_uuid()</t>
    <phoneticPr fontId="1"/>
  </si>
  <si>
    <t>CURRENT_TIMESTAMP</t>
    <phoneticPr fontId="1"/>
  </si>
  <si>
    <t>CURRENT_USER</t>
    <phoneticPr fontId="1"/>
  </si>
  <si>
    <t>varchar(32)</t>
    <phoneticPr fontId="1"/>
  </si>
  <si>
    <t>物理名を保存</t>
    <rPh sb="0" eb="3">
      <t>ブツリメイ</t>
    </rPh>
    <rPh sb="4" eb="6">
      <t>ホゾン</t>
    </rPh>
    <phoneticPr fontId="1"/>
  </si>
  <si>
    <t>設計完了</t>
    <rPh sb="0" eb="4">
      <t>セッケイカンリョウ</t>
    </rPh>
    <phoneticPr fontId="1"/>
  </si>
  <si>
    <t>〇</t>
  </si>
  <si>
    <t>〇</t>
    <phoneticPr fontId="1"/>
  </si>
  <si>
    <t>分類</t>
    <rPh sb="0" eb="2">
      <t>ブンルイ</t>
    </rPh>
    <phoneticPr fontId="1"/>
  </si>
  <si>
    <t>プロフィール本体</t>
    <rPh sb="6" eb="8">
      <t>ホンタイ</t>
    </rPh>
    <phoneticPr fontId="1"/>
  </si>
  <si>
    <t>コンテンツ(動的)</t>
    <rPh sb="6" eb="8">
      <t>ドウテキ</t>
    </rPh>
    <phoneticPr fontId="1"/>
  </si>
  <si>
    <t>システム管理(静的)</t>
    <rPh sb="7" eb="9">
      <t>セイテキ</t>
    </rPh>
    <phoneticPr fontId="1"/>
  </si>
  <si>
    <t>サイト全体のテーマ設定。ライトテーマ、ダークテーマ、プロフィール帳テーマなど</t>
    <rPh sb="3" eb="5">
      <t>ゼンタイ</t>
    </rPh>
    <rPh sb="9" eb="11">
      <t>セッテイ</t>
    </rPh>
    <rPh sb="32" eb="33">
      <t>チョウ</t>
    </rPh>
    <phoneticPr fontId="1"/>
  </si>
  <si>
    <t>通報の報告理由のプルダウン定義。</t>
    <rPh sb="0" eb="2">
      <t>ツウホウ</t>
    </rPh>
    <rPh sb="3" eb="5">
      <t>ホウコク</t>
    </rPh>
    <rPh sb="5" eb="7">
      <t>リユウ</t>
    </rPh>
    <rPh sb="13" eb="15">
      <t>テイギ</t>
    </rPh>
    <phoneticPr fontId="1"/>
  </si>
  <si>
    <t>user_role</t>
    <phoneticPr fontId="1"/>
  </si>
  <si>
    <t>ユーザー権限</t>
    <rPh sb="4" eb="6">
      <t>ケンゲン</t>
    </rPh>
    <phoneticPr fontId="1"/>
  </si>
  <si>
    <t>ユーザー権限(物理名)</t>
    <phoneticPr fontId="1"/>
  </si>
  <si>
    <t>ユーザー権限(論理名)</t>
    <phoneticPr fontId="1"/>
  </si>
  <si>
    <t>varchar(8)</t>
    <phoneticPr fontId="1"/>
  </si>
  <si>
    <t>https://qiita.com/hk_arc/items/0474d28bc8620571db3c</t>
    <phoneticPr fontId="1"/>
  </si>
  <si>
    <t>カテゴリ</t>
  </si>
  <si>
    <t>データ型</t>
  </si>
  <si>
    <t>格納サイズ</t>
  </si>
  <si>
    <t>範囲</t>
  </si>
  <si>
    <t>用途例</t>
  </si>
  <si>
    <t>数値型</t>
  </si>
  <si>
    <t>smallint</t>
  </si>
  <si>
    <t>2バイト</t>
  </si>
  <si>
    <t>-32,768 から +32,767</t>
  </si>
  <si>
    <t>小規模なIDやカウンターに適用</t>
  </si>
  <si>
    <t>integer</t>
  </si>
  <si>
    <t>4バイト</t>
  </si>
  <si>
    <t>-2,147,483,648 から +2,147,483,647</t>
  </si>
  <si>
    <t>一般的な数値計算や中規模のIDに使用</t>
  </si>
  <si>
    <t>8バイト</t>
  </si>
  <si>
    <t>-9,223,372,036,854,775,808 から 9,223,372,036,854,775,807</t>
  </si>
  <si>
    <t>大規模なデータベースのIDや大規模な数値計算に使用</t>
  </si>
  <si>
    <t>decimal</t>
  </si>
  <si>
    <t>可変長</t>
  </si>
  <si>
    <t>小数点前までは131072桁、小数点以降は16383桁</t>
  </si>
  <si>
    <t>金融取引や高精度計算に使用</t>
  </si>
  <si>
    <t>numeric</t>
  </si>
  <si>
    <t>同上</t>
  </si>
  <si>
    <t>real</t>
  </si>
  <si>
    <t>6桁精度</t>
  </si>
  <si>
    <t>科学技術計算での近似値計算に使用</t>
  </si>
  <si>
    <t>double precision</t>
  </si>
  <si>
    <t>15桁精度</t>
  </si>
  <si>
    <t>高精度な科学技術計算に使用</t>
  </si>
  <si>
    <t>smallserial</t>
  </si>
  <si>
    <t>1から32,767</t>
  </si>
  <si>
    <t>自動生成される小規模な連続IDに使用</t>
  </si>
  <si>
    <t>serial</t>
  </si>
  <si>
    <t>1から2,147,483,647</t>
  </si>
  <si>
    <t>自動生成される中規模の連続IDに使用</t>
  </si>
  <si>
    <t>bigserial</t>
  </si>
  <si>
    <t>1から9,223,372,036,854,775,807</t>
  </si>
  <si>
    <t>自動生成される大規模な連続IDに使用</t>
  </si>
  <si>
    <t>通貨型</t>
  </si>
  <si>
    <t>money</t>
  </si>
  <si>
    <t>-922,337,203,685,477.5808 から 922,337,203,685,477.5807</t>
  </si>
  <si>
    <t>金融取引の金額や費用の格納に使用</t>
  </si>
  <si>
    <t>文字列型</t>
  </si>
  <si>
    <t>character(n), char(n)</t>
  </si>
  <si>
    <t>nバイト</t>
  </si>
  <si>
    <t>固定長n文字</t>
  </si>
  <si>
    <t>固定長のデータ、例えば性別、国コードなど</t>
  </si>
  <si>
    <t>character varying(n), varchar(n)</t>
  </si>
  <si>
    <t>最大nバイト</t>
  </si>
  <si>
    <t>最大n文字</t>
  </si>
  <si>
    <t>可変長データ、例えば名前、住所など</t>
  </si>
  <si>
    <t>text</t>
  </si>
  <si>
    <t>無制限</t>
  </si>
  <si>
    <t>長いテキストデータ、例えば記事内容、コメント</t>
  </si>
  <si>
    <t>日付/時刻型</t>
  </si>
  <si>
    <t>timestamp [ (p) ] [ without time zone ]</t>
  </si>
  <si>
    <t>4713 BCから294276 AD</t>
  </si>
  <si>
    <t>歴史的または将来のイベントの日時の記録</t>
  </si>
  <si>
    <t>timestamp [ (p) ] with time zone</t>
  </si>
  <si>
    <t>グローバルで発生するイベントの時間を地域別に記録</t>
  </si>
  <si>
    <t>4713 BCから5874897 AD</t>
  </si>
  <si>
    <t>日付のみが必要な場合（例：生年月日）</t>
  </si>
  <si>
    <t>time [ (p) ] [ without time zone ]</t>
  </si>
  <si>
    <t>00:00:00から24:00:00</t>
  </si>
  <si>
    <t>日々のスケジュールや業務時間の管理</t>
  </si>
  <si>
    <t>time [ (p) ] with time zone</t>
  </si>
  <si>
    <t>12バイト</t>
  </si>
  <si>
    <t>00:00:00+1459から24:00:00-1459</t>
  </si>
  <si>
    <t>タイムゾーンを考慮した正確な時刻記録</t>
  </si>
  <si>
    <t>interval [ fields ] [ (p) ]</t>
  </si>
  <si>
    <t>-178000000年から178000000年</t>
  </si>
  <si>
    <t>時間の経過、期間の測定（例：保証期間、契約期間）</t>
  </si>
  <si>
    <t>論理型</t>
  </si>
  <si>
    <t>boolean</t>
  </si>
  <si>
    <t>1バイト</t>
  </si>
  <si>
    <t>true/false</t>
  </si>
  <si>
    <t>フラグ、条件式の結果</t>
  </si>
  <si>
    <t>JSON型</t>
  </si>
  <si>
    <t>json</t>
  </si>
  <si>
    <t>設定データ、動的フォームデータ</t>
  </si>
  <si>
    <t>jsonb</t>
  </si>
  <si>
    <t>インデックス付きJSONデータ</t>
  </si>
  <si>
    <t>幾何データ型</t>
  </si>
  <si>
    <t>point</t>
  </si>
  <si>
    <t>16バイト</t>
  </si>
  <si>
    <t>(x, y)</t>
  </si>
  <si>
    <t>地図上の特定の位置を表す</t>
  </si>
  <si>
    <t>line</t>
  </si>
  <si>
    <t>32バイト</t>
  </si>
  <si>
    <t>((x1, y1), (x2, y2))</t>
  </si>
  <si>
    <t>無限に伸びる直線を表現（完全には実装されていない）</t>
  </si>
  <si>
    <t>lseg</t>
  </si>
  <si>
    <t>有限の線分を表す</t>
  </si>
  <si>
    <t>box</t>
  </si>
  <si>
    <t>矩形を表現するために使用</t>
  </si>
  <si>
    <t>path</t>
  </si>
  <si>
    <t>16 + 16nバイト</t>
  </si>
  <si>
    <t>閉経路：((x1, y1), ...)</t>
  </si>
  <si>
    <t>閉じた多角形のパスを表現する</t>
  </si>
  <si>
    <t>開経路：[(x1, y1), ...]</t>
  </si>
  <si>
    <t>開いた経路のパスを表現する</t>
  </si>
  <si>
    <t>polygon</t>
  </si>
  <si>
    <t>40 + 16nバイト</t>
  </si>
  <si>
    <t>((x1, y1), ...)</t>
  </si>
  <si>
    <t>多角形を表現する</t>
  </si>
  <si>
    <t>circle</t>
  </si>
  <si>
    <t>24バイト</t>
  </si>
  <si>
    <t>&lt;(x, y), r&gt;（中心と半径）</t>
  </si>
  <si>
    <t>円を表現するために使用</t>
  </si>
  <si>
    <t>ネットワーク型</t>
  </si>
  <si>
    <t>cidr</t>
  </si>
  <si>
    <t>7もしくは19バイト</t>
  </si>
  <si>
    <t>IPv4、およびIPv6ネットワーク</t>
  </si>
  <si>
    <t>IPアドレスブロックの管理、ネットワーク計画</t>
  </si>
  <si>
    <t>inet</t>
  </si>
  <si>
    <t>IPv4もしくはIPv6ホスト、およびネットワーク</t>
  </si>
  <si>
    <t>個別のIPアドレスおよびそのネットワークマスクの記録</t>
  </si>
  <si>
    <t>macaddr</t>
  </si>
  <si>
    <t>6バイト</t>
  </si>
  <si>
    <t>MACアドレス</t>
  </si>
  <si>
    <t>ネットワークハードウェアの識別</t>
  </si>
  <si>
    <t>ビット列型</t>
  </si>
  <si>
    <t>nビット</t>
  </si>
  <si>
    <t>固定長nビット</t>
  </si>
  <si>
    <t>フラグ、ビットマスク、固定長ビットデータの格納</t>
  </si>
  <si>
    <t>bit varying(n)</t>
  </si>
  <si>
    <t>最大nビット</t>
  </si>
  <si>
    <t>可変長最大nビット</t>
  </si>
  <si>
    <t>可変長のビットデータの格納</t>
  </si>
  <si>
    <t>テキスト検索型</t>
  </si>
  <si>
    <t>tsvector</t>
  </si>
  <si>
    <t>ドキュメントの正規化された単語のリストを格納</t>
  </si>
  <si>
    <t>tsquery</t>
  </si>
  <si>
    <t>検索クエリを表す、正規化された単語と論理演算子の組み合わせ</t>
  </si>
  <si>
    <t>regconfig</t>
  </si>
  <si>
    <t>テキスト検索の設定を指定するための型</t>
  </si>
  <si>
    <t>地理空間型</t>
  </si>
  <si>
    <t>geometry</t>
  </si>
  <si>
    <t>地理空間データ (PostGIS拡張で利用)</t>
  </si>
  <si>
    <t>地理情報システム(GIS)のデータ管理</t>
  </si>
  <si>
    <t>UUID型</t>
  </si>
  <si>
    <t>ユニバーサル一意識別子</t>
  </si>
  <si>
    <t>システム全体で一意なIDの生成</t>
  </si>
  <si>
    <t>XML型</t>
  </si>
  <si>
    <t>xml</t>
  </si>
  <si>
    <t>XMLデータ</t>
  </si>
  <si>
    <t>XMLデータの格納と交換</t>
  </si>
  <si>
    <t>列挙型</t>
  </si>
  <si>
    <t>enum</t>
  </si>
  <si>
    <t>列挙型（指定された入力値のみ許容）</t>
  </si>
  <si>
    <t>ステータス、カテゴリ</t>
  </si>
  <si>
    <t>配列型</t>
  </si>
  <si>
    <t>array</t>
  </si>
  <si>
    <t>同一データ型の要素を持つ可変長配列</t>
  </si>
  <si>
    <t>複数の電話番号、趣味リスト</t>
  </si>
  <si>
    <t>範囲型</t>
  </si>
  <si>
    <t>int4range</t>
  </si>
  <si>
    <t>整数の範囲</t>
  </si>
  <si>
    <t>数値範囲を指定する場合、例えば商品の価格範囲</t>
  </si>
  <si>
    <t>int8range</t>
  </si>
  <si>
    <t>大きな整数の範囲</t>
  </si>
  <si>
    <t>データベースにおける大量の数値データの範囲指定</t>
  </si>
  <si>
    <t>numrange</t>
  </si>
  <si>
    <t>数値の範囲</t>
  </si>
  <si>
    <t>金融取引における金額の範囲指定</t>
  </si>
  <si>
    <t>tsrange</t>
  </si>
  <si>
    <t>タイムスタンプの範囲</t>
  </si>
  <si>
    <t>期間を指定するイベントや予約システム</t>
  </si>
  <si>
    <t>tstzrange</t>
  </si>
  <si>
    <t>タイムゾーン付きタイムスタンプの範囲</t>
  </si>
  <si>
    <t>グローバルなイベントのスケジュール管理</t>
  </si>
  <si>
    <t>daterange</t>
  </si>
  <si>
    <t>日付の範囲</t>
  </si>
  <si>
    <t>教育機関における学期や休暇期間の管理</t>
  </si>
  <si>
    <t>bigint</t>
    <phoneticPr fontId="1"/>
  </si>
  <si>
    <r>
      <rPr>
        <b/>
        <sz val="13"/>
        <color theme="1"/>
        <rFont val="ＭＳ ゴシック"/>
        <family val="3"/>
        <charset val="128"/>
      </rPr>
      <t>格納サイズ</t>
    </r>
    <r>
      <rPr>
        <b/>
        <sz val="13"/>
        <color theme="1"/>
        <rFont val="Segoe UI"/>
        <family val="2"/>
      </rPr>
      <t>(bit)</t>
    </r>
    <phoneticPr fontId="1"/>
  </si>
  <si>
    <r>
      <rPr>
        <b/>
        <sz val="13"/>
        <color theme="1"/>
        <rFont val="ＭＳ ゴシック"/>
        <family val="3"/>
        <charset val="128"/>
      </rPr>
      <t>格納サイズ</t>
    </r>
    <r>
      <rPr>
        <b/>
        <sz val="13"/>
        <color theme="1"/>
        <rFont val="Segoe UI"/>
        <family val="2"/>
      </rPr>
      <t>(byte)</t>
    </r>
    <phoneticPr fontId="1"/>
  </si>
  <si>
    <t>bit数</t>
    <rPh sb="3" eb="4">
      <t>スウ</t>
    </rPh>
    <phoneticPr fontId="1"/>
  </si>
  <si>
    <t>1レコード当たりの容量[bit]</t>
    <rPh sb="5" eb="6">
      <t>ア</t>
    </rPh>
    <rPh sb="9" eb="11">
      <t>ヨウリョウ</t>
    </rPh>
    <phoneticPr fontId="1"/>
  </si>
  <si>
    <t>timestamp</t>
    <phoneticPr fontId="1"/>
  </si>
  <si>
    <t>bit(n)</t>
    <phoneticPr fontId="1"/>
  </si>
  <si>
    <t>bit(1)</t>
    <phoneticPr fontId="1"/>
  </si>
  <si>
    <t>ユーザーに紐づく権限。管理者、Vtuber、一般など</t>
    <rPh sb="5" eb="6">
      <t>ヒモ</t>
    </rPh>
    <rPh sb="8" eb="10">
      <t>ケンゲン</t>
    </rPh>
    <rPh sb="11" eb="14">
      <t>カンリシャ</t>
    </rPh>
    <rPh sb="22" eb="24">
      <t>イッパン</t>
    </rPh>
    <phoneticPr fontId="1"/>
  </si>
  <si>
    <t>Vtuber本人や管理者も含めたユーザー情報</t>
    <rPh sb="6" eb="8">
      <t>ホンニン</t>
    </rPh>
    <rPh sb="9" eb="12">
      <t>カンリシャ</t>
    </rPh>
    <rPh sb="13" eb="14">
      <t>フク</t>
    </rPh>
    <rPh sb="20" eb="22">
      <t>ジョウホウ</t>
    </rPh>
    <phoneticPr fontId="1"/>
  </si>
  <si>
    <t>ユーザーからの通報情報。どういった通報であるかを管理</t>
    <rPh sb="7" eb="11">
      <t>ツウホウジョウホウ</t>
    </rPh>
    <rPh sb="17" eb="19">
      <t>ツウホウ</t>
    </rPh>
    <rPh sb="24" eb="26">
      <t>カンリ</t>
    </rPh>
    <phoneticPr fontId="1"/>
  </si>
  <si>
    <t>多言語化対応で削除予定。よく見られているVtuber、新人Vtuber、最近更新されたVTuber</t>
    <rPh sb="0" eb="4">
      <t>タゲンゴカ</t>
    </rPh>
    <rPh sb="4" eb="6">
      <t>タイオウ</t>
    </rPh>
    <rPh sb="7" eb="9">
      <t>サクジョ</t>
    </rPh>
    <rPh sb="9" eb="11">
      <t>ヨテイ</t>
    </rPh>
    <rPh sb="14" eb="15">
      <t>ミ</t>
    </rPh>
    <rPh sb="27" eb="29">
      <t>シンジン</t>
    </rPh>
    <rPh sb="36" eb="38">
      <t>サイキン</t>
    </rPh>
    <rPh sb="38" eb="40">
      <t>コウシン</t>
    </rPh>
    <phoneticPr fontId="1"/>
  </si>
  <si>
    <t>多言語化対応で削除予定。活動開始前(VTuber準備中)、活動中、卒業済み</t>
    <phoneticPr fontId="1"/>
  </si>
  <si>
    <t>多言語化対応で削除予定。</t>
    <phoneticPr fontId="1"/>
  </si>
  <si>
    <t>管理者向けのため、多言語化対応で削除しない</t>
    <rPh sb="0" eb="4">
      <t>カンリシャム</t>
    </rPh>
    <phoneticPr fontId="1"/>
  </si>
  <si>
    <t>画面表示する単語全般やプルダウン、バッジなどの中身を定義する。表示言語ごとに用意する</t>
    <rPh sb="0" eb="4">
      <t>ガメンヒョウジ</t>
    </rPh>
    <rPh sb="6" eb="8">
      <t>タンゴ</t>
    </rPh>
    <rPh sb="8" eb="10">
      <t>ゼンパン</t>
    </rPh>
    <rPh sb="23" eb="25">
      <t>ナカミ</t>
    </rPh>
    <rPh sb="26" eb="28">
      <t>テイギ</t>
    </rPh>
    <rPh sb="31" eb="35">
      <t>ヒョウジゲンゴ</t>
    </rPh>
    <rPh sb="38" eb="40">
      <t>ヨウイ</t>
    </rPh>
    <phoneticPr fontId="1"/>
  </si>
  <si>
    <t>Webサイトが対応する言語の定義。</t>
    <rPh sb="7" eb="9">
      <t>タイオウ</t>
    </rPh>
    <rPh sb="11" eb="13">
      <t>ゲンゴ</t>
    </rPh>
    <rPh sb="14" eb="16">
      <t>テイギ</t>
    </rPh>
    <phoneticPr fontId="1"/>
  </si>
  <si>
    <t>管理者向け。問い合わせに対する対応状況を管理するためのステータス定義。未対応、対応中など</t>
    <rPh sb="0" eb="4">
      <t>カンリシャム</t>
    </rPh>
    <rPh sb="6" eb="7">
      <t>ト</t>
    </rPh>
    <rPh sb="8" eb="9">
      <t>ア</t>
    </rPh>
    <rPh sb="12" eb="13">
      <t>タイ</t>
    </rPh>
    <rPh sb="15" eb="19">
      <t>タイオウジョウキョウ</t>
    </rPh>
    <rPh sb="20" eb="22">
      <t>カンリ</t>
    </rPh>
    <rPh sb="32" eb="34">
      <t>テイギ</t>
    </rPh>
    <rPh sb="35" eb="38">
      <t>ミタイオウ</t>
    </rPh>
    <rPh sb="39" eb="42">
      <t>タイオウナカ</t>
    </rPh>
    <phoneticPr fontId="1"/>
  </si>
  <si>
    <t>管理者向け。問い合わせに対する優先度を管理するためのステータス定義。最優先、優先度低など</t>
    <rPh sb="0" eb="4">
      <t>カンリシャム</t>
    </rPh>
    <rPh sb="6" eb="7">
      <t>ト</t>
    </rPh>
    <rPh sb="8" eb="9">
      <t>ア</t>
    </rPh>
    <rPh sb="12" eb="13">
      <t>タイ</t>
    </rPh>
    <rPh sb="15" eb="18">
      <t>ユウセンド</t>
    </rPh>
    <rPh sb="19" eb="21">
      <t>カンリ</t>
    </rPh>
    <rPh sb="31" eb="33">
      <t>テイギ</t>
    </rPh>
    <rPh sb="34" eb="37">
      <t>サイユウセン</t>
    </rPh>
    <rPh sb="38" eb="41">
      <t>ユウセンド</t>
    </rPh>
    <rPh sb="41" eb="42">
      <t>テイ</t>
    </rPh>
    <phoneticPr fontId="1"/>
  </si>
  <si>
    <t>ユーザーからの問い合わせ情報。問い合わせ内容や連絡先を管理</t>
    <rPh sb="7" eb="8">
      <t>ト</t>
    </rPh>
    <rPh sb="9" eb="10">
      <t>ア</t>
    </rPh>
    <rPh sb="12" eb="14">
      <t>ジョウホウ</t>
    </rPh>
    <rPh sb="15" eb="16">
      <t>ト</t>
    </rPh>
    <rPh sb="17" eb="18">
      <t>ア</t>
    </rPh>
    <rPh sb="20" eb="22">
      <t>ナイヨウ</t>
    </rPh>
    <rPh sb="23" eb="26">
      <t>レンラクサキ</t>
    </rPh>
    <rPh sb="27" eb="29">
      <t>カンリ</t>
    </rPh>
    <phoneticPr fontId="1"/>
  </si>
  <si>
    <t>プロフィールの編集者を管理。編集内容も持つ。</t>
    <rPh sb="7" eb="10">
      <t>ヘンシュウシャ</t>
    </rPh>
    <rPh sb="11" eb="13">
      <t>カンリ</t>
    </rPh>
    <rPh sb="14" eb="16">
      <t>ヘンシュウ</t>
    </rPh>
    <rPh sb="16" eb="18">
      <t>ナイヨウ</t>
    </rPh>
    <rPh sb="19" eb="20">
      <t>モ</t>
    </rPh>
    <phoneticPr fontId="1"/>
  </si>
  <si>
    <t>各Vtuber詳細画面でのチャットのレスを管理。</t>
    <rPh sb="0" eb="1">
      <t>カク</t>
    </rPh>
    <rPh sb="7" eb="11">
      <t>ショウサイガメン</t>
    </rPh>
    <rPh sb="21" eb="23">
      <t>カンリ</t>
    </rPh>
    <phoneticPr fontId="1"/>
  </si>
  <si>
    <t>プロフィールのSNSリンクを管理する。アイコン、ラベル、URLがあるため別テーブルになった</t>
    <rPh sb="14" eb="16">
      <t>カンリ</t>
    </rPh>
    <rPh sb="36" eb="37">
      <t>ベツ</t>
    </rPh>
    <phoneticPr fontId="1"/>
  </si>
  <si>
    <t>Vtuberの所属を管理する。ホロライブ、にじさんじ、個人勢など</t>
    <rPh sb="7" eb="9">
      <t>ショゾク</t>
    </rPh>
    <rPh sb="10" eb="12">
      <t>カンリ</t>
    </rPh>
    <rPh sb="27" eb="30">
      <t>コジンゼイ</t>
    </rPh>
    <phoneticPr fontId="1"/>
  </si>
  <si>
    <t>ユーザーが任意でつけられるタグ。歌ってみた、ゲーム実況、ASMRなど</t>
    <rPh sb="5" eb="7">
      <t>ニンイ</t>
    </rPh>
    <rPh sb="16" eb="17">
      <t>ウタ</t>
    </rPh>
    <rPh sb="25" eb="27">
      <t>ジッキョウ</t>
    </rPh>
    <phoneticPr fontId="1"/>
  </si>
  <si>
    <t>システム的に自動で付与されるバッジを管理する。よく見られているVtuber、新人Vtuber、最近更新されたVtuberなど</t>
    <rPh sb="4" eb="5">
      <t>テキ</t>
    </rPh>
    <rPh sb="6" eb="8">
      <t>ジドウ</t>
    </rPh>
    <rPh sb="9" eb="11">
      <t>フヨ</t>
    </rPh>
    <rPh sb="18" eb="20">
      <t>カンリ</t>
    </rPh>
    <rPh sb="25" eb="26">
      <t>ミ</t>
    </rPh>
    <rPh sb="38" eb="40">
      <t>シンジン</t>
    </rPh>
    <rPh sb="47" eb="49">
      <t>サイキン</t>
    </rPh>
    <rPh sb="49" eb="51">
      <t>コウシン</t>
    </rPh>
    <phoneticPr fontId="1"/>
  </si>
  <si>
    <t>Vtuberの活動状態を管理する。準備中、活動中、休止中、卒業済みなど</t>
    <rPh sb="7" eb="11">
      <t>カツドウジョウタイ</t>
    </rPh>
    <rPh sb="12" eb="14">
      <t>カンリ</t>
    </rPh>
    <rPh sb="17" eb="20">
      <t>ジュンビチュウ</t>
    </rPh>
    <rPh sb="21" eb="24">
      <t>カツドウチュウ</t>
    </rPh>
    <rPh sb="25" eb="28">
      <t>キュウシチュウ</t>
    </rPh>
    <rPh sb="29" eb="32">
      <t>ソツギョウズ</t>
    </rPh>
    <phoneticPr fontId="1"/>
  </si>
  <si>
    <t>user_role_physical_name</t>
    <phoneticPr fontId="1"/>
  </si>
  <si>
    <t>user_role_logical_name</t>
    <phoneticPr fontId="1"/>
  </si>
  <si>
    <t>多言語化対応で削除予定</t>
    <phoneticPr fontId="1"/>
  </si>
  <si>
    <t>varchar(16)</t>
    <phoneticPr fontId="1"/>
  </si>
  <si>
    <t>theme_physical_name</t>
    <phoneticPr fontId="1"/>
  </si>
  <si>
    <t>theme_logical_name</t>
    <phoneticPr fontId="1"/>
  </si>
  <si>
    <t>report_reason_logical_name</t>
    <phoneticPr fontId="1"/>
  </si>
  <si>
    <t>report_reason_physical_name</t>
    <phoneticPr fontId="1"/>
  </si>
  <si>
    <t>x</t>
    <phoneticPr fontId="1"/>
  </si>
  <si>
    <t>priority_physical_name</t>
    <phoneticPr fontId="1"/>
  </si>
  <si>
    <t>priority_logical_name</t>
    <phoneticPr fontId="1"/>
  </si>
  <si>
    <t>varchar(8)</t>
  </si>
  <si>
    <t>response_status_logical_name</t>
    <phoneticPr fontId="1"/>
  </si>
  <si>
    <t>response_status_physical_name</t>
    <phoneticPr fontId="1"/>
  </si>
  <si>
    <t>activity_status_physical_name</t>
    <phoneticPr fontId="1"/>
  </si>
  <si>
    <t>activity_status_logical_name</t>
    <phoneticPr fontId="1"/>
  </si>
  <si>
    <t>badge_logical_name</t>
    <phoneticPr fontId="1"/>
  </si>
  <si>
    <t>badge_physical_name</t>
    <phoneticPr fontId="1"/>
  </si>
  <si>
    <t>varchar(24)</t>
    <phoneticPr fontId="1"/>
  </si>
  <si>
    <t>text</t>
    <phoneticPr fontId="1"/>
  </si>
  <si>
    <t>実際に表示されるワード</t>
    <rPh sb="0" eb="2">
      <t>ジッサイ</t>
    </rPh>
    <rPh sb="3" eb="5">
      <t>ヒョウジ</t>
    </rPh>
    <phoneticPr fontId="1"/>
  </si>
  <si>
    <t>ワードの検索キー</t>
    <rPh sb="4" eb="6">
      <t>ケンサク</t>
    </rPh>
    <phoneticPr fontId="1"/>
  </si>
  <si>
    <t>メッセージID</t>
    <phoneticPr fontId="1"/>
  </si>
  <si>
    <t>message_id</t>
    <phoneticPr fontId="1"/>
  </si>
  <si>
    <t>display_message</t>
    <phoneticPr fontId="1"/>
  </si>
  <si>
    <t>language_physical_name</t>
    <phoneticPr fontId="1"/>
  </si>
  <si>
    <t>language_logical_name</t>
    <phoneticPr fontId="1"/>
  </si>
  <si>
    <t>varchar(64)</t>
    <phoneticPr fontId="1"/>
  </si>
  <si>
    <t>language_image</t>
    <phoneticPr fontId="1"/>
  </si>
  <si>
    <t>uuid</t>
    <phoneticPr fontId="1"/>
  </si>
  <si>
    <t>UUID</t>
    <phoneticPr fontId="1"/>
  </si>
  <si>
    <t>画像ID</t>
    <rPh sb="0" eb="2">
      <t>ガゾウ</t>
    </rPh>
    <phoneticPr fontId="1"/>
  </si>
  <si>
    <t>gcs_bucket</t>
    <phoneticPr fontId="1"/>
  </si>
  <si>
    <t>gcs_object_name</t>
    <phoneticPr fontId="1"/>
  </si>
  <si>
    <t>cdn_url</t>
    <phoneticPr fontId="1"/>
  </si>
  <si>
    <t>content_type</t>
    <phoneticPr fontId="1"/>
  </si>
  <si>
    <t>width</t>
    <phoneticPr fontId="1"/>
  </si>
  <si>
    <t>height</t>
    <phoneticPr fontId="1"/>
  </si>
  <si>
    <t>file_size</t>
    <phoneticPr fontId="1"/>
  </si>
  <si>
    <t>alt_text</t>
    <phoneticPr fontId="1"/>
  </si>
  <si>
    <t>bigserial</t>
    <phoneticPr fontId="1"/>
  </si>
  <si>
    <t>integer</t>
    <phoneticPr fontId="1"/>
  </si>
  <si>
    <t>varchar(100)</t>
    <phoneticPr fontId="1"/>
  </si>
  <si>
    <t>varchar(512)</t>
    <phoneticPr fontId="1"/>
  </si>
  <si>
    <t>varchar(50)</t>
    <phoneticPr fontId="1"/>
  </si>
  <si>
    <t>varchar(255)</t>
    <phoneticPr fontId="1"/>
  </si>
  <si>
    <t>バケット名</t>
    <phoneticPr fontId="1"/>
  </si>
  <si>
    <t>オブジェクトパス</t>
    <phoneticPr fontId="1"/>
  </si>
  <si>
    <t>(例: vtubers/123/icon.webp)</t>
    <phoneticPr fontId="1"/>
  </si>
  <si>
    <t>Cloud CDN経由の配信URL</t>
    <phoneticPr fontId="1"/>
  </si>
  <si>
    <t>image/png, image/webp等</t>
    <phoneticPr fontId="1"/>
  </si>
  <si>
    <t>コンテンツタイプ(拡張子等)</t>
    <rPh sb="9" eb="12">
      <t>カクチョウシ</t>
    </rPh>
    <rPh sb="12" eb="13">
      <t>トウ</t>
    </rPh>
    <phoneticPr fontId="1"/>
  </si>
  <si>
    <t>CDNのURL</t>
    <phoneticPr fontId="1"/>
  </si>
  <si>
    <t>画像幅</t>
    <rPh sb="0" eb="2">
      <t>ガゾウ</t>
    </rPh>
    <rPh sb="2" eb="3">
      <t>ハバ</t>
    </rPh>
    <phoneticPr fontId="1"/>
  </si>
  <si>
    <t>画像高</t>
    <rPh sb="0" eb="2">
      <t>ガゾウ</t>
    </rPh>
    <rPh sb="2" eb="3">
      <t>タカ</t>
    </rPh>
    <phoneticPr fontId="1"/>
  </si>
  <si>
    <t>ファイルサイズ</t>
    <phoneticPr fontId="1"/>
  </si>
  <si>
    <t>付加テキスト</t>
    <rPh sb="0" eb="2">
      <t>フカ</t>
    </rPh>
    <phoneticPr fontId="1"/>
  </si>
  <si>
    <t>imagse_contents</t>
    <phoneticPr fontId="1"/>
  </si>
  <si>
    <t>user_name</t>
    <phoneticPr fontId="1"/>
  </si>
  <si>
    <t>user_id</t>
    <phoneticPr fontId="1"/>
  </si>
  <si>
    <t>自動払い出し</t>
    <rPh sb="0" eb="3">
      <t>ジドウハラ</t>
    </rPh>
    <rPh sb="4" eb="5">
      <t>ダ</t>
    </rPh>
    <phoneticPr fontId="1"/>
  </si>
  <si>
    <t>imagse_system</t>
    <phoneticPr fontId="1"/>
  </si>
  <si>
    <t>画像(システム管理)</t>
    <rPh sb="0" eb="2">
      <t>ガゾウ</t>
    </rPh>
    <rPh sb="7" eb="9">
      <t>カンリ</t>
    </rPh>
    <phoneticPr fontId="1"/>
  </si>
  <si>
    <t>画像(ユーザー投稿)</t>
    <rPh sb="0" eb="2">
      <t>ガゾウ</t>
    </rPh>
    <phoneticPr fontId="1"/>
  </si>
  <si>
    <t>Vtuberのサムネイル画像など保管するCloud Storage(GCS)へのURLを管理する</t>
    <rPh sb="12" eb="14">
      <t>ガゾウ</t>
    </rPh>
    <rPh sb="16" eb="18">
      <t>ホカン</t>
    </rPh>
    <rPh sb="44" eb="46">
      <t>カンリ</t>
    </rPh>
    <phoneticPr fontId="1"/>
  </si>
  <si>
    <t>アイコン画像などのシステム固定の画像を保管するCloud Storage(GCS)へのURLを管理する</t>
    <rPh sb="4" eb="6">
      <t>ガゾウ</t>
    </rPh>
    <rPh sb="13" eb="15">
      <t>コテイ</t>
    </rPh>
    <rPh sb="16" eb="18">
      <t>ガゾウ</t>
    </rPh>
    <rPh sb="19" eb="21">
      <t>ホカン</t>
    </rPh>
    <rPh sb="47" eb="49">
      <t>カンリ</t>
    </rPh>
    <phoneticPr fontId="1"/>
  </si>
  <si>
    <t>〇</t>
    <phoneticPr fontId="1"/>
  </si>
  <si>
    <t>ユーザーIDで最新の名前を引くように変更するため項目不要</t>
    <phoneticPr fontId="1"/>
  </si>
  <si>
    <t>レス内容</t>
    <rPh sb="2" eb="4">
      <t>ナイヨウ</t>
    </rPh>
    <phoneticPr fontId="1"/>
  </si>
  <si>
    <t>res_text</t>
    <phoneticPr fontId="1"/>
  </si>
  <si>
    <t>投稿日時時刻</t>
    <rPh sb="0" eb="4">
      <t>トウコウニチジ</t>
    </rPh>
    <rPh sb="4" eb="6">
      <t>ジコク</t>
    </rPh>
    <phoneticPr fontId="1"/>
  </si>
  <si>
    <t>res_datetime</t>
    <phoneticPr fontId="1"/>
  </si>
  <si>
    <t>vtuber_profiles_id</t>
    <phoneticPr fontId="1"/>
  </si>
  <si>
    <t>VプロフィールID</t>
    <phoneticPr fontId="1"/>
  </si>
  <si>
    <t>ログインサービス有効フラグ</t>
    <rPh sb="8" eb="10">
      <t>ユウコウ</t>
    </rPh>
    <phoneticPr fontId="1"/>
  </si>
  <si>
    <t>SNSリンク有効フラグ</t>
    <rPh sb="6" eb="8">
      <t>ユウコウ</t>
    </rPh>
    <phoneticPr fontId="1"/>
  </si>
  <si>
    <t>Google,Tiktokなどについて、ログインに使用するサービスの有効無効、プロフィール画面のSNSリンク向けに、SNSのアイコンとサービス名、および有効無効、論理名、画像IDを管理</t>
    <rPh sb="25" eb="27">
      <t>シヨウ</t>
    </rPh>
    <rPh sb="34" eb="38">
      <t>ユウコウムコウ</t>
    </rPh>
    <rPh sb="76" eb="80">
      <t>ユウコウムコウ</t>
    </rPh>
    <rPh sb="81" eb="84">
      <t>ロンリメイ</t>
    </rPh>
    <rPh sb="85" eb="87">
      <t>ガゾウ</t>
    </rPh>
    <rPh sb="90" eb="92">
      <t>カンリ</t>
    </rPh>
    <phoneticPr fontId="1"/>
  </si>
  <si>
    <t>sns_support</t>
    <phoneticPr fontId="1"/>
  </si>
  <si>
    <t>サポートするSNS</t>
    <phoneticPr fontId="1"/>
  </si>
  <si>
    <t>SNSアイコン</t>
    <phoneticPr fontId="1"/>
  </si>
  <si>
    <t>use_login_service</t>
    <phoneticPr fontId="1"/>
  </si>
  <si>
    <t>use_sns_link</t>
    <phoneticPr fontId="1"/>
  </si>
  <si>
    <t>varchar(9)</t>
    <phoneticPr fontId="1"/>
  </si>
  <si>
    <t>varchar(14)</t>
    <phoneticPr fontId="1"/>
  </si>
  <si>
    <t>サービス名だが、ツイキャスやニコニコなどがあるため、多言語化対応で削除する</t>
    <rPh sb="4" eb="5">
      <t>メイ</t>
    </rPh>
    <rPh sb="33" eb="35">
      <t>サクジョ</t>
    </rPh>
    <phoneticPr fontId="1"/>
  </si>
  <si>
    <t>sns_name_physical_name</t>
    <phoneticPr fontId="1"/>
  </si>
  <si>
    <t>sns_name_logical_name</t>
    <phoneticPr fontId="1"/>
  </si>
  <si>
    <t>image_id</t>
    <phoneticPr fontId="1"/>
  </si>
  <si>
    <t>enable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</si>
</sst>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b/>
      <sz val="13"/>
      <color theme="1"/>
      <name val="Segoe UI"/>
      <family val="2"/>
    </font>
    <font>
      <sz val="13"/>
      <color theme="1"/>
      <name val="Segoe UI"/>
      <family val="2"/>
    </font>
    <font>
      <sz val="9.65"/>
      <color theme="1"/>
      <name val="Consolas"/>
      <family val="3"/>
    </font>
    <font>
      <b/>
      <sz val="13"/>
      <color theme="1"/>
      <name val="ＭＳ ゴシック"/>
      <family val="3"/>
      <charset val="128"/>
    </font>
    <font>
      <b/>
      <sz val="13"/>
      <color theme="1"/>
      <name val="Segoe UI"/>
      <family val="3"/>
      <charset val="128"/>
    </font>
    <font>
      <sz val="13"/>
      <color theme="1"/>
      <name val="ＭＳ 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EEEE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4" fillId="6" borderId="1" xfId="0" applyFont="1" applyFill="1" applyBorder="1" applyAlignment="1">
      <alignment horizontal="left" vertical="center" wrapText="1" indent="1"/>
    </xf>
    <xf numFmtId="0" fontId="5" fillId="6" borderId="1" xfId="0" applyFont="1" applyFill="1" applyBorder="1" applyAlignment="1">
      <alignment horizontal="left" vertical="center" wrapText="1" indent="1"/>
    </xf>
    <xf numFmtId="0" fontId="4" fillId="5" borderId="1" xfId="0" applyFont="1" applyFill="1" applyBorder="1" applyAlignment="1">
      <alignment horizontal="left" vertical="center" wrapText="1" indent="1"/>
    </xf>
    <xf numFmtId="0" fontId="5" fillId="5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7" fillId="4" borderId="1" xfId="0" applyFont="1" applyFill="1" applyBorder="1" applyAlignment="1">
      <alignment horizontal="left" vertical="center" wrapText="1" indent="1"/>
    </xf>
    <xf numFmtId="0" fontId="8" fillId="5" borderId="1" xfId="0" applyFont="1" applyFill="1" applyBorder="1" applyAlignment="1">
      <alignment horizontal="left" vertical="center" wrapText="1" indent="1"/>
    </xf>
    <xf numFmtId="0" fontId="8" fillId="6" borderId="1" xfId="0" applyFont="1" applyFill="1" applyBorder="1" applyAlignment="1">
      <alignment horizontal="left" vertical="center" wrapText="1" indent="1"/>
    </xf>
    <xf numFmtId="0" fontId="2" fillId="0" borderId="0" xfId="1" applyAlignment="1">
      <alignment horizontal="left" vertical="center"/>
    </xf>
    <xf numFmtId="0" fontId="0" fillId="0" borderId="1" xfId="0" applyFill="1" applyBorder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qiita.com/hk_arc/items/0474d28bc8620571db3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18CD9-68D6-432C-B914-0F7B889C6C1E}">
  <dimension ref="A1:H2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9" sqref="D29"/>
    </sheetView>
  </sheetViews>
  <sheetFormatPr defaultRowHeight="18.75" x14ac:dyDescent="0.4"/>
  <cols>
    <col min="2" max="2" width="3.875" bestFit="1" customWidth="1"/>
    <col min="3" max="3" width="18.625" bestFit="1" customWidth="1"/>
    <col min="4" max="4" width="19.125" bestFit="1" customWidth="1"/>
    <col min="5" max="5" width="28.625" bestFit="1" customWidth="1"/>
    <col min="6" max="6" width="18.75" bestFit="1" customWidth="1"/>
    <col min="7" max="7" width="110.75" bestFit="1" customWidth="1"/>
  </cols>
  <sheetData>
    <row r="1" spans="1:8" x14ac:dyDescent="0.4">
      <c r="A1" s="3" t="s">
        <v>162</v>
      </c>
      <c r="B1" s="4" t="s">
        <v>139</v>
      </c>
      <c r="C1" s="4" t="s">
        <v>132</v>
      </c>
      <c r="D1" s="4" t="s">
        <v>133</v>
      </c>
      <c r="E1" s="4" t="s">
        <v>355</v>
      </c>
      <c r="F1" s="4" t="s">
        <v>165</v>
      </c>
      <c r="G1" s="4" t="s">
        <v>138</v>
      </c>
      <c r="H1" s="4" t="s">
        <v>28</v>
      </c>
    </row>
    <row r="2" spans="1:8" x14ac:dyDescent="0.4">
      <c r="A2" s="3" t="str">
        <f>IF(COUNTIFS(テーブル定義_一覧!$C:$C,テーブル一覧!$C2,テーブル定義_一覧!$A:$A,"")&gt;0,"","〇")</f>
        <v/>
      </c>
      <c r="B2" s="4">
        <f>ROW()-1</f>
        <v>1</v>
      </c>
      <c r="C2" s="1" t="str" cm="1">
        <f t="array" ref="C2:C22">_xlfn.UNIQUE(_xlfn._xlws.FILTER(テーブル定義_一覧!C2:C520,テーブル定義_一覧!C2:C520&lt;&gt;""))</f>
        <v>vtuber_profiles</v>
      </c>
      <c r="D2" s="1" t="str" cm="1">
        <f t="array" ref="D2:D22">_xlfn.UNIQUE(_xlfn._xlws.FILTER(テーブル定義_一覧!D2:D520,テーブル定義_一覧!D2:D520&lt;&gt;""))</f>
        <v>Vtuberプロフィール</v>
      </c>
      <c r="E2" s="1">
        <f>SUMIF(テーブル定義_一覧!C:C,C2,テーブル定義_一覧!H:H)</f>
        <v>994</v>
      </c>
      <c r="F2" s="1" t="s">
        <v>167</v>
      </c>
      <c r="G2" s="1" t="s">
        <v>166</v>
      </c>
      <c r="H2" s="1"/>
    </row>
    <row r="3" spans="1:8" x14ac:dyDescent="0.4">
      <c r="A3" s="3" t="str">
        <f>IF(COUNTIFS(テーブル定義_一覧!$C:$C,テーブル一覧!$C3,テーブル定義_一覧!$A:$A,"")&gt;0,"","〇")</f>
        <v/>
      </c>
      <c r="B3" s="4">
        <f t="shared" ref="B3:B22" si="0">ROW()-1</f>
        <v>2</v>
      </c>
      <c r="C3" s="1" t="str">
        <v>group</v>
      </c>
      <c r="D3" s="1" t="str">
        <v>所属</v>
      </c>
      <c r="E3" s="1">
        <f>SUMIF(テーブル定義_一覧!C:C,C3,テーブル定義_一覧!H:H)</f>
        <v>770</v>
      </c>
      <c r="F3" s="1" t="s">
        <v>167</v>
      </c>
      <c r="G3" s="1" t="s">
        <v>374</v>
      </c>
      <c r="H3" s="1"/>
    </row>
    <row r="4" spans="1:8" x14ac:dyDescent="0.4">
      <c r="A4" s="3" t="str">
        <f>IF(COUNTIFS(テーブル定義_一覧!$C:$C,テーブル一覧!$C4,テーブル定義_一覧!$A:$A,"")&gt;0,"","〇")</f>
        <v>〇</v>
      </c>
      <c r="B4" s="4">
        <f t="shared" si="0"/>
        <v>3</v>
      </c>
      <c r="C4" s="1" t="str">
        <v>tag</v>
      </c>
      <c r="D4" s="1" t="str">
        <v>タグ</v>
      </c>
      <c r="E4" s="1">
        <f>SUMIF(テーブル定義_一覧!C:C,C4,テーブル定義_一覧!H:H)</f>
        <v>770</v>
      </c>
      <c r="F4" s="1" t="s">
        <v>167</v>
      </c>
      <c r="G4" s="1" t="s">
        <v>375</v>
      </c>
      <c r="H4" s="1"/>
    </row>
    <row r="5" spans="1:8" x14ac:dyDescent="0.4">
      <c r="A5" s="3" t="str">
        <f>IF(COUNTIFS(テーブル定義_一覧!$C:$C,テーブル一覧!$C5,テーブル定義_一覧!$A:$A,"")&gt;0,"","〇")</f>
        <v>〇</v>
      </c>
      <c r="B5" s="4">
        <f t="shared" si="0"/>
        <v>4</v>
      </c>
      <c r="C5" s="1" t="str">
        <v>badge</v>
      </c>
      <c r="D5" s="1" t="str">
        <v>バッジ</v>
      </c>
      <c r="E5" s="1">
        <f>SUMIF(テーブル定義_一覧!C:C,C5,テーブル定義_一覧!H:H)</f>
        <v>1154</v>
      </c>
      <c r="F5" s="1" t="s">
        <v>168</v>
      </c>
      <c r="G5" s="1" t="s">
        <v>376</v>
      </c>
      <c r="H5" s="1"/>
    </row>
    <row r="6" spans="1:8" x14ac:dyDescent="0.4">
      <c r="A6" s="3" t="str">
        <f>IF(COUNTIFS(テーブル定義_一覧!$C:$C,テーブル一覧!$C6,テーブル定義_一覧!$A:$A,"")&gt;0,"","〇")</f>
        <v>〇</v>
      </c>
      <c r="B6" s="4">
        <f t="shared" si="0"/>
        <v>5</v>
      </c>
      <c r="C6" s="1" t="str">
        <v>activity_status</v>
      </c>
      <c r="D6" s="1" t="str">
        <v>活動状態</v>
      </c>
      <c r="E6" s="1">
        <f>SUMIF(テーブル定義_一覧!C:C,C6,テーブル定義_一覧!H:H)</f>
        <v>898</v>
      </c>
      <c r="F6" s="1" t="s">
        <v>168</v>
      </c>
      <c r="G6" s="1" t="s">
        <v>377</v>
      </c>
      <c r="H6" s="1"/>
    </row>
    <row r="7" spans="1:8" x14ac:dyDescent="0.4">
      <c r="A7" s="3" t="str">
        <f>IF(COUNTIFS(テーブル定義_一覧!$C:$C,テーブル一覧!$C7,テーブル定義_一覧!$A:$A,"")&gt;0,"","〇")</f>
        <v/>
      </c>
      <c r="B7" s="4">
        <f t="shared" si="0"/>
        <v>6</v>
      </c>
      <c r="C7" s="1" t="str">
        <v>sns_link</v>
      </c>
      <c r="D7" s="1" t="str">
        <v>SNSリンク</v>
      </c>
      <c r="E7" s="1">
        <f>SUMIF(テーブル定義_一覧!C:C,C7,テーブル定義_一覧!H:H)</f>
        <v>834</v>
      </c>
      <c r="F7" s="1" t="s">
        <v>167</v>
      </c>
      <c r="G7" s="1" t="s">
        <v>373</v>
      </c>
      <c r="H7" s="1"/>
    </row>
    <row r="8" spans="1:8" x14ac:dyDescent="0.4">
      <c r="A8" s="3" t="str">
        <f>IF(COUNTIFS(テーブル定義_一覧!$C:$C,テーブル一覧!$C8,テーブル定義_一覧!$A:$A,"")&gt;0,"","〇")</f>
        <v>〇</v>
      </c>
      <c r="B8" s="4">
        <f t="shared" si="0"/>
        <v>7</v>
      </c>
      <c r="C8" s="1" t="str">
        <v>bbs_res</v>
      </c>
      <c r="D8" s="1" t="str">
        <v>BBS</v>
      </c>
      <c r="E8" s="1">
        <f>SUMIF(テーブル定義_一覧!C:C,C8,テーブル定義_一覧!H:H)</f>
        <v>962</v>
      </c>
      <c r="F8" s="1" t="s">
        <v>167</v>
      </c>
      <c r="G8" s="1" t="s">
        <v>372</v>
      </c>
      <c r="H8" s="1"/>
    </row>
    <row r="9" spans="1:8" x14ac:dyDescent="0.4">
      <c r="A9" s="3" t="str">
        <f>IF(COUNTIFS(テーブル定義_一覧!$C:$C,テーブル一覧!$C9,テーブル定義_一覧!$A:$A,"")&gt;0,"","〇")</f>
        <v/>
      </c>
      <c r="B9" s="4">
        <f t="shared" si="0"/>
        <v>8</v>
      </c>
      <c r="C9" s="1" t="str">
        <v>page_author</v>
      </c>
      <c r="D9" s="1" t="str">
        <v>ページ編集者</v>
      </c>
      <c r="E9" s="1">
        <f>SUMIF(テーブル定義_一覧!C:C,C9,テーブル定義_一覧!H:H)</f>
        <v>962</v>
      </c>
      <c r="F9" s="1" t="s">
        <v>167</v>
      </c>
      <c r="G9" s="1" t="s">
        <v>371</v>
      </c>
      <c r="H9" s="1"/>
    </row>
    <row r="10" spans="1:8" x14ac:dyDescent="0.4">
      <c r="A10" s="3" t="str">
        <f>IF(COUNTIFS(テーブル定義_一覧!$C:$C,テーブル一覧!$C10,テーブル定義_一覧!$A:$A,"")&gt;0,"","〇")</f>
        <v/>
      </c>
      <c r="B10" s="4">
        <f t="shared" si="0"/>
        <v>9</v>
      </c>
      <c r="C10" s="1" t="str">
        <v>contact</v>
      </c>
      <c r="D10" s="1" t="str">
        <v>問い合わせ</v>
      </c>
      <c r="E10" s="1">
        <f>SUMIF(テーブル定義_一覧!C:C,C10,テーブル定義_一覧!H:H)</f>
        <v>770</v>
      </c>
      <c r="F10" s="1" t="s">
        <v>167</v>
      </c>
      <c r="G10" s="1" t="s">
        <v>370</v>
      </c>
      <c r="H10" s="1"/>
    </row>
    <row r="11" spans="1:8" x14ac:dyDescent="0.4">
      <c r="A11" s="3" t="str">
        <f>IF(COUNTIFS(テーブル定義_一覧!$C:$C,テーブル一覧!$C11,テーブル定義_一覧!$A:$A,"")&gt;0,"","〇")</f>
        <v>〇</v>
      </c>
      <c r="B11" s="4">
        <f t="shared" si="0"/>
        <v>10</v>
      </c>
      <c r="C11" s="1" t="str">
        <v>priority</v>
      </c>
      <c r="D11" s="1" t="str">
        <v>優先度</v>
      </c>
      <c r="E11" s="1">
        <f>SUMIF(テーブル定義_一覧!C:C,C11,テーブル定義_一覧!H:H)</f>
        <v>898</v>
      </c>
      <c r="F11" s="1" t="s">
        <v>168</v>
      </c>
      <c r="G11" s="1" t="s">
        <v>369</v>
      </c>
      <c r="H11" s="1"/>
    </row>
    <row r="12" spans="1:8" x14ac:dyDescent="0.4">
      <c r="A12" s="3" t="str">
        <f>IF(COUNTIFS(テーブル定義_一覧!$C:$C,テーブル一覧!$C12,テーブル定義_一覧!$A:$A,"")&gt;0,"","〇")</f>
        <v>〇</v>
      </c>
      <c r="B12" s="4">
        <f t="shared" si="0"/>
        <v>11</v>
      </c>
      <c r="C12" s="1" t="str">
        <v>response_status</v>
      </c>
      <c r="D12" s="1" t="str">
        <v>対応状況</v>
      </c>
      <c r="E12" s="1">
        <f>SUMIF(テーブル定義_一覧!C:C,C12,テーブル定義_一覧!H:H)</f>
        <v>898</v>
      </c>
      <c r="F12" s="1" t="s">
        <v>168</v>
      </c>
      <c r="G12" s="1" t="s">
        <v>368</v>
      </c>
      <c r="H12" s="1"/>
    </row>
    <row r="13" spans="1:8" x14ac:dyDescent="0.4">
      <c r="A13" s="3" t="str">
        <f>IF(COUNTIFS(テーブル定義_一覧!$C:$C,テーブル一覧!$C13,テーブル定義_一覧!$A:$A,"")&gt;0,"","〇")</f>
        <v>〇</v>
      </c>
      <c r="B13" s="4">
        <f t="shared" si="0"/>
        <v>12</v>
      </c>
      <c r="C13" s="1" t="str">
        <v>language</v>
      </c>
      <c r="D13" s="1" t="str">
        <v>表示言語</v>
      </c>
      <c r="E13" s="1">
        <f>SUMIF(テーブル定義_一覧!C:C,C13,テーブル定義_一覧!H:H)</f>
        <v>1538</v>
      </c>
      <c r="F13" s="1" t="s">
        <v>168</v>
      </c>
      <c r="G13" s="1" t="s">
        <v>367</v>
      </c>
      <c r="H13" s="1"/>
    </row>
    <row r="14" spans="1:8" x14ac:dyDescent="0.4">
      <c r="A14" s="3" t="str">
        <f>IF(COUNTIFS(テーブル定義_一覧!$C:$C,テーブル一覧!$C14,テーブル定義_一覧!$A:$A,"")&gt;0,"","〇")</f>
        <v>〇</v>
      </c>
      <c r="B14" s="4">
        <f t="shared" si="0"/>
        <v>13</v>
      </c>
      <c r="C14" s="1" t="str">
        <v>screen_word</v>
      </c>
      <c r="D14" s="1" t="str">
        <v>画面文言</v>
      </c>
      <c r="E14" s="1">
        <f>SUMIF(テーブル定義_一覧!C:C,C14,テーブル定義_一覧!H:H)</f>
        <v>1026</v>
      </c>
      <c r="F14" s="1" t="s">
        <v>168</v>
      </c>
      <c r="G14" s="1" t="s">
        <v>366</v>
      </c>
      <c r="H14" s="1"/>
    </row>
    <row r="15" spans="1:8" x14ac:dyDescent="0.4">
      <c r="A15" s="3" t="str">
        <f>IF(COUNTIFS(テーブル定義_一覧!$C:$C,テーブル一覧!$C15,テーブル定義_一覧!$A:$A,"")&gt;0,"","〇")</f>
        <v>〇</v>
      </c>
      <c r="B15" s="4">
        <f t="shared" si="0"/>
        <v>14</v>
      </c>
      <c r="C15" s="1" t="str">
        <v>sns_support</v>
      </c>
      <c r="D15" s="1" t="str">
        <v>サポートするSNS</v>
      </c>
      <c r="E15" s="1">
        <f>SUMIF(テーブル定義_一覧!C:C,C15,テーブル定義_一覧!H:H)</f>
        <v>996</v>
      </c>
      <c r="F15" s="1" t="s">
        <v>168</v>
      </c>
      <c r="G15" s="1" t="s">
        <v>454</v>
      </c>
      <c r="H15" s="1"/>
    </row>
    <row r="16" spans="1:8" x14ac:dyDescent="0.4">
      <c r="A16" s="3" t="str">
        <f>IF(COUNTIFS(テーブル定義_一覧!$C:$C,テーブル一覧!$C16,テーブル定義_一覧!$A:$A,"")&gt;0,"","〇")</f>
        <v/>
      </c>
      <c r="B16" s="4">
        <f t="shared" si="0"/>
        <v>15</v>
      </c>
      <c r="C16" s="1" t="str">
        <v>profile_report</v>
      </c>
      <c r="D16" s="1" t="str">
        <v>プロフィール通報</v>
      </c>
      <c r="E16" s="1">
        <f>SUMIF(テーブル定義_一覧!C:C,C16,テーブル定義_一覧!H:H)</f>
        <v>962</v>
      </c>
      <c r="F16" s="1" t="s">
        <v>167</v>
      </c>
      <c r="G16" s="1" t="s">
        <v>361</v>
      </c>
      <c r="H16" s="1"/>
    </row>
    <row r="17" spans="1:8" x14ac:dyDescent="0.4">
      <c r="A17" s="3" t="str">
        <f>IF(COUNTIFS(テーブル定義_一覧!$C:$C,テーブル一覧!$C17,テーブル定義_一覧!$A:$A,"")&gt;0,"","〇")</f>
        <v>〇</v>
      </c>
      <c r="B17" s="4">
        <f t="shared" si="0"/>
        <v>16</v>
      </c>
      <c r="C17" s="1" t="str">
        <v>report_reason</v>
      </c>
      <c r="D17" s="1" t="str">
        <v>通報理由</v>
      </c>
      <c r="E17" s="1">
        <f>SUMIF(テーブル定義_一覧!C:C,C17,テーブル定義_一覧!H:H)</f>
        <v>1026</v>
      </c>
      <c r="F17" s="1" t="s">
        <v>168</v>
      </c>
      <c r="G17" s="1" t="s">
        <v>170</v>
      </c>
      <c r="H17" s="1"/>
    </row>
    <row r="18" spans="1:8" x14ac:dyDescent="0.4">
      <c r="A18" s="3" t="str">
        <f>IF(COUNTIFS(テーブル定義_一覧!$C:$C,テーブル一覧!$C18,テーブル定義_一覧!$A:$A,"")&gt;0,"","〇")</f>
        <v/>
      </c>
      <c r="B18" s="4">
        <f t="shared" si="0"/>
        <v>17</v>
      </c>
      <c r="C18" s="1" t="str">
        <v>user</v>
      </c>
      <c r="D18" s="1" t="str">
        <v>ユーザー</v>
      </c>
      <c r="E18" s="1">
        <f>SUMIF(テーブル定義_一覧!C:C,C18,テーブル定義_一覧!H:H)</f>
        <v>1410</v>
      </c>
      <c r="F18" s="1" t="s">
        <v>167</v>
      </c>
      <c r="G18" s="1" t="s">
        <v>360</v>
      </c>
      <c r="H18" s="1"/>
    </row>
    <row r="19" spans="1:8" x14ac:dyDescent="0.4">
      <c r="A19" s="3" t="str">
        <f>IF(COUNTIFS(テーブル定義_一覧!$C:$C,テーブル一覧!$C19,テーブル定義_一覧!$A:$A,"")&gt;0,"","〇")</f>
        <v>〇</v>
      </c>
      <c r="B19" s="4">
        <f t="shared" si="0"/>
        <v>18</v>
      </c>
      <c r="C19" s="1" t="str">
        <v>theme</v>
      </c>
      <c r="D19" s="1" t="str">
        <v>画面テーマ</v>
      </c>
      <c r="E19" s="1">
        <f>SUMIF(テーブル定義_一覧!C:C,C19,テーブル定義_一覧!H:H)</f>
        <v>1026</v>
      </c>
      <c r="F19" s="1" t="s">
        <v>168</v>
      </c>
      <c r="G19" s="1" t="s">
        <v>169</v>
      </c>
      <c r="H19" s="1"/>
    </row>
    <row r="20" spans="1:8" x14ac:dyDescent="0.4">
      <c r="A20" s="3" t="str">
        <f>IF(COUNTIFS(テーブル定義_一覧!$C:$C,テーブル一覧!$C20,テーブル定義_一覧!$A:$A,"")&gt;0,"","〇")</f>
        <v>〇</v>
      </c>
      <c r="B20" s="4">
        <f t="shared" si="0"/>
        <v>19</v>
      </c>
      <c r="C20" s="1" t="str">
        <v>user_role</v>
      </c>
      <c r="D20" s="1" t="str">
        <v>ユーザー権限</v>
      </c>
      <c r="E20" s="1">
        <f>SUMIF(テーブル定義_一覧!C:C,C20,テーブル定義_一覧!H:H)</f>
        <v>898</v>
      </c>
      <c r="F20" s="1" t="s">
        <v>168</v>
      </c>
      <c r="G20" s="1" t="s">
        <v>359</v>
      </c>
      <c r="H20" s="1"/>
    </row>
    <row r="21" spans="1:8" x14ac:dyDescent="0.4">
      <c r="A21" s="3" t="str">
        <f>IF(COUNTIFS(テーブル定義_一覧!$C:$C,テーブル一覧!$C21,テーブル定義_一覧!$A:$A,"")&gt;0,"","〇")</f>
        <v>〇</v>
      </c>
      <c r="B21" s="4">
        <f t="shared" si="0"/>
        <v>20</v>
      </c>
      <c r="C21" s="1" t="str">
        <v>imagse_contents</v>
      </c>
      <c r="D21" s="1" t="str">
        <v>画像(ユーザー投稿)</v>
      </c>
      <c r="E21" s="1">
        <f>SUMIF(テーブル定義_一覧!C:C,C21,テーブル定義_一覧!H:H)</f>
        <v>12426</v>
      </c>
      <c r="F21" s="1" t="s">
        <v>167</v>
      </c>
      <c r="G21" s="1" t="s">
        <v>442</v>
      </c>
      <c r="H21" s="1"/>
    </row>
    <row r="22" spans="1:8" x14ac:dyDescent="0.4">
      <c r="A22" s="3" t="str">
        <f>IF(COUNTIFS(テーブル定義_一覧!$C:$C,テーブル一覧!$C22,テーブル定義_一覧!$A:$A,"")&gt;0,"","〇")</f>
        <v>〇</v>
      </c>
      <c r="B22" s="4">
        <f t="shared" si="0"/>
        <v>21</v>
      </c>
      <c r="C22" s="1" t="str">
        <v>imagse_system</v>
      </c>
      <c r="D22" s="1" t="str">
        <v>画像(システム管理)</v>
      </c>
      <c r="E22" s="1">
        <f>SUMIF(テーブル定義_一覧!C:C,C22,テーブル定義_一覧!H:H)</f>
        <v>12362</v>
      </c>
      <c r="F22" s="1" t="s">
        <v>168</v>
      </c>
      <c r="G22" s="1" t="s">
        <v>443</v>
      </c>
      <c r="H22" s="1"/>
    </row>
  </sheetData>
  <autoFilter ref="A1:H1" xr:uid="{5B518CD9-68D6-432C-B914-0F7B889C6C1E}"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C8A9-1734-420B-8636-06432886C818}">
  <dimension ref="A1:R267"/>
  <sheetViews>
    <sheetView tabSelected="1" workbookViewId="0">
      <pane xSplit="2" ySplit="1" topLeftCell="C62" activePane="bottomRight" state="frozen"/>
      <selection pane="topRight" activeCell="C1" sqref="C1"/>
      <selection pane="bottomLeft" activeCell="A2" sqref="A2"/>
      <selection pane="bottomRight" activeCell="E79" sqref="E79"/>
    </sheetView>
  </sheetViews>
  <sheetFormatPr defaultRowHeight="18.75" x14ac:dyDescent="0.4"/>
  <cols>
    <col min="2" max="2" width="4.5" bestFit="1" customWidth="1"/>
    <col min="3" max="4" width="19.125" bestFit="1" customWidth="1"/>
    <col min="5" max="6" width="35.875" bestFit="1" customWidth="1"/>
    <col min="7" max="8" width="15" bestFit="1" customWidth="1"/>
    <col min="9" max="9" width="4" bestFit="1" customWidth="1"/>
    <col min="10" max="10" width="3.875" bestFit="1" customWidth="1"/>
    <col min="11" max="11" width="8.375" bestFit="1" customWidth="1"/>
    <col min="12" max="12" width="7.75" bestFit="1" customWidth="1"/>
    <col min="13" max="13" width="23.625" bestFit="1" customWidth="1"/>
    <col min="14" max="14" width="23.5" bestFit="1" customWidth="1"/>
    <col min="15" max="17" width="13" bestFit="1" customWidth="1"/>
    <col min="18" max="18" width="84.375" bestFit="1" customWidth="1"/>
  </cols>
  <sheetData>
    <row r="1" spans="1:18" x14ac:dyDescent="0.4">
      <c r="A1" s="3" t="s">
        <v>162</v>
      </c>
      <c r="B1" s="4" t="s">
        <v>139</v>
      </c>
      <c r="C1" s="4" t="s">
        <v>132</v>
      </c>
      <c r="D1" s="4" t="s">
        <v>133</v>
      </c>
      <c r="E1" s="4" t="s">
        <v>135</v>
      </c>
      <c r="F1" s="4" t="s">
        <v>136</v>
      </c>
      <c r="G1" s="4" t="s">
        <v>21</v>
      </c>
      <c r="H1" s="4" t="s">
        <v>354</v>
      </c>
      <c r="I1" s="4" t="s">
        <v>41</v>
      </c>
      <c r="J1" s="4" t="s">
        <v>42</v>
      </c>
      <c r="K1" s="4" t="s">
        <v>147</v>
      </c>
      <c r="L1" s="4" t="s">
        <v>148</v>
      </c>
      <c r="M1" s="4" t="s">
        <v>137</v>
      </c>
      <c r="N1" s="4" t="s">
        <v>138</v>
      </c>
      <c r="O1" s="4" t="s">
        <v>62</v>
      </c>
      <c r="P1" s="4" t="s">
        <v>1</v>
      </c>
      <c r="Q1" s="4" t="s">
        <v>23</v>
      </c>
      <c r="R1" s="4" t="s">
        <v>28</v>
      </c>
    </row>
    <row r="2" spans="1:18" x14ac:dyDescent="0.4">
      <c r="A2" s="3" t="s">
        <v>164</v>
      </c>
      <c r="B2" s="4">
        <f>ROW()-1</f>
        <v>1</v>
      </c>
      <c r="C2" s="1" t="s">
        <v>134</v>
      </c>
      <c r="D2" s="1" t="s">
        <v>53</v>
      </c>
      <c r="E2" s="1" t="s">
        <v>146</v>
      </c>
      <c r="F2" s="1" t="s">
        <v>19</v>
      </c>
      <c r="G2" s="1" t="s">
        <v>146</v>
      </c>
      <c r="H2" s="1">
        <v>128</v>
      </c>
      <c r="I2" s="1" t="s">
        <v>16</v>
      </c>
      <c r="J2" s="1"/>
      <c r="K2" s="1" t="s">
        <v>16</v>
      </c>
      <c r="L2" s="1" t="s">
        <v>16</v>
      </c>
      <c r="M2" s="1" t="s">
        <v>157</v>
      </c>
      <c r="N2" s="1"/>
      <c r="O2" s="1"/>
      <c r="P2" s="1"/>
      <c r="Q2" s="1"/>
      <c r="R2" s="1"/>
    </row>
    <row r="3" spans="1:18" x14ac:dyDescent="0.4">
      <c r="A3" s="3" t="s">
        <v>163</v>
      </c>
      <c r="B3" s="4">
        <f t="shared" ref="B3:B67" si="0">ROW()-1</f>
        <v>2</v>
      </c>
      <c r="C3" s="1" t="str">
        <f>C2</f>
        <v>vtuber_profiles</v>
      </c>
      <c r="D3" s="1" t="str">
        <f>D2</f>
        <v>Vtuberプロフィール</v>
      </c>
      <c r="E3" s="1" t="s">
        <v>450</v>
      </c>
      <c r="F3" s="1" t="s">
        <v>451</v>
      </c>
      <c r="G3" s="1" t="s">
        <v>175</v>
      </c>
      <c r="H3" s="1">
        <v>64</v>
      </c>
      <c r="I3" s="1" t="s">
        <v>16</v>
      </c>
      <c r="J3" s="1"/>
      <c r="K3" s="1" t="s">
        <v>16</v>
      </c>
      <c r="L3" s="1" t="s">
        <v>16</v>
      </c>
      <c r="M3" s="1"/>
      <c r="N3" s="1" t="s">
        <v>438</v>
      </c>
      <c r="O3" s="1"/>
      <c r="P3" s="1"/>
      <c r="Q3" s="1"/>
      <c r="R3" s="1" t="s">
        <v>29</v>
      </c>
    </row>
    <row r="4" spans="1:18" x14ac:dyDescent="0.4">
      <c r="A4" s="3"/>
      <c r="B4" s="4">
        <f t="shared" si="0"/>
        <v>3</v>
      </c>
      <c r="C4" s="1" t="str">
        <f t="shared" ref="C4:D35" si="1">C3</f>
        <v>vtuber_profiles</v>
      </c>
      <c r="D4" s="1" t="str">
        <f t="shared" si="1"/>
        <v>Vtuberプロフィール</v>
      </c>
      <c r="E4" s="1" t="s">
        <v>0</v>
      </c>
      <c r="F4" s="1" t="s">
        <v>0</v>
      </c>
      <c r="G4" s="1" t="s">
        <v>22</v>
      </c>
      <c r="H4" s="1" t="str">
        <f>_xlfn.XLOOKUP($G4,型とバイト数!$B$3:$B$52,型とバイト数!$E$3:$E$52,"???")</f>
        <v>???</v>
      </c>
      <c r="I4" s="1"/>
      <c r="J4" s="1"/>
      <c r="K4" s="1"/>
      <c r="L4" s="1"/>
      <c r="M4" s="1"/>
      <c r="N4" s="1"/>
      <c r="O4" s="1"/>
      <c r="P4" s="1" t="s">
        <v>16</v>
      </c>
      <c r="Q4" s="1" t="s">
        <v>16</v>
      </c>
      <c r="R4" s="1" t="s">
        <v>25</v>
      </c>
    </row>
    <row r="5" spans="1:18" x14ac:dyDescent="0.4">
      <c r="A5" s="3"/>
      <c r="B5" s="4">
        <f t="shared" si="0"/>
        <v>4</v>
      </c>
      <c r="C5" s="1" t="str">
        <f t="shared" si="1"/>
        <v>vtuber_profiles</v>
      </c>
      <c r="D5" s="1" t="str">
        <f t="shared" si="1"/>
        <v>Vtuberプロフィール</v>
      </c>
      <c r="E5" s="1" t="s">
        <v>2</v>
      </c>
      <c r="F5" s="1" t="s">
        <v>2</v>
      </c>
      <c r="G5" s="1" t="s">
        <v>15</v>
      </c>
      <c r="H5" s="1" t="str">
        <f>_xlfn.XLOOKUP($G5,型とバイト数!$B$3:$B$52,型とバイト数!$E$3:$E$52,"???")</f>
        <v>???</v>
      </c>
      <c r="I5" s="1"/>
      <c r="J5" s="1"/>
      <c r="K5" s="1"/>
      <c r="L5" s="1"/>
      <c r="M5" s="1"/>
      <c r="N5" s="1"/>
      <c r="O5" s="1" t="s">
        <v>16</v>
      </c>
      <c r="P5" s="1"/>
      <c r="Q5" s="1" t="s">
        <v>16</v>
      </c>
      <c r="R5" s="1"/>
    </row>
    <row r="6" spans="1:18" x14ac:dyDescent="0.4">
      <c r="A6" s="3"/>
      <c r="B6" s="4">
        <f t="shared" si="0"/>
        <v>5</v>
      </c>
      <c r="C6" s="1" t="str">
        <f t="shared" si="1"/>
        <v>vtuber_profiles</v>
      </c>
      <c r="D6" s="1" t="str">
        <f t="shared" si="1"/>
        <v>Vtuberプロフィール</v>
      </c>
      <c r="E6" s="1" t="s">
        <v>3</v>
      </c>
      <c r="F6" s="1" t="s">
        <v>3</v>
      </c>
      <c r="G6" s="1" t="s">
        <v>15</v>
      </c>
      <c r="H6" s="1" t="str">
        <f>_xlfn.XLOOKUP($G6,型とバイト数!$B$3:$B$52,型とバイト数!$E$3:$E$52,"???")</f>
        <v>???</v>
      </c>
      <c r="I6" s="1"/>
      <c r="J6" s="1"/>
      <c r="K6" s="1"/>
      <c r="L6" s="1"/>
      <c r="M6" s="1"/>
      <c r="N6" s="1"/>
      <c r="O6" s="1"/>
      <c r="P6" s="1"/>
      <c r="Q6" s="1" t="s">
        <v>16</v>
      </c>
      <c r="R6" s="1"/>
    </row>
    <row r="7" spans="1:18" x14ac:dyDescent="0.4">
      <c r="A7" s="3"/>
      <c r="B7" s="4">
        <f t="shared" si="0"/>
        <v>6</v>
      </c>
      <c r="C7" s="1" t="str">
        <f t="shared" si="1"/>
        <v>vtuber_profiles</v>
      </c>
      <c r="D7" s="1" t="str">
        <f t="shared" si="1"/>
        <v>Vtuberプロフィール</v>
      </c>
      <c r="E7" s="1" t="s">
        <v>4</v>
      </c>
      <c r="F7" s="1" t="s">
        <v>4</v>
      </c>
      <c r="G7" s="1" t="s">
        <v>15</v>
      </c>
      <c r="H7" s="1" t="str">
        <f>_xlfn.XLOOKUP($G7,型とバイト数!$B$3:$B$52,型とバイト数!$E$3:$E$52,"???")</f>
        <v>???</v>
      </c>
      <c r="I7" s="1"/>
      <c r="J7" s="1"/>
      <c r="K7" s="1"/>
      <c r="L7" s="1"/>
      <c r="M7" s="1"/>
      <c r="N7" s="1"/>
      <c r="O7" s="1"/>
      <c r="P7" s="1"/>
      <c r="Q7" s="1" t="s">
        <v>16</v>
      </c>
      <c r="R7" s="1"/>
    </row>
    <row r="8" spans="1:18" x14ac:dyDescent="0.4">
      <c r="A8" s="3"/>
      <c r="B8" s="4">
        <f t="shared" si="0"/>
        <v>7</v>
      </c>
      <c r="C8" s="1" t="str">
        <f t="shared" si="1"/>
        <v>vtuber_profiles</v>
      </c>
      <c r="D8" s="1" t="str">
        <f t="shared" si="1"/>
        <v>Vtuberプロフィール</v>
      </c>
      <c r="E8" s="1" t="s">
        <v>5</v>
      </c>
      <c r="F8" s="1" t="s">
        <v>5</v>
      </c>
      <c r="G8" s="1" t="s">
        <v>15</v>
      </c>
      <c r="H8" s="1" t="str">
        <f>_xlfn.XLOOKUP($G8,型とバイト数!$B$3:$B$52,型とバイト数!$E$3:$E$52,"???")</f>
        <v>???</v>
      </c>
      <c r="I8" s="1"/>
      <c r="J8" s="1"/>
      <c r="K8" s="1"/>
      <c r="L8" s="1"/>
      <c r="M8" s="1"/>
      <c r="N8" s="1"/>
      <c r="O8" s="1"/>
      <c r="P8" s="1"/>
      <c r="Q8" s="1" t="s">
        <v>16</v>
      </c>
      <c r="R8" s="1"/>
    </row>
    <row r="9" spans="1:18" x14ac:dyDescent="0.4">
      <c r="A9" s="3"/>
      <c r="B9" s="4">
        <f t="shared" si="0"/>
        <v>8</v>
      </c>
      <c r="C9" s="1" t="str">
        <f t="shared" si="1"/>
        <v>vtuber_profiles</v>
      </c>
      <c r="D9" s="1" t="str">
        <f t="shared" si="1"/>
        <v>Vtuberプロフィール</v>
      </c>
      <c r="E9" s="1" t="s">
        <v>6</v>
      </c>
      <c r="F9" s="1" t="s">
        <v>6</v>
      </c>
      <c r="G9" s="1" t="s">
        <v>14</v>
      </c>
      <c r="H9" s="1">
        <f>_xlfn.XLOOKUP($G9,型とバイト数!$B$3:$B$52,型とバイト数!$E$3:$E$52,"???")</f>
        <v>32</v>
      </c>
      <c r="I9" s="1"/>
      <c r="J9" s="1"/>
      <c r="K9" s="1"/>
      <c r="L9" s="1"/>
      <c r="M9" s="1"/>
      <c r="N9" s="1"/>
      <c r="O9" s="1"/>
      <c r="P9" s="1"/>
      <c r="Q9" s="1" t="s">
        <v>16</v>
      </c>
      <c r="R9" s="1"/>
    </row>
    <row r="10" spans="1:18" x14ac:dyDescent="0.4">
      <c r="A10" s="3"/>
      <c r="B10" s="4">
        <f t="shared" si="0"/>
        <v>9</v>
      </c>
      <c r="C10" s="1" t="str">
        <f t="shared" si="1"/>
        <v>vtuber_profiles</v>
      </c>
      <c r="D10" s="1" t="str">
        <f t="shared" si="1"/>
        <v>Vtuberプロフィール</v>
      </c>
      <c r="E10" s="1" t="s">
        <v>7</v>
      </c>
      <c r="F10" s="1" t="s">
        <v>7</v>
      </c>
      <c r="G10" s="1" t="s">
        <v>52</v>
      </c>
      <c r="H10" s="1" t="str">
        <f>_xlfn.XLOOKUP($G10,型とバイト数!$B$3:$B$52,型とバイト数!$E$3:$E$52,"???")</f>
        <v>???</v>
      </c>
      <c r="I10" s="1"/>
      <c r="J10" s="1"/>
      <c r="K10" s="1"/>
      <c r="L10" s="1"/>
      <c r="M10" s="1"/>
      <c r="N10" s="1"/>
      <c r="O10" s="1"/>
      <c r="P10" s="1"/>
      <c r="Q10" s="1" t="s">
        <v>16</v>
      </c>
      <c r="R10" s="1" t="s">
        <v>151</v>
      </c>
    </row>
    <row r="11" spans="1:18" x14ac:dyDescent="0.4">
      <c r="A11" s="3"/>
      <c r="B11" s="4">
        <f t="shared" si="0"/>
        <v>10</v>
      </c>
      <c r="C11" s="1" t="str">
        <f t="shared" si="1"/>
        <v>vtuber_profiles</v>
      </c>
      <c r="D11" s="1" t="str">
        <f t="shared" si="1"/>
        <v>Vtuberプロフィール</v>
      </c>
      <c r="E11" s="1" t="s">
        <v>8</v>
      </c>
      <c r="F11" s="1" t="s">
        <v>8</v>
      </c>
      <c r="G11" s="1" t="s">
        <v>15</v>
      </c>
      <c r="H11" s="1" t="str">
        <f>_xlfn.XLOOKUP($G11,型とバイト数!$B$3:$B$52,型とバイト数!$E$3:$E$52,"???")</f>
        <v>???</v>
      </c>
      <c r="I11" s="1"/>
      <c r="J11" s="1"/>
      <c r="K11" s="1"/>
      <c r="L11" s="1"/>
      <c r="M11" s="1"/>
      <c r="N11" s="1"/>
      <c r="O11" s="1"/>
      <c r="P11" s="1" t="s">
        <v>12</v>
      </c>
      <c r="Q11" s="1" t="s">
        <v>16</v>
      </c>
      <c r="R11" s="1"/>
    </row>
    <row r="12" spans="1:18" x14ac:dyDescent="0.4">
      <c r="A12" s="3"/>
      <c r="B12" s="4">
        <f t="shared" si="0"/>
        <v>11</v>
      </c>
      <c r="C12" s="1" t="str">
        <f t="shared" si="1"/>
        <v>vtuber_profiles</v>
      </c>
      <c r="D12" s="1" t="str">
        <f t="shared" si="1"/>
        <v>Vtuberプロフィール</v>
      </c>
      <c r="E12" s="1" t="s">
        <v>9</v>
      </c>
      <c r="F12" s="1" t="s">
        <v>9</v>
      </c>
      <c r="G12" s="1" t="s">
        <v>15</v>
      </c>
      <c r="H12" s="1" t="str">
        <f>_xlfn.XLOOKUP($G12,型とバイト数!$B$3:$B$52,型とバイト数!$E$3:$E$52,"???")</f>
        <v>???</v>
      </c>
      <c r="I12" s="1"/>
      <c r="J12" s="1"/>
      <c r="K12" s="1"/>
      <c r="L12" s="1"/>
      <c r="M12" s="1"/>
      <c r="N12" s="1"/>
      <c r="O12" s="1"/>
      <c r="P12" s="1"/>
      <c r="Q12" s="1" t="s">
        <v>16</v>
      </c>
      <c r="R12" s="1"/>
    </row>
    <row r="13" spans="1:18" x14ac:dyDescent="0.4">
      <c r="A13" s="3"/>
      <c r="B13" s="4">
        <f t="shared" si="0"/>
        <v>12</v>
      </c>
      <c r="C13" s="1" t="str">
        <f t="shared" si="1"/>
        <v>vtuber_profiles</v>
      </c>
      <c r="D13" s="1" t="str">
        <f t="shared" si="1"/>
        <v>Vtuberプロフィール</v>
      </c>
      <c r="E13" s="1" t="s">
        <v>10</v>
      </c>
      <c r="F13" s="1" t="s">
        <v>10</v>
      </c>
      <c r="G13" s="1" t="s">
        <v>15</v>
      </c>
      <c r="H13" s="1" t="str">
        <f>_xlfn.XLOOKUP($G13,型とバイト数!$B$3:$B$52,型とバイト数!$E$3:$E$52,"???")</f>
        <v>???</v>
      </c>
      <c r="I13" s="1"/>
      <c r="J13" s="1"/>
      <c r="K13" s="1"/>
      <c r="L13" s="1"/>
      <c r="M13" s="1"/>
      <c r="N13" s="1"/>
      <c r="O13" s="1"/>
      <c r="P13" s="1"/>
      <c r="Q13" s="1" t="s">
        <v>16</v>
      </c>
      <c r="R13" s="1"/>
    </row>
    <row r="14" spans="1:18" x14ac:dyDescent="0.4">
      <c r="A14" s="3"/>
      <c r="B14" s="4">
        <f t="shared" si="0"/>
        <v>13</v>
      </c>
      <c r="C14" s="1" t="str">
        <f t="shared" si="1"/>
        <v>vtuber_profiles</v>
      </c>
      <c r="D14" s="1" t="str">
        <f t="shared" si="1"/>
        <v>Vtuberプロフィール</v>
      </c>
      <c r="E14" s="1" t="s">
        <v>11</v>
      </c>
      <c r="F14" s="1" t="s">
        <v>11</v>
      </c>
      <c r="G14" s="1" t="s">
        <v>15</v>
      </c>
      <c r="H14" s="1" t="str">
        <f>_xlfn.XLOOKUP($G14,型とバイト数!$B$3:$B$52,型とバイト数!$E$3:$E$52,"???")</f>
        <v>???</v>
      </c>
      <c r="I14" s="1"/>
      <c r="J14" s="1"/>
      <c r="K14" s="1"/>
      <c r="L14" s="1"/>
      <c r="M14" s="1"/>
      <c r="N14" s="1"/>
      <c r="O14" s="1"/>
      <c r="P14" s="1" t="s">
        <v>12</v>
      </c>
      <c r="Q14" s="1" t="s">
        <v>16</v>
      </c>
      <c r="R14" s="1"/>
    </row>
    <row r="15" spans="1:18" x14ac:dyDescent="0.4">
      <c r="A15" s="3"/>
      <c r="B15" s="4">
        <f t="shared" si="0"/>
        <v>14</v>
      </c>
      <c r="C15" s="1" t="str">
        <f t="shared" si="1"/>
        <v>vtuber_profiles</v>
      </c>
      <c r="D15" s="1" t="str">
        <f t="shared" si="1"/>
        <v>Vtuberプロフィール</v>
      </c>
      <c r="E15" s="1" t="s">
        <v>24</v>
      </c>
      <c r="F15" s="1" t="s">
        <v>24</v>
      </c>
      <c r="G15" s="1" t="s">
        <v>18</v>
      </c>
      <c r="H15" s="1" t="str">
        <f>_xlfn.XLOOKUP($G15,型とバイト数!$B$3:$B$52,型とバイト数!$E$3:$E$52,"???")</f>
        <v>???</v>
      </c>
      <c r="I15" s="1"/>
      <c r="J15" s="1"/>
      <c r="K15" s="1"/>
      <c r="L15" s="1"/>
      <c r="M15" s="1"/>
      <c r="N15" s="1"/>
      <c r="O15" s="1"/>
      <c r="P15" s="1" t="s">
        <v>16</v>
      </c>
      <c r="Q15" s="1" t="s">
        <v>16</v>
      </c>
      <c r="R15" s="1"/>
    </row>
    <row r="16" spans="1:18" x14ac:dyDescent="0.4">
      <c r="A16" s="3"/>
      <c r="B16" s="4">
        <f t="shared" si="0"/>
        <v>15</v>
      </c>
      <c r="C16" s="1" t="str">
        <f t="shared" si="1"/>
        <v>vtuber_profiles</v>
      </c>
      <c r="D16" s="1" t="str">
        <f t="shared" si="1"/>
        <v>Vtuberプロフィール</v>
      </c>
      <c r="E16" s="1" t="s">
        <v>26</v>
      </c>
      <c r="F16" s="1" t="s">
        <v>26</v>
      </c>
      <c r="G16" s="1" t="s">
        <v>27</v>
      </c>
      <c r="H16" s="1" t="str">
        <f>_xlfn.XLOOKUP($G16,型とバイト数!$B$3:$B$52,型とバイト数!$E$3:$E$52,"???")</f>
        <v>???</v>
      </c>
      <c r="I16" s="1"/>
      <c r="J16" s="1"/>
      <c r="K16" s="1"/>
      <c r="L16" s="1"/>
      <c r="M16" s="1"/>
      <c r="N16" s="1"/>
      <c r="O16" s="1"/>
      <c r="P16" s="1" t="s">
        <v>16</v>
      </c>
      <c r="Q16" s="1" t="s">
        <v>16</v>
      </c>
      <c r="R16" s="1"/>
    </row>
    <row r="17" spans="1:18" x14ac:dyDescent="0.4">
      <c r="A17" s="3"/>
      <c r="B17" s="4">
        <f t="shared" si="0"/>
        <v>16</v>
      </c>
      <c r="C17" s="1" t="str">
        <f t="shared" si="1"/>
        <v>vtuber_profiles</v>
      </c>
      <c r="D17" s="1" t="str">
        <f t="shared" si="1"/>
        <v>Vtuberプロフィール</v>
      </c>
      <c r="E17" s="1" t="s">
        <v>30</v>
      </c>
      <c r="F17" s="1" t="s">
        <v>30</v>
      </c>
      <c r="G17" s="1" t="s">
        <v>15</v>
      </c>
      <c r="H17" s="1" t="str">
        <f>_xlfn.XLOOKUP($G17,型とバイト数!$B$3:$B$52,型とバイト数!$E$3:$E$52,"???")</f>
        <v>???</v>
      </c>
      <c r="I17" s="1"/>
      <c r="J17" s="1"/>
      <c r="K17" s="1"/>
      <c r="L17" s="1"/>
      <c r="M17" s="1"/>
      <c r="N17" s="1"/>
      <c r="O17" s="1"/>
      <c r="P17" s="1"/>
      <c r="Q17" s="1" t="s">
        <v>16</v>
      </c>
      <c r="R17" s="1"/>
    </row>
    <row r="18" spans="1:18" x14ac:dyDescent="0.4">
      <c r="A18" s="3"/>
      <c r="B18" s="4">
        <f t="shared" si="0"/>
        <v>17</v>
      </c>
      <c r="C18" s="1" t="str">
        <f t="shared" si="1"/>
        <v>vtuber_profiles</v>
      </c>
      <c r="D18" s="1" t="str">
        <f t="shared" si="1"/>
        <v>Vtuberプロフィール</v>
      </c>
      <c r="E18" s="1" t="s">
        <v>31</v>
      </c>
      <c r="F18" s="1" t="s">
        <v>31</v>
      </c>
      <c r="G18" s="1" t="s">
        <v>15</v>
      </c>
      <c r="H18" s="1" t="str">
        <f>_xlfn.XLOOKUP($G18,型とバイト数!$B$3:$B$52,型とバイト数!$E$3:$E$52,"???")</f>
        <v>???</v>
      </c>
      <c r="I18" s="1"/>
      <c r="J18" s="1"/>
      <c r="K18" s="1"/>
      <c r="L18" s="1"/>
      <c r="M18" s="1"/>
      <c r="N18" s="1"/>
      <c r="O18" s="1"/>
      <c r="P18" s="1"/>
      <c r="Q18" s="1" t="s">
        <v>16</v>
      </c>
      <c r="R18" s="1"/>
    </row>
    <row r="19" spans="1:18" x14ac:dyDescent="0.4">
      <c r="A19" s="3"/>
      <c r="B19" s="4">
        <f t="shared" si="0"/>
        <v>18</v>
      </c>
      <c r="C19" s="1" t="str">
        <f t="shared" si="1"/>
        <v>vtuber_profiles</v>
      </c>
      <c r="D19" s="1" t="str">
        <f t="shared" si="1"/>
        <v>Vtuberプロフィール</v>
      </c>
      <c r="E19" s="1" t="s">
        <v>32</v>
      </c>
      <c r="F19" s="1" t="s">
        <v>32</v>
      </c>
      <c r="G19" s="1" t="s">
        <v>15</v>
      </c>
      <c r="H19" s="1" t="str">
        <f>_xlfn.XLOOKUP($G19,型とバイト数!$B$3:$B$52,型とバイト数!$E$3:$E$52,"???")</f>
        <v>???</v>
      </c>
      <c r="I19" s="1"/>
      <c r="J19" s="1"/>
      <c r="K19" s="1"/>
      <c r="L19" s="1"/>
      <c r="M19" s="1"/>
      <c r="N19" s="1"/>
      <c r="O19" s="1"/>
      <c r="P19" s="1"/>
      <c r="Q19" s="1" t="s">
        <v>16</v>
      </c>
      <c r="R19" s="1"/>
    </row>
    <row r="20" spans="1:18" x14ac:dyDescent="0.4">
      <c r="A20" s="3"/>
      <c r="B20" s="4">
        <f t="shared" si="0"/>
        <v>19</v>
      </c>
      <c r="C20" s="1" t="str">
        <f t="shared" si="1"/>
        <v>vtuber_profiles</v>
      </c>
      <c r="D20" s="1" t="str">
        <f t="shared" si="1"/>
        <v>Vtuberプロフィール</v>
      </c>
      <c r="E20" s="1" t="s">
        <v>33</v>
      </c>
      <c r="F20" s="1" t="s">
        <v>33</v>
      </c>
      <c r="G20" s="1" t="s">
        <v>15</v>
      </c>
      <c r="H20" s="1" t="str">
        <f>_xlfn.XLOOKUP($G20,型とバイト数!$B$3:$B$52,型とバイト数!$E$3:$E$52,"???")</f>
        <v>???</v>
      </c>
      <c r="I20" s="1"/>
      <c r="J20" s="1"/>
      <c r="K20" s="1"/>
      <c r="L20" s="1"/>
      <c r="M20" s="1"/>
      <c r="N20" s="1"/>
      <c r="O20" s="1"/>
      <c r="P20" s="1"/>
      <c r="Q20" s="1" t="s">
        <v>16</v>
      </c>
      <c r="R20" s="1"/>
    </row>
    <row r="21" spans="1:18" x14ac:dyDescent="0.4">
      <c r="A21" s="3"/>
      <c r="B21" s="4">
        <f t="shared" si="0"/>
        <v>20</v>
      </c>
      <c r="C21" s="1" t="str">
        <f t="shared" si="1"/>
        <v>vtuber_profiles</v>
      </c>
      <c r="D21" s="1" t="str">
        <f t="shared" si="1"/>
        <v>Vtuberプロフィール</v>
      </c>
      <c r="E21" s="1" t="s">
        <v>34</v>
      </c>
      <c r="F21" s="1" t="s">
        <v>34</v>
      </c>
      <c r="G21" s="1" t="s">
        <v>15</v>
      </c>
      <c r="H21" s="1" t="str">
        <f>_xlfn.XLOOKUP($G21,型とバイト数!$B$3:$B$52,型とバイト数!$E$3:$E$52,"???")</f>
        <v>???</v>
      </c>
      <c r="I21" s="1"/>
      <c r="J21" s="1"/>
      <c r="K21" s="1"/>
      <c r="L21" s="1"/>
      <c r="M21" s="1"/>
      <c r="N21" s="1"/>
      <c r="O21" s="1"/>
      <c r="P21" s="1"/>
      <c r="Q21" s="1" t="s">
        <v>16</v>
      </c>
      <c r="R21" s="1"/>
    </row>
    <row r="22" spans="1:18" x14ac:dyDescent="0.4">
      <c r="A22" s="3"/>
      <c r="B22" s="4">
        <f t="shared" si="0"/>
        <v>21</v>
      </c>
      <c r="C22" s="1" t="str">
        <f t="shared" si="1"/>
        <v>vtuber_profiles</v>
      </c>
      <c r="D22" s="1" t="str">
        <f t="shared" si="1"/>
        <v>Vtuberプロフィール</v>
      </c>
      <c r="E22" s="1" t="s">
        <v>35</v>
      </c>
      <c r="F22" s="1" t="s">
        <v>35</v>
      </c>
      <c r="G22" s="1" t="s">
        <v>15</v>
      </c>
      <c r="H22" s="1" t="str">
        <f>_xlfn.XLOOKUP($G22,型とバイト数!$B$3:$B$52,型とバイト数!$E$3:$E$52,"???")</f>
        <v>???</v>
      </c>
      <c r="I22" s="1"/>
      <c r="J22" s="1"/>
      <c r="K22" s="1"/>
      <c r="L22" s="1"/>
      <c r="M22" s="1"/>
      <c r="N22" s="1"/>
      <c r="O22" s="1"/>
      <c r="P22" s="1"/>
      <c r="Q22" s="1" t="s">
        <v>16</v>
      </c>
      <c r="R22" s="1"/>
    </row>
    <row r="23" spans="1:18" x14ac:dyDescent="0.4">
      <c r="A23" s="3"/>
      <c r="B23" s="4">
        <f t="shared" si="0"/>
        <v>22</v>
      </c>
      <c r="C23" s="1" t="str">
        <f t="shared" si="1"/>
        <v>vtuber_profiles</v>
      </c>
      <c r="D23" s="1" t="str">
        <f t="shared" si="1"/>
        <v>Vtuberプロフィール</v>
      </c>
      <c r="E23" s="1" t="s">
        <v>36</v>
      </c>
      <c r="F23" s="1" t="s">
        <v>36</v>
      </c>
      <c r="G23" s="1" t="s">
        <v>15</v>
      </c>
      <c r="H23" s="1" t="str">
        <f>_xlfn.XLOOKUP($G23,型とバイト数!$B$3:$B$52,型とバイト数!$E$3:$E$52,"???")</f>
        <v>???</v>
      </c>
      <c r="I23" s="1"/>
      <c r="J23" s="1"/>
      <c r="K23" s="1"/>
      <c r="L23" s="1"/>
      <c r="M23" s="1"/>
      <c r="N23" s="1"/>
      <c r="O23" s="1"/>
      <c r="P23" s="1"/>
      <c r="Q23" s="1" t="s">
        <v>16</v>
      </c>
      <c r="R23" s="1"/>
    </row>
    <row r="24" spans="1:18" x14ac:dyDescent="0.4">
      <c r="A24" s="3"/>
      <c r="B24" s="4">
        <f t="shared" si="0"/>
        <v>23</v>
      </c>
      <c r="C24" s="1" t="str">
        <f t="shared" si="1"/>
        <v>vtuber_profiles</v>
      </c>
      <c r="D24" s="1" t="str">
        <f t="shared" si="1"/>
        <v>Vtuberプロフィール</v>
      </c>
      <c r="E24" s="1" t="s">
        <v>37</v>
      </c>
      <c r="F24" s="1" t="s">
        <v>37</v>
      </c>
      <c r="G24" s="1" t="s">
        <v>15</v>
      </c>
      <c r="H24" s="1" t="str">
        <f>_xlfn.XLOOKUP($G24,型とバイト数!$B$3:$B$52,型とバイト数!$E$3:$E$52,"???")</f>
        <v>???</v>
      </c>
      <c r="I24" s="1"/>
      <c r="J24" s="1"/>
      <c r="K24" s="1"/>
      <c r="L24" s="1"/>
      <c r="M24" s="1"/>
      <c r="N24" s="1"/>
      <c r="O24" s="1"/>
      <c r="P24" s="1"/>
      <c r="Q24" s="1" t="s">
        <v>16</v>
      </c>
      <c r="R24" s="1" t="s">
        <v>38</v>
      </c>
    </row>
    <row r="25" spans="1:18" x14ac:dyDescent="0.4">
      <c r="A25" s="3"/>
      <c r="B25" s="4">
        <f t="shared" si="0"/>
        <v>24</v>
      </c>
      <c r="C25" s="1" t="str">
        <f t="shared" si="1"/>
        <v>vtuber_profiles</v>
      </c>
      <c r="D25" s="1" t="str">
        <f t="shared" si="1"/>
        <v>Vtuberプロフィール</v>
      </c>
      <c r="E25" s="1" t="s">
        <v>61</v>
      </c>
      <c r="F25" s="1" t="s">
        <v>61</v>
      </c>
      <c r="G25" s="1" t="s">
        <v>19</v>
      </c>
      <c r="H25" s="1">
        <f>_xlfn.XLOOKUP($G25,型とバイト数!$B$3:$B$52,型とバイト数!$E$3:$E$52,"???")</f>
        <v>128</v>
      </c>
      <c r="I25" s="1" t="s">
        <v>16</v>
      </c>
      <c r="J25" s="1" t="s">
        <v>16</v>
      </c>
      <c r="K25" s="1"/>
      <c r="L25" s="1"/>
      <c r="M25" s="1"/>
      <c r="N25" s="1"/>
      <c r="O25" s="1"/>
      <c r="P25" s="1" t="s">
        <v>16</v>
      </c>
      <c r="Q25" s="1" t="s">
        <v>16</v>
      </c>
      <c r="R25" s="1"/>
    </row>
    <row r="26" spans="1:18" x14ac:dyDescent="0.4">
      <c r="A26" s="3"/>
      <c r="B26" s="4">
        <f t="shared" si="0"/>
        <v>25</v>
      </c>
      <c r="C26" s="1" t="str">
        <f t="shared" si="1"/>
        <v>vtuber_profiles</v>
      </c>
      <c r="D26" s="1" t="str">
        <f t="shared" si="1"/>
        <v>Vtuberプロフィール</v>
      </c>
      <c r="E26" s="1" t="s">
        <v>51</v>
      </c>
      <c r="F26" s="1" t="s">
        <v>51</v>
      </c>
      <c r="G26" s="1" t="s">
        <v>52</v>
      </c>
      <c r="H26" s="1" t="str">
        <f>_xlfn.XLOOKUP($G26,型とバイト数!$B$3:$B$52,型とバイト数!$E$3:$E$52,"???")</f>
        <v>???</v>
      </c>
      <c r="I26" s="1" t="s">
        <v>16</v>
      </c>
      <c r="J26" s="1"/>
      <c r="K26" s="1"/>
      <c r="L26" s="1"/>
      <c r="M26" s="1"/>
      <c r="N26" s="1"/>
      <c r="O26" s="1"/>
      <c r="P26" s="1"/>
      <c r="Q26" s="1" t="s">
        <v>16</v>
      </c>
      <c r="R26" s="1"/>
    </row>
    <row r="27" spans="1:18" x14ac:dyDescent="0.4">
      <c r="A27" s="3"/>
      <c r="B27" s="4">
        <f t="shared" si="0"/>
        <v>26</v>
      </c>
      <c r="C27" s="1" t="str">
        <f t="shared" si="1"/>
        <v>vtuber_profiles</v>
      </c>
      <c r="D27" s="1" t="str">
        <f t="shared" si="1"/>
        <v>Vtuberプロフィール</v>
      </c>
      <c r="E27" s="1" t="s">
        <v>45</v>
      </c>
      <c r="F27" s="1" t="s">
        <v>45</v>
      </c>
      <c r="G27" s="1" t="s">
        <v>15</v>
      </c>
      <c r="H27" s="1" t="str">
        <f>_xlfn.XLOOKUP($G27,型とバイト数!$B$3:$B$52,型とバイト数!$E$3:$E$52,"???")</f>
        <v>???</v>
      </c>
      <c r="I27" s="1"/>
      <c r="J27" s="1" t="s">
        <v>16</v>
      </c>
      <c r="K27" s="1"/>
      <c r="L27" s="1"/>
      <c r="M27" s="1"/>
      <c r="N27" s="1"/>
      <c r="O27" s="1"/>
      <c r="P27" s="1"/>
      <c r="Q27" s="2"/>
      <c r="R27" s="1"/>
    </row>
    <row r="28" spans="1:18" x14ac:dyDescent="0.4">
      <c r="A28" s="3"/>
      <c r="B28" s="4">
        <f t="shared" si="0"/>
        <v>27</v>
      </c>
      <c r="C28" s="1" t="str">
        <f t="shared" si="1"/>
        <v>vtuber_profiles</v>
      </c>
      <c r="D28" s="1" t="str">
        <f t="shared" si="1"/>
        <v>Vtuberプロフィール</v>
      </c>
      <c r="E28" s="1" t="s">
        <v>63</v>
      </c>
      <c r="F28" s="1" t="s">
        <v>63</v>
      </c>
      <c r="G28" s="1" t="s">
        <v>18</v>
      </c>
      <c r="H28" s="1" t="str">
        <f>_xlfn.XLOOKUP($G28,型とバイト数!$B$3:$B$52,型とバイト数!$E$3:$E$52,"???")</f>
        <v>???</v>
      </c>
      <c r="I28" s="1"/>
      <c r="J28" s="1" t="s">
        <v>16</v>
      </c>
      <c r="K28" s="1"/>
      <c r="L28" s="1"/>
      <c r="M28" s="1"/>
      <c r="N28" s="1"/>
      <c r="O28" s="1"/>
      <c r="P28" s="1"/>
      <c r="Q28" s="1" t="s">
        <v>16</v>
      </c>
      <c r="R28" s="1"/>
    </row>
    <row r="29" spans="1:18" x14ac:dyDescent="0.4">
      <c r="A29" s="3"/>
      <c r="B29" s="4">
        <f t="shared" si="0"/>
        <v>28</v>
      </c>
      <c r="C29" s="1" t="str">
        <f t="shared" si="1"/>
        <v>vtuber_profiles</v>
      </c>
      <c r="D29" s="1" t="str">
        <f t="shared" si="1"/>
        <v>Vtuberプロフィール</v>
      </c>
      <c r="E29" s="1" t="s">
        <v>93</v>
      </c>
      <c r="F29" s="1" t="s">
        <v>93</v>
      </c>
      <c r="G29" s="1" t="s">
        <v>52</v>
      </c>
      <c r="H29" s="1" t="str">
        <f>_xlfn.XLOOKUP($G29,型とバイト数!$B$3:$B$52,型とバイト数!$E$3:$E$52,"???")</f>
        <v>???</v>
      </c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1:18" x14ac:dyDescent="0.4">
      <c r="A30" s="3" t="s">
        <v>164</v>
      </c>
      <c r="B30" s="4">
        <f t="shared" si="0"/>
        <v>29</v>
      </c>
      <c r="C30" s="1" t="str">
        <f t="shared" si="1"/>
        <v>vtuber_profiles</v>
      </c>
      <c r="D30" s="1" t="str">
        <f t="shared" si="1"/>
        <v>Vtuberプロフィール</v>
      </c>
      <c r="E30" s="1" t="s">
        <v>149</v>
      </c>
      <c r="F30" s="1" t="s">
        <v>87</v>
      </c>
      <c r="G30" s="1" t="s">
        <v>356</v>
      </c>
      <c r="H30" s="1">
        <v>64</v>
      </c>
      <c r="I30" s="1"/>
      <c r="J30" s="1"/>
      <c r="K30" s="1" t="s">
        <v>16</v>
      </c>
      <c r="L30" s="1"/>
      <c r="M30" s="1" t="s">
        <v>158</v>
      </c>
      <c r="N30" s="1"/>
      <c r="O30" s="1"/>
      <c r="P30" s="1"/>
      <c r="Q30" s="1"/>
      <c r="R30" s="1"/>
    </row>
    <row r="31" spans="1:18" x14ac:dyDescent="0.4">
      <c r="A31" s="3" t="s">
        <v>164</v>
      </c>
      <c r="B31" s="4">
        <f t="shared" si="0"/>
        <v>30</v>
      </c>
      <c r="C31" s="1" t="str">
        <f t="shared" si="1"/>
        <v>vtuber_profiles</v>
      </c>
      <c r="D31" s="1" t="str">
        <f t="shared" si="1"/>
        <v>Vtuberプロフィール</v>
      </c>
      <c r="E31" s="1" t="s">
        <v>152</v>
      </c>
      <c r="F31" s="1" t="s">
        <v>88</v>
      </c>
      <c r="G31" s="1" t="s">
        <v>160</v>
      </c>
      <c r="H31" s="1">
        <f>32*8</f>
        <v>256</v>
      </c>
      <c r="I31" s="1"/>
      <c r="J31" s="1"/>
      <c r="K31" s="1" t="s">
        <v>16</v>
      </c>
      <c r="L31" s="1"/>
      <c r="M31" s="1" t="s">
        <v>159</v>
      </c>
      <c r="N31" s="1"/>
      <c r="O31" s="1"/>
      <c r="P31" s="1"/>
      <c r="Q31" s="1"/>
      <c r="R31" s="1" t="s">
        <v>161</v>
      </c>
    </row>
    <row r="32" spans="1:18" x14ac:dyDescent="0.4">
      <c r="A32" s="3" t="s">
        <v>164</v>
      </c>
      <c r="B32" s="4">
        <f t="shared" si="0"/>
        <v>31</v>
      </c>
      <c r="C32" s="1" t="str">
        <f t="shared" si="1"/>
        <v>vtuber_profiles</v>
      </c>
      <c r="D32" s="1" t="str">
        <f t="shared" si="1"/>
        <v>Vtuberプロフィール</v>
      </c>
      <c r="E32" s="1" t="s">
        <v>153</v>
      </c>
      <c r="F32" s="1" t="s">
        <v>89</v>
      </c>
      <c r="G32" s="1" t="s">
        <v>356</v>
      </c>
      <c r="H32" s="1">
        <v>64</v>
      </c>
      <c r="I32" s="1"/>
      <c r="J32" s="1"/>
      <c r="K32" s="1" t="s">
        <v>16</v>
      </c>
      <c r="L32" s="1"/>
      <c r="M32" s="1" t="s">
        <v>158</v>
      </c>
      <c r="N32" s="1"/>
      <c r="O32" s="1"/>
      <c r="P32" s="1"/>
      <c r="Q32" s="1"/>
      <c r="R32" s="1"/>
    </row>
    <row r="33" spans="1:18" x14ac:dyDescent="0.4">
      <c r="A33" s="3" t="s">
        <v>164</v>
      </c>
      <c r="B33" s="4">
        <f t="shared" si="0"/>
        <v>32</v>
      </c>
      <c r="C33" s="1" t="str">
        <f t="shared" si="1"/>
        <v>vtuber_profiles</v>
      </c>
      <c r="D33" s="1" t="str">
        <f t="shared" si="1"/>
        <v>Vtuberプロフィール</v>
      </c>
      <c r="E33" s="1" t="s">
        <v>154</v>
      </c>
      <c r="F33" s="1" t="s">
        <v>90</v>
      </c>
      <c r="G33" s="1" t="s">
        <v>160</v>
      </c>
      <c r="H33" s="1">
        <f>32*8</f>
        <v>256</v>
      </c>
      <c r="I33" s="1"/>
      <c r="J33" s="1"/>
      <c r="K33" s="1" t="s">
        <v>16</v>
      </c>
      <c r="L33" s="1"/>
      <c r="M33" s="1" t="s">
        <v>159</v>
      </c>
      <c r="N33" s="1"/>
      <c r="O33" s="1"/>
      <c r="P33" s="1"/>
      <c r="Q33" s="1"/>
      <c r="R33" s="1" t="s">
        <v>161</v>
      </c>
    </row>
    <row r="34" spans="1:18" x14ac:dyDescent="0.4">
      <c r="A34" s="3" t="s">
        <v>164</v>
      </c>
      <c r="B34" s="4">
        <f t="shared" si="0"/>
        <v>33</v>
      </c>
      <c r="C34" s="1" t="str">
        <f t="shared" si="1"/>
        <v>vtuber_profiles</v>
      </c>
      <c r="D34" s="1" t="str">
        <f t="shared" si="1"/>
        <v>Vtuberプロフィール</v>
      </c>
      <c r="E34" s="1" t="s">
        <v>155</v>
      </c>
      <c r="F34" s="1" t="s">
        <v>91</v>
      </c>
      <c r="G34" s="1" t="s">
        <v>358</v>
      </c>
      <c r="H34" s="1">
        <v>1</v>
      </c>
      <c r="I34" s="1"/>
      <c r="J34" s="1"/>
      <c r="K34" s="1" t="s">
        <v>16</v>
      </c>
      <c r="L34" s="1"/>
      <c r="M34" s="1" t="b">
        <v>0</v>
      </c>
      <c r="N34" s="1"/>
      <c r="O34" s="1"/>
      <c r="P34" s="1"/>
      <c r="Q34" s="1"/>
      <c r="R34" s="1"/>
    </row>
    <row r="35" spans="1:18" x14ac:dyDescent="0.4">
      <c r="A35" s="3" t="s">
        <v>164</v>
      </c>
      <c r="B35" s="4">
        <f t="shared" si="0"/>
        <v>34</v>
      </c>
      <c r="C35" s="1" t="str">
        <f t="shared" si="1"/>
        <v>vtuber_profiles</v>
      </c>
      <c r="D35" s="1" t="str">
        <f t="shared" si="1"/>
        <v>Vtuberプロフィール</v>
      </c>
      <c r="E35" s="1" t="s">
        <v>156</v>
      </c>
      <c r="F35" s="1" t="s">
        <v>92</v>
      </c>
      <c r="G35" s="1" t="s">
        <v>358</v>
      </c>
      <c r="H35" s="1">
        <v>1</v>
      </c>
      <c r="I35" s="1"/>
      <c r="J35" s="1"/>
      <c r="K35" s="1" t="s">
        <v>16</v>
      </c>
      <c r="L35" s="1"/>
      <c r="M35" s="1" t="b">
        <v>0</v>
      </c>
      <c r="N35" s="1"/>
      <c r="O35" s="1"/>
      <c r="P35" s="1"/>
      <c r="Q35" s="1"/>
      <c r="R35" s="1"/>
    </row>
    <row r="36" spans="1:18" x14ac:dyDescent="0.4">
      <c r="A36" s="3" t="s">
        <v>164</v>
      </c>
      <c r="B36" s="4">
        <f t="shared" si="0"/>
        <v>35</v>
      </c>
      <c r="C36" s="1" t="s">
        <v>116</v>
      </c>
      <c r="D36" s="1" t="s">
        <v>4</v>
      </c>
      <c r="E36" s="1" t="s">
        <v>146</v>
      </c>
      <c r="F36" s="1" t="s">
        <v>19</v>
      </c>
      <c r="G36" s="1" t="s">
        <v>146</v>
      </c>
      <c r="H36" s="1">
        <v>128</v>
      </c>
      <c r="I36" s="1" t="s">
        <v>16</v>
      </c>
      <c r="J36" s="1"/>
      <c r="K36" s="1" t="s">
        <v>16</v>
      </c>
      <c r="L36" s="1" t="s">
        <v>16</v>
      </c>
      <c r="M36" s="1" t="s">
        <v>157</v>
      </c>
      <c r="N36" s="1"/>
      <c r="O36" s="1"/>
      <c r="P36" s="1"/>
      <c r="Q36" s="1"/>
      <c r="R36" s="1"/>
    </row>
    <row r="37" spans="1:18" x14ac:dyDescent="0.4">
      <c r="A37" s="3"/>
      <c r="B37" s="4">
        <f t="shared" si="0"/>
        <v>36</v>
      </c>
      <c r="C37" s="1" t="str">
        <f>C36</f>
        <v>group</v>
      </c>
      <c r="D37" s="1" t="str">
        <f>D36</f>
        <v>所属</v>
      </c>
      <c r="E37" s="1" t="s">
        <v>40</v>
      </c>
      <c r="F37" s="1" t="s">
        <v>40</v>
      </c>
      <c r="G37" s="1" t="s">
        <v>15</v>
      </c>
      <c r="H37" s="1" t="str">
        <f>_xlfn.XLOOKUP($G37,型とバイト数!$B$3:$B$52,型とバイト数!$E$3:$E$52,"???")</f>
        <v>???</v>
      </c>
      <c r="I37" s="1"/>
      <c r="J37" s="1"/>
      <c r="K37" s="1"/>
      <c r="L37" s="1"/>
      <c r="M37" s="1"/>
      <c r="N37" s="1"/>
      <c r="O37" s="1"/>
      <c r="P37" s="1"/>
      <c r="Q37" s="1" t="s">
        <v>16</v>
      </c>
      <c r="R37" s="1"/>
    </row>
    <row r="38" spans="1:18" x14ac:dyDescent="0.4">
      <c r="A38" s="3"/>
      <c r="B38" s="4">
        <f t="shared" si="0"/>
        <v>37</v>
      </c>
      <c r="C38" s="1" t="str">
        <f t="shared" ref="C38:D46" si="2">C37</f>
        <v>group</v>
      </c>
      <c r="D38" s="1" t="str">
        <f t="shared" si="2"/>
        <v>所属</v>
      </c>
      <c r="E38" s="1" t="s">
        <v>43</v>
      </c>
      <c r="F38" s="1" t="s">
        <v>43</v>
      </c>
      <c r="G38" s="1" t="s">
        <v>15</v>
      </c>
      <c r="H38" s="1" t="str">
        <f>_xlfn.XLOOKUP($G38,型とバイト数!$B$3:$B$52,型とバイト数!$E$3:$E$52,"???")</f>
        <v>???</v>
      </c>
      <c r="I38" s="1"/>
      <c r="J38" s="1" t="s">
        <v>16</v>
      </c>
      <c r="K38" s="1"/>
      <c r="L38" s="1"/>
      <c r="M38" s="1"/>
      <c r="N38" s="1"/>
      <c r="O38" s="1"/>
      <c r="P38" s="1"/>
      <c r="Q38" s="2"/>
      <c r="R38" s="1"/>
    </row>
    <row r="39" spans="1:18" x14ac:dyDescent="0.4">
      <c r="A39" s="3"/>
      <c r="B39" s="4">
        <f t="shared" si="0"/>
        <v>38</v>
      </c>
      <c r="C39" s="1" t="str">
        <f t="shared" si="2"/>
        <v>group</v>
      </c>
      <c r="D39" s="1" t="str">
        <f t="shared" si="2"/>
        <v>所属</v>
      </c>
      <c r="E39" s="1" t="s">
        <v>59</v>
      </c>
      <c r="F39" s="1" t="s">
        <v>59</v>
      </c>
      <c r="G39" s="1" t="s">
        <v>15</v>
      </c>
      <c r="H39" s="1" t="str">
        <f>_xlfn.XLOOKUP($G39,型とバイト数!$B$3:$B$52,型とバイト数!$E$3:$E$52,"???")</f>
        <v>???</v>
      </c>
      <c r="I39" s="1"/>
      <c r="J39" s="1"/>
      <c r="K39" s="1"/>
      <c r="L39" s="1"/>
      <c r="M39" s="1"/>
      <c r="N39" s="1"/>
      <c r="O39" s="1"/>
      <c r="P39" s="1"/>
      <c r="Q39" s="2"/>
      <c r="R39" s="1"/>
    </row>
    <row r="40" spans="1:18" x14ac:dyDescent="0.4">
      <c r="A40" s="3"/>
      <c r="B40" s="4">
        <f t="shared" si="0"/>
        <v>39</v>
      </c>
      <c r="C40" s="1" t="str">
        <f t="shared" si="2"/>
        <v>group</v>
      </c>
      <c r="D40" s="1" t="str">
        <f t="shared" si="2"/>
        <v>所属</v>
      </c>
      <c r="E40" s="1" t="s">
        <v>60</v>
      </c>
      <c r="F40" s="1" t="s">
        <v>60</v>
      </c>
      <c r="G40" s="1" t="s">
        <v>15</v>
      </c>
      <c r="H40" s="1" t="str">
        <f>_xlfn.XLOOKUP($G40,型とバイト数!$B$3:$B$52,型とバイト数!$E$3:$E$52,"???")</f>
        <v>???</v>
      </c>
      <c r="I40" s="1"/>
      <c r="J40" s="1"/>
      <c r="K40" s="1"/>
      <c r="L40" s="1"/>
      <c r="M40" s="1"/>
      <c r="N40" s="1"/>
      <c r="O40" s="1"/>
      <c r="P40" s="1"/>
      <c r="Q40" s="2"/>
      <c r="R40" s="1"/>
    </row>
    <row r="41" spans="1:18" x14ac:dyDescent="0.4">
      <c r="A41" s="3" t="s">
        <v>164</v>
      </c>
      <c r="B41" s="4">
        <f t="shared" si="0"/>
        <v>40</v>
      </c>
      <c r="C41" s="1" t="str">
        <f t="shared" si="2"/>
        <v>group</v>
      </c>
      <c r="D41" s="1" t="str">
        <f t="shared" si="2"/>
        <v>所属</v>
      </c>
      <c r="E41" s="1" t="s">
        <v>149</v>
      </c>
      <c r="F41" s="1" t="s">
        <v>87</v>
      </c>
      <c r="G41" s="1" t="s">
        <v>356</v>
      </c>
      <c r="H41" s="1">
        <v>64</v>
      </c>
      <c r="I41" s="1"/>
      <c r="J41" s="1"/>
      <c r="K41" s="1" t="s">
        <v>16</v>
      </c>
      <c r="L41" s="1"/>
      <c r="M41" s="1" t="s">
        <v>158</v>
      </c>
      <c r="N41" s="1"/>
      <c r="O41" s="1"/>
      <c r="P41" s="1"/>
      <c r="Q41" s="1"/>
      <c r="R41" s="1"/>
    </row>
    <row r="42" spans="1:18" x14ac:dyDescent="0.4">
      <c r="A42" s="3" t="s">
        <v>164</v>
      </c>
      <c r="B42" s="4">
        <f t="shared" si="0"/>
        <v>41</v>
      </c>
      <c r="C42" s="1" t="str">
        <f t="shared" si="2"/>
        <v>group</v>
      </c>
      <c r="D42" s="1" t="str">
        <f t="shared" si="2"/>
        <v>所属</v>
      </c>
      <c r="E42" s="1" t="s">
        <v>152</v>
      </c>
      <c r="F42" s="1" t="s">
        <v>88</v>
      </c>
      <c r="G42" s="1" t="s">
        <v>160</v>
      </c>
      <c r="H42" s="1">
        <f>32*8</f>
        <v>256</v>
      </c>
      <c r="I42" s="1"/>
      <c r="J42" s="1"/>
      <c r="K42" s="1" t="s">
        <v>16</v>
      </c>
      <c r="L42" s="1"/>
      <c r="M42" s="1" t="s">
        <v>159</v>
      </c>
      <c r="N42" s="1"/>
      <c r="O42" s="1"/>
      <c r="P42" s="1"/>
      <c r="Q42" s="1"/>
      <c r="R42" s="1" t="s">
        <v>161</v>
      </c>
    </row>
    <row r="43" spans="1:18" x14ac:dyDescent="0.4">
      <c r="A43" s="3" t="s">
        <v>164</v>
      </c>
      <c r="B43" s="4">
        <f t="shared" si="0"/>
        <v>42</v>
      </c>
      <c r="C43" s="1" t="str">
        <f t="shared" si="2"/>
        <v>group</v>
      </c>
      <c r="D43" s="1" t="str">
        <f t="shared" si="2"/>
        <v>所属</v>
      </c>
      <c r="E43" s="1" t="s">
        <v>153</v>
      </c>
      <c r="F43" s="1" t="s">
        <v>89</v>
      </c>
      <c r="G43" s="1" t="s">
        <v>356</v>
      </c>
      <c r="H43" s="1">
        <v>64</v>
      </c>
      <c r="I43" s="1"/>
      <c r="J43" s="1"/>
      <c r="K43" s="1" t="s">
        <v>16</v>
      </c>
      <c r="L43" s="1"/>
      <c r="M43" s="1" t="s">
        <v>158</v>
      </c>
      <c r="N43" s="1"/>
      <c r="O43" s="1"/>
      <c r="P43" s="1"/>
      <c r="Q43" s="1"/>
      <c r="R43" s="1"/>
    </row>
    <row r="44" spans="1:18" x14ac:dyDescent="0.4">
      <c r="A44" s="3" t="s">
        <v>164</v>
      </c>
      <c r="B44" s="4">
        <f t="shared" si="0"/>
        <v>43</v>
      </c>
      <c r="C44" s="1" t="str">
        <f t="shared" si="2"/>
        <v>group</v>
      </c>
      <c r="D44" s="1" t="str">
        <f t="shared" si="2"/>
        <v>所属</v>
      </c>
      <c r="E44" s="1" t="s">
        <v>154</v>
      </c>
      <c r="F44" s="1" t="s">
        <v>90</v>
      </c>
      <c r="G44" s="1" t="s">
        <v>160</v>
      </c>
      <c r="H44" s="1">
        <f>32*8</f>
        <v>256</v>
      </c>
      <c r="I44" s="1"/>
      <c r="J44" s="1"/>
      <c r="K44" s="1" t="s">
        <v>16</v>
      </c>
      <c r="L44" s="1"/>
      <c r="M44" s="1" t="s">
        <v>159</v>
      </c>
      <c r="N44" s="1"/>
      <c r="O44" s="1"/>
      <c r="P44" s="1"/>
      <c r="Q44" s="1"/>
      <c r="R44" s="1" t="s">
        <v>161</v>
      </c>
    </row>
    <row r="45" spans="1:18" x14ac:dyDescent="0.4">
      <c r="A45" s="3" t="s">
        <v>164</v>
      </c>
      <c r="B45" s="4">
        <f t="shared" si="0"/>
        <v>44</v>
      </c>
      <c r="C45" s="1" t="str">
        <f t="shared" si="2"/>
        <v>group</v>
      </c>
      <c r="D45" s="1" t="str">
        <f t="shared" si="2"/>
        <v>所属</v>
      </c>
      <c r="E45" s="1" t="s">
        <v>155</v>
      </c>
      <c r="F45" s="1" t="s">
        <v>91</v>
      </c>
      <c r="G45" s="1" t="s">
        <v>358</v>
      </c>
      <c r="H45" s="1">
        <v>1</v>
      </c>
      <c r="I45" s="1"/>
      <c r="J45" s="1"/>
      <c r="K45" s="1" t="s">
        <v>16</v>
      </c>
      <c r="L45" s="1"/>
      <c r="M45" s="1" t="b">
        <v>0</v>
      </c>
      <c r="N45" s="1"/>
      <c r="O45" s="1"/>
      <c r="P45" s="1"/>
      <c r="Q45" s="1"/>
      <c r="R45" s="1"/>
    </row>
    <row r="46" spans="1:18" x14ac:dyDescent="0.4">
      <c r="A46" s="3" t="s">
        <v>164</v>
      </c>
      <c r="B46" s="4">
        <f t="shared" si="0"/>
        <v>45</v>
      </c>
      <c r="C46" s="1" t="str">
        <f t="shared" si="2"/>
        <v>group</v>
      </c>
      <c r="D46" s="1" t="str">
        <f t="shared" si="2"/>
        <v>所属</v>
      </c>
      <c r="E46" s="1" t="s">
        <v>156</v>
      </c>
      <c r="F46" s="1" t="s">
        <v>92</v>
      </c>
      <c r="G46" s="1" t="s">
        <v>358</v>
      </c>
      <c r="H46" s="1">
        <v>1</v>
      </c>
      <c r="I46" s="1"/>
      <c r="J46" s="1"/>
      <c r="K46" s="1" t="s">
        <v>16</v>
      </c>
      <c r="L46" s="1"/>
      <c r="M46" s="1" t="b">
        <v>0</v>
      </c>
      <c r="N46" s="1"/>
      <c r="O46" s="1"/>
      <c r="P46" s="1"/>
      <c r="Q46" s="1"/>
      <c r="R46" s="1"/>
    </row>
    <row r="47" spans="1:18" x14ac:dyDescent="0.4">
      <c r="A47" s="3" t="s">
        <v>164</v>
      </c>
      <c r="B47" s="4">
        <f t="shared" si="0"/>
        <v>46</v>
      </c>
      <c r="C47" s="1" t="s">
        <v>117</v>
      </c>
      <c r="D47" s="1" t="s">
        <v>11</v>
      </c>
      <c r="E47" s="1" t="s">
        <v>146</v>
      </c>
      <c r="F47" s="1" t="s">
        <v>19</v>
      </c>
      <c r="G47" s="1" t="s">
        <v>146</v>
      </c>
      <c r="H47" s="1">
        <v>128</v>
      </c>
      <c r="I47" s="1" t="s">
        <v>16</v>
      </c>
      <c r="J47" s="1"/>
      <c r="K47" s="1" t="s">
        <v>16</v>
      </c>
      <c r="L47" s="1" t="s">
        <v>16</v>
      </c>
      <c r="M47" s="1" t="s">
        <v>157</v>
      </c>
      <c r="N47" s="1"/>
      <c r="O47" s="1"/>
      <c r="P47" s="1"/>
      <c r="Q47" s="1"/>
      <c r="R47" s="1"/>
    </row>
    <row r="48" spans="1:18" x14ac:dyDescent="0.4">
      <c r="A48" s="3" t="s">
        <v>163</v>
      </c>
      <c r="B48" s="4">
        <f t="shared" si="0"/>
        <v>47</v>
      </c>
      <c r="C48" s="1" t="str">
        <f>C47</f>
        <v>tag</v>
      </c>
      <c r="D48" s="1" t="str">
        <f>D47</f>
        <v>タグ</v>
      </c>
      <c r="E48" s="1" t="s">
        <v>117</v>
      </c>
      <c r="F48" s="1" t="s">
        <v>44</v>
      </c>
      <c r="G48" s="1" t="s">
        <v>397</v>
      </c>
      <c r="H48" s="1" t="str">
        <f>_xlfn.XLOOKUP($G48,型とバイト数!$B$3:$B$52,型とバイト数!$E$3:$E$52,"???")</f>
        <v>-</v>
      </c>
      <c r="I48" s="1"/>
      <c r="J48" s="1"/>
      <c r="K48" s="1"/>
      <c r="L48" s="1" t="s">
        <v>386</v>
      </c>
      <c r="M48" s="1"/>
      <c r="N48" s="1"/>
      <c r="O48" s="1"/>
      <c r="P48" s="1"/>
      <c r="Q48" s="1" t="s">
        <v>16</v>
      </c>
      <c r="R48" s="1"/>
    </row>
    <row r="49" spans="1:18" x14ac:dyDescent="0.4">
      <c r="A49" s="3" t="s">
        <v>164</v>
      </c>
      <c r="B49" s="4">
        <f t="shared" si="0"/>
        <v>48</v>
      </c>
      <c r="C49" s="1" t="str">
        <f t="shared" ref="C49:D54" si="3">C48</f>
        <v>tag</v>
      </c>
      <c r="D49" s="1" t="str">
        <f t="shared" si="3"/>
        <v>タグ</v>
      </c>
      <c r="E49" s="1" t="s">
        <v>149</v>
      </c>
      <c r="F49" s="1" t="s">
        <v>87</v>
      </c>
      <c r="G49" s="1" t="s">
        <v>356</v>
      </c>
      <c r="H49" s="1">
        <v>64</v>
      </c>
      <c r="I49" s="1"/>
      <c r="J49" s="1"/>
      <c r="K49" s="1" t="s">
        <v>16</v>
      </c>
      <c r="L49" s="1"/>
      <c r="M49" s="1" t="s">
        <v>158</v>
      </c>
      <c r="N49" s="1"/>
      <c r="O49" s="1"/>
      <c r="P49" s="1"/>
      <c r="Q49" s="1"/>
      <c r="R49" s="1"/>
    </row>
    <row r="50" spans="1:18" x14ac:dyDescent="0.4">
      <c r="A50" s="3" t="s">
        <v>164</v>
      </c>
      <c r="B50" s="4">
        <f t="shared" si="0"/>
        <v>49</v>
      </c>
      <c r="C50" s="1" t="str">
        <f t="shared" si="3"/>
        <v>tag</v>
      </c>
      <c r="D50" s="1" t="str">
        <f t="shared" si="3"/>
        <v>タグ</v>
      </c>
      <c r="E50" s="1" t="s">
        <v>152</v>
      </c>
      <c r="F50" s="1" t="s">
        <v>88</v>
      </c>
      <c r="G50" s="1" t="s">
        <v>160</v>
      </c>
      <c r="H50" s="1">
        <f>32*8</f>
        <v>256</v>
      </c>
      <c r="I50" s="1"/>
      <c r="J50" s="1"/>
      <c r="K50" s="1" t="s">
        <v>16</v>
      </c>
      <c r="L50" s="1"/>
      <c r="M50" s="1" t="s">
        <v>159</v>
      </c>
      <c r="N50" s="1"/>
      <c r="O50" s="1"/>
      <c r="P50" s="1"/>
      <c r="Q50" s="1"/>
      <c r="R50" s="1" t="s">
        <v>161</v>
      </c>
    </row>
    <row r="51" spans="1:18" x14ac:dyDescent="0.4">
      <c r="A51" s="3" t="s">
        <v>164</v>
      </c>
      <c r="B51" s="4">
        <f t="shared" si="0"/>
        <v>50</v>
      </c>
      <c r="C51" s="1" t="str">
        <f t="shared" si="3"/>
        <v>tag</v>
      </c>
      <c r="D51" s="1" t="str">
        <f t="shared" si="3"/>
        <v>タグ</v>
      </c>
      <c r="E51" s="1" t="s">
        <v>153</v>
      </c>
      <c r="F51" s="1" t="s">
        <v>89</v>
      </c>
      <c r="G51" s="1" t="s">
        <v>356</v>
      </c>
      <c r="H51" s="1">
        <v>64</v>
      </c>
      <c r="I51" s="1"/>
      <c r="J51" s="1"/>
      <c r="K51" s="1" t="s">
        <v>16</v>
      </c>
      <c r="L51" s="1"/>
      <c r="M51" s="1" t="s">
        <v>158</v>
      </c>
      <c r="N51" s="1"/>
      <c r="O51" s="1"/>
      <c r="P51" s="1"/>
      <c r="Q51" s="1"/>
      <c r="R51" s="1"/>
    </row>
    <row r="52" spans="1:18" x14ac:dyDescent="0.4">
      <c r="A52" s="3" t="s">
        <v>164</v>
      </c>
      <c r="B52" s="4">
        <f t="shared" si="0"/>
        <v>51</v>
      </c>
      <c r="C52" s="1" t="str">
        <f t="shared" si="3"/>
        <v>tag</v>
      </c>
      <c r="D52" s="1" t="str">
        <f t="shared" si="3"/>
        <v>タグ</v>
      </c>
      <c r="E52" s="1" t="s">
        <v>154</v>
      </c>
      <c r="F52" s="1" t="s">
        <v>90</v>
      </c>
      <c r="G52" s="1" t="s">
        <v>160</v>
      </c>
      <c r="H52" s="1">
        <f>32*8</f>
        <v>256</v>
      </c>
      <c r="I52" s="1"/>
      <c r="J52" s="1"/>
      <c r="K52" s="1" t="s">
        <v>16</v>
      </c>
      <c r="L52" s="1"/>
      <c r="M52" s="1" t="s">
        <v>159</v>
      </c>
      <c r="N52" s="1"/>
      <c r="O52" s="1"/>
      <c r="P52" s="1"/>
      <c r="Q52" s="1"/>
      <c r="R52" s="1" t="s">
        <v>161</v>
      </c>
    </row>
    <row r="53" spans="1:18" x14ac:dyDescent="0.4">
      <c r="A53" s="3" t="s">
        <v>164</v>
      </c>
      <c r="B53" s="4">
        <f t="shared" si="0"/>
        <v>52</v>
      </c>
      <c r="C53" s="1" t="str">
        <f t="shared" si="3"/>
        <v>tag</v>
      </c>
      <c r="D53" s="1" t="str">
        <f t="shared" si="3"/>
        <v>タグ</v>
      </c>
      <c r="E53" s="1" t="s">
        <v>155</v>
      </c>
      <c r="F53" s="1" t="s">
        <v>91</v>
      </c>
      <c r="G53" s="1" t="s">
        <v>358</v>
      </c>
      <c r="H53" s="1">
        <v>1</v>
      </c>
      <c r="I53" s="1"/>
      <c r="J53" s="1"/>
      <c r="K53" s="1" t="s">
        <v>16</v>
      </c>
      <c r="L53" s="1"/>
      <c r="M53" s="1" t="b">
        <v>0</v>
      </c>
      <c r="N53" s="1"/>
      <c r="O53" s="1"/>
      <c r="P53" s="1"/>
      <c r="Q53" s="1"/>
      <c r="R53" s="1"/>
    </row>
    <row r="54" spans="1:18" x14ac:dyDescent="0.4">
      <c r="A54" s="3" t="s">
        <v>164</v>
      </c>
      <c r="B54" s="4">
        <f t="shared" si="0"/>
        <v>53</v>
      </c>
      <c r="C54" s="1" t="str">
        <f t="shared" si="3"/>
        <v>tag</v>
      </c>
      <c r="D54" s="1" t="str">
        <f t="shared" si="3"/>
        <v>タグ</v>
      </c>
      <c r="E54" s="1" t="s">
        <v>156</v>
      </c>
      <c r="F54" s="1" t="s">
        <v>92</v>
      </c>
      <c r="G54" s="1" t="s">
        <v>358</v>
      </c>
      <c r="H54" s="1">
        <v>1</v>
      </c>
      <c r="I54" s="1"/>
      <c r="J54" s="1"/>
      <c r="K54" s="1" t="s">
        <v>16</v>
      </c>
      <c r="L54" s="1"/>
      <c r="M54" s="1" t="b">
        <v>0</v>
      </c>
      <c r="N54" s="1"/>
      <c r="O54" s="1"/>
      <c r="P54" s="1"/>
      <c r="Q54" s="1"/>
      <c r="R54" s="1"/>
    </row>
    <row r="55" spans="1:18" x14ac:dyDescent="0.4">
      <c r="A55" s="3" t="s">
        <v>164</v>
      </c>
      <c r="B55" s="4">
        <f t="shared" si="0"/>
        <v>54</v>
      </c>
      <c r="C55" s="1" t="s">
        <v>118</v>
      </c>
      <c r="D55" s="1" t="s">
        <v>46</v>
      </c>
      <c r="E55" s="1" t="s">
        <v>146</v>
      </c>
      <c r="F55" s="1" t="s">
        <v>19</v>
      </c>
      <c r="G55" s="1" t="s">
        <v>146</v>
      </c>
      <c r="H55" s="1">
        <v>128</v>
      </c>
      <c r="I55" s="1" t="s">
        <v>16</v>
      </c>
      <c r="J55" s="1"/>
      <c r="K55" s="1" t="s">
        <v>16</v>
      </c>
      <c r="L55" s="1" t="s">
        <v>16</v>
      </c>
      <c r="M55" s="1" t="s">
        <v>157</v>
      </c>
      <c r="N55" s="1"/>
      <c r="O55" s="1"/>
      <c r="P55" s="1"/>
      <c r="Q55" s="1"/>
      <c r="R55" s="1"/>
    </row>
    <row r="56" spans="1:18" x14ac:dyDescent="0.4">
      <c r="A56" s="3" t="s">
        <v>163</v>
      </c>
      <c r="B56" s="4">
        <f t="shared" si="0"/>
        <v>55</v>
      </c>
      <c r="C56" s="1" t="str">
        <f>C55</f>
        <v>badge</v>
      </c>
      <c r="D56" s="1" t="str">
        <f>D55</f>
        <v>バッジ</v>
      </c>
      <c r="E56" s="1" t="s">
        <v>395</v>
      </c>
      <c r="F56" s="1" t="s">
        <v>49</v>
      </c>
      <c r="G56" s="1" t="s">
        <v>396</v>
      </c>
      <c r="H56" s="1">
        <f>8*24</f>
        <v>192</v>
      </c>
      <c r="I56" s="1" t="s">
        <v>16</v>
      </c>
      <c r="J56" s="1"/>
      <c r="K56" s="1"/>
      <c r="L56" s="1" t="s">
        <v>16</v>
      </c>
      <c r="M56" s="1"/>
      <c r="N56" s="1"/>
      <c r="O56" s="1"/>
      <c r="P56" s="1"/>
      <c r="Q56" s="1" t="s">
        <v>16</v>
      </c>
      <c r="R56" s="1"/>
    </row>
    <row r="57" spans="1:18" x14ac:dyDescent="0.4">
      <c r="A57" s="3" t="s">
        <v>163</v>
      </c>
      <c r="B57" s="4">
        <f t="shared" si="0"/>
        <v>56</v>
      </c>
      <c r="C57" s="1" t="str">
        <f t="shared" ref="C57:D63" si="4">C56</f>
        <v>badge</v>
      </c>
      <c r="D57" s="1" t="str">
        <f t="shared" si="4"/>
        <v>バッジ</v>
      </c>
      <c r="E57" s="1" t="s">
        <v>394</v>
      </c>
      <c r="F57" s="1" t="s">
        <v>50</v>
      </c>
      <c r="G57" s="1" t="s">
        <v>396</v>
      </c>
      <c r="H57" s="1">
        <f>8*24</f>
        <v>192</v>
      </c>
      <c r="I57" s="1"/>
      <c r="J57" s="1"/>
      <c r="K57" s="1"/>
      <c r="L57" s="1"/>
      <c r="M57" s="1"/>
      <c r="N57" s="1"/>
      <c r="O57" s="1"/>
      <c r="P57" s="1"/>
      <c r="Q57" s="1" t="s">
        <v>16</v>
      </c>
      <c r="R57" s="1" t="s">
        <v>362</v>
      </c>
    </row>
    <row r="58" spans="1:18" x14ac:dyDescent="0.4">
      <c r="A58" s="3" t="s">
        <v>164</v>
      </c>
      <c r="B58" s="4">
        <f t="shared" si="0"/>
        <v>57</v>
      </c>
      <c r="C58" s="1" t="str">
        <f t="shared" si="4"/>
        <v>badge</v>
      </c>
      <c r="D58" s="1" t="str">
        <f t="shared" si="4"/>
        <v>バッジ</v>
      </c>
      <c r="E58" s="1" t="s">
        <v>149</v>
      </c>
      <c r="F58" s="1" t="s">
        <v>87</v>
      </c>
      <c r="G58" s="1" t="s">
        <v>356</v>
      </c>
      <c r="H58" s="1">
        <v>64</v>
      </c>
      <c r="I58" s="1"/>
      <c r="J58" s="1"/>
      <c r="K58" s="1" t="s">
        <v>16</v>
      </c>
      <c r="L58" s="1"/>
      <c r="M58" s="1" t="s">
        <v>158</v>
      </c>
      <c r="N58" s="1"/>
      <c r="O58" s="1"/>
      <c r="P58" s="1"/>
      <c r="Q58" s="1"/>
      <c r="R58" s="1"/>
    </row>
    <row r="59" spans="1:18" x14ac:dyDescent="0.4">
      <c r="A59" s="3" t="s">
        <v>164</v>
      </c>
      <c r="B59" s="4">
        <f t="shared" si="0"/>
        <v>58</v>
      </c>
      <c r="C59" s="1" t="str">
        <f t="shared" si="4"/>
        <v>badge</v>
      </c>
      <c r="D59" s="1" t="str">
        <f t="shared" si="4"/>
        <v>バッジ</v>
      </c>
      <c r="E59" s="1" t="s">
        <v>152</v>
      </c>
      <c r="F59" s="1" t="s">
        <v>88</v>
      </c>
      <c r="G59" s="1" t="s">
        <v>160</v>
      </c>
      <c r="H59" s="1">
        <f>32*8</f>
        <v>256</v>
      </c>
      <c r="I59" s="1"/>
      <c r="J59" s="1"/>
      <c r="K59" s="1" t="s">
        <v>16</v>
      </c>
      <c r="L59" s="1"/>
      <c r="M59" s="1" t="s">
        <v>159</v>
      </c>
      <c r="N59" s="1"/>
      <c r="O59" s="1"/>
      <c r="P59" s="1"/>
      <c r="Q59" s="1"/>
      <c r="R59" s="1" t="s">
        <v>161</v>
      </c>
    </row>
    <row r="60" spans="1:18" x14ac:dyDescent="0.4">
      <c r="A60" s="3" t="s">
        <v>164</v>
      </c>
      <c r="B60" s="4">
        <f t="shared" si="0"/>
        <v>59</v>
      </c>
      <c r="C60" s="1" t="str">
        <f t="shared" si="4"/>
        <v>badge</v>
      </c>
      <c r="D60" s="1" t="str">
        <f t="shared" si="4"/>
        <v>バッジ</v>
      </c>
      <c r="E60" s="1" t="s">
        <v>153</v>
      </c>
      <c r="F60" s="1" t="s">
        <v>89</v>
      </c>
      <c r="G60" s="1" t="s">
        <v>356</v>
      </c>
      <c r="H60" s="1">
        <v>64</v>
      </c>
      <c r="I60" s="1"/>
      <c r="J60" s="1"/>
      <c r="K60" s="1" t="s">
        <v>16</v>
      </c>
      <c r="L60" s="1"/>
      <c r="M60" s="1" t="s">
        <v>158</v>
      </c>
      <c r="N60" s="1"/>
      <c r="O60" s="1"/>
      <c r="P60" s="1"/>
      <c r="Q60" s="1"/>
      <c r="R60" s="1"/>
    </row>
    <row r="61" spans="1:18" x14ac:dyDescent="0.4">
      <c r="A61" s="3" t="s">
        <v>164</v>
      </c>
      <c r="B61" s="4">
        <f t="shared" si="0"/>
        <v>60</v>
      </c>
      <c r="C61" s="1" t="str">
        <f t="shared" si="4"/>
        <v>badge</v>
      </c>
      <c r="D61" s="1" t="str">
        <f t="shared" si="4"/>
        <v>バッジ</v>
      </c>
      <c r="E61" s="1" t="s">
        <v>154</v>
      </c>
      <c r="F61" s="1" t="s">
        <v>90</v>
      </c>
      <c r="G61" s="1" t="s">
        <v>160</v>
      </c>
      <c r="H61" s="1">
        <f>32*8</f>
        <v>256</v>
      </c>
      <c r="I61" s="1"/>
      <c r="J61" s="1"/>
      <c r="K61" s="1" t="s">
        <v>16</v>
      </c>
      <c r="L61" s="1"/>
      <c r="M61" s="1" t="s">
        <v>159</v>
      </c>
      <c r="N61" s="1"/>
      <c r="O61" s="1"/>
      <c r="P61" s="1"/>
      <c r="Q61" s="1"/>
      <c r="R61" s="1" t="s">
        <v>161</v>
      </c>
    </row>
    <row r="62" spans="1:18" x14ac:dyDescent="0.4">
      <c r="A62" s="3" t="s">
        <v>164</v>
      </c>
      <c r="B62" s="4">
        <f t="shared" si="0"/>
        <v>61</v>
      </c>
      <c r="C62" s="1" t="str">
        <f t="shared" si="4"/>
        <v>badge</v>
      </c>
      <c r="D62" s="1" t="str">
        <f t="shared" si="4"/>
        <v>バッジ</v>
      </c>
      <c r="E62" s="1" t="s">
        <v>155</v>
      </c>
      <c r="F62" s="1" t="s">
        <v>91</v>
      </c>
      <c r="G62" s="1" t="s">
        <v>358</v>
      </c>
      <c r="H62" s="1">
        <v>1</v>
      </c>
      <c r="I62" s="1"/>
      <c r="J62" s="1"/>
      <c r="K62" s="1" t="s">
        <v>16</v>
      </c>
      <c r="L62" s="1"/>
      <c r="M62" s="1" t="b">
        <v>0</v>
      </c>
      <c r="N62" s="1"/>
      <c r="O62" s="1"/>
      <c r="P62" s="1"/>
      <c r="Q62" s="1"/>
      <c r="R62" s="1"/>
    </row>
    <row r="63" spans="1:18" x14ac:dyDescent="0.4">
      <c r="A63" s="3" t="s">
        <v>164</v>
      </c>
      <c r="B63" s="4">
        <f t="shared" si="0"/>
        <v>62</v>
      </c>
      <c r="C63" s="1" t="str">
        <f t="shared" si="4"/>
        <v>badge</v>
      </c>
      <c r="D63" s="1" t="str">
        <f t="shared" si="4"/>
        <v>バッジ</v>
      </c>
      <c r="E63" s="1" t="s">
        <v>156</v>
      </c>
      <c r="F63" s="1" t="s">
        <v>92</v>
      </c>
      <c r="G63" s="1" t="s">
        <v>358</v>
      </c>
      <c r="H63" s="1">
        <v>1</v>
      </c>
      <c r="I63" s="1"/>
      <c r="J63" s="1"/>
      <c r="K63" s="1" t="s">
        <v>16</v>
      </c>
      <c r="L63" s="1"/>
      <c r="M63" s="1" t="b">
        <v>0</v>
      </c>
      <c r="N63" s="1"/>
      <c r="O63" s="1"/>
      <c r="P63" s="1"/>
      <c r="Q63" s="1"/>
      <c r="R63" s="1"/>
    </row>
    <row r="64" spans="1:18" x14ac:dyDescent="0.4">
      <c r="A64" s="3" t="s">
        <v>164</v>
      </c>
      <c r="B64" s="4">
        <f t="shared" si="0"/>
        <v>63</v>
      </c>
      <c r="C64" s="1" t="s">
        <v>119</v>
      </c>
      <c r="D64" s="1" t="s">
        <v>45</v>
      </c>
      <c r="E64" s="1" t="s">
        <v>146</v>
      </c>
      <c r="F64" s="1" t="s">
        <v>19</v>
      </c>
      <c r="G64" s="1" t="s">
        <v>146</v>
      </c>
      <c r="H64" s="1">
        <v>128</v>
      </c>
      <c r="I64" s="1" t="s">
        <v>16</v>
      </c>
      <c r="J64" s="1"/>
      <c r="K64" s="1" t="s">
        <v>16</v>
      </c>
      <c r="L64" s="1" t="s">
        <v>16</v>
      </c>
      <c r="M64" s="1" t="s">
        <v>157</v>
      </c>
      <c r="N64" s="1"/>
      <c r="O64" s="1"/>
      <c r="P64" s="1"/>
      <c r="Q64" s="1"/>
      <c r="R64" s="1"/>
    </row>
    <row r="65" spans="1:18" x14ac:dyDescent="0.4">
      <c r="A65" s="3" t="s">
        <v>163</v>
      </c>
      <c r="B65" s="4">
        <f t="shared" si="0"/>
        <v>64</v>
      </c>
      <c r="C65" s="1" t="str">
        <f>C64</f>
        <v>activity_status</v>
      </c>
      <c r="D65" s="1" t="str">
        <f>D64</f>
        <v>活動状態</v>
      </c>
      <c r="E65" s="1" t="s">
        <v>392</v>
      </c>
      <c r="F65" s="1" t="s">
        <v>48</v>
      </c>
      <c r="G65" s="1" t="s">
        <v>389</v>
      </c>
      <c r="H65" s="1">
        <f>8*8</f>
        <v>64</v>
      </c>
      <c r="I65" s="1" t="s">
        <v>16</v>
      </c>
      <c r="J65" s="1"/>
      <c r="K65" s="1"/>
      <c r="L65" s="1" t="s">
        <v>16</v>
      </c>
      <c r="M65" s="1"/>
      <c r="N65" s="1"/>
      <c r="O65" s="1"/>
      <c r="P65" s="1"/>
      <c r="Q65" s="2"/>
      <c r="R65" s="1"/>
    </row>
    <row r="66" spans="1:18" x14ac:dyDescent="0.4">
      <c r="A66" s="3" t="s">
        <v>163</v>
      </c>
      <c r="B66" s="4">
        <f t="shared" si="0"/>
        <v>65</v>
      </c>
      <c r="C66" s="1" t="str">
        <f t="shared" ref="C66:D72" si="5">C65</f>
        <v>activity_status</v>
      </c>
      <c r="D66" s="1" t="str">
        <f t="shared" si="5"/>
        <v>活動状態</v>
      </c>
      <c r="E66" s="1" t="s">
        <v>393</v>
      </c>
      <c r="F66" s="1" t="s">
        <v>47</v>
      </c>
      <c r="G66" s="1" t="s">
        <v>389</v>
      </c>
      <c r="H66" s="1">
        <f>8*8</f>
        <v>64</v>
      </c>
      <c r="I66" s="1"/>
      <c r="J66" s="1"/>
      <c r="K66" s="1"/>
      <c r="L66" s="1"/>
      <c r="M66" s="1"/>
      <c r="N66" s="1"/>
      <c r="O66" s="1"/>
      <c r="P66" s="1"/>
      <c r="Q66" s="2"/>
      <c r="R66" s="1" t="s">
        <v>363</v>
      </c>
    </row>
    <row r="67" spans="1:18" x14ac:dyDescent="0.4">
      <c r="A67" s="3" t="s">
        <v>164</v>
      </c>
      <c r="B67" s="4">
        <f t="shared" si="0"/>
        <v>66</v>
      </c>
      <c r="C67" s="1" t="str">
        <f t="shared" si="5"/>
        <v>activity_status</v>
      </c>
      <c r="D67" s="1" t="str">
        <f t="shared" si="5"/>
        <v>活動状態</v>
      </c>
      <c r="E67" s="1" t="s">
        <v>149</v>
      </c>
      <c r="F67" s="1" t="s">
        <v>87</v>
      </c>
      <c r="G67" s="1" t="s">
        <v>356</v>
      </c>
      <c r="H67" s="1">
        <v>64</v>
      </c>
      <c r="I67" s="1"/>
      <c r="J67" s="1"/>
      <c r="K67" s="1" t="s">
        <v>16</v>
      </c>
      <c r="L67" s="1"/>
      <c r="M67" s="1" t="s">
        <v>158</v>
      </c>
      <c r="N67" s="1"/>
      <c r="O67" s="1"/>
      <c r="P67" s="1"/>
      <c r="Q67" s="1"/>
      <c r="R67" s="1"/>
    </row>
    <row r="68" spans="1:18" x14ac:dyDescent="0.4">
      <c r="A68" s="3" t="s">
        <v>164</v>
      </c>
      <c r="B68" s="4">
        <f t="shared" ref="B68:B72" si="6">ROW()-1</f>
        <v>67</v>
      </c>
      <c r="C68" s="1" t="str">
        <f t="shared" si="5"/>
        <v>activity_status</v>
      </c>
      <c r="D68" s="1" t="str">
        <f t="shared" si="5"/>
        <v>活動状態</v>
      </c>
      <c r="E68" s="1" t="s">
        <v>152</v>
      </c>
      <c r="F68" s="1" t="s">
        <v>88</v>
      </c>
      <c r="G68" s="1" t="s">
        <v>160</v>
      </c>
      <c r="H68" s="1">
        <f>32*8</f>
        <v>256</v>
      </c>
      <c r="I68" s="1"/>
      <c r="J68" s="1"/>
      <c r="K68" s="1" t="s">
        <v>16</v>
      </c>
      <c r="L68" s="1"/>
      <c r="M68" s="1" t="s">
        <v>159</v>
      </c>
      <c r="N68" s="1"/>
      <c r="O68" s="1"/>
      <c r="P68" s="1"/>
      <c r="Q68" s="1"/>
      <c r="R68" s="1" t="s">
        <v>161</v>
      </c>
    </row>
    <row r="69" spans="1:18" x14ac:dyDescent="0.4">
      <c r="A69" s="3" t="s">
        <v>164</v>
      </c>
      <c r="B69" s="4">
        <f t="shared" si="6"/>
        <v>68</v>
      </c>
      <c r="C69" s="1" t="str">
        <f t="shared" si="5"/>
        <v>activity_status</v>
      </c>
      <c r="D69" s="1" t="str">
        <f t="shared" si="5"/>
        <v>活動状態</v>
      </c>
      <c r="E69" s="1" t="s">
        <v>153</v>
      </c>
      <c r="F69" s="1" t="s">
        <v>89</v>
      </c>
      <c r="G69" s="1" t="s">
        <v>356</v>
      </c>
      <c r="H69" s="1">
        <v>64</v>
      </c>
      <c r="I69" s="1"/>
      <c r="J69" s="1"/>
      <c r="K69" s="1" t="s">
        <v>16</v>
      </c>
      <c r="L69" s="1"/>
      <c r="M69" s="1" t="s">
        <v>158</v>
      </c>
      <c r="N69" s="1"/>
      <c r="O69" s="1"/>
      <c r="P69" s="1"/>
      <c r="Q69" s="1"/>
      <c r="R69" s="1"/>
    </row>
    <row r="70" spans="1:18" x14ac:dyDescent="0.4">
      <c r="A70" s="3" t="s">
        <v>164</v>
      </c>
      <c r="B70" s="4">
        <f t="shared" si="6"/>
        <v>69</v>
      </c>
      <c r="C70" s="1" t="str">
        <f t="shared" si="5"/>
        <v>activity_status</v>
      </c>
      <c r="D70" s="1" t="str">
        <f t="shared" si="5"/>
        <v>活動状態</v>
      </c>
      <c r="E70" s="1" t="s">
        <v>154</v>
      </c>
      <c r="F70" s="1" t="s">
        <v>90</v>
      </c>
      <c r="G70" s="1" t="s">
        <v>160</v>
      </c>
      <c r="H70" s="1">
        <f>32*8</f>
        <v>256</v>
      </c>
      <c r="I70" s="1"/>
      <c r="J70" s="1"/>
      <c r="K70" s="1" t="s">
        <v>16</v>
      </c>
      <c r="L70" s="1"/>
      <c r="M70" s="1" t="s">
        <v>159</v>
      </c>
      <c r="N70" s="1"/>
      <c r="O70" s="1"/>
      <c r="P70" s="1"/>
      <c r="Q70" s="1"/>
      <c r="R70" s="1" t="s">
        <v>161</v>
      </c>
    </row>
    <row r="71" spans="1:18" x14ac:dyDescent="0.4">
      <c r="A71" s="3" t="s">
        <v>164</v>
      </c>
      <c r="B71" s="4">
        <f t="shared" si="6"/>
        <v>70</v>
      </c>
      <c r="C71" s="1" t="str">
        <f t="shared" si="5"/>
        <v>activity_status</v>
      </c>
      <c r="D71" s="1" t="str">
        <f t="shared" si="5"/>
        <v>活動状態</v>
      </c>
      <c r="E71" s="1" t="s">
        <v>155</v>
      </c>
      <c r="F71" s="1" t="s">
        <v>91</v>
      </c>
      <c r="G71" s="1" t="s">
        <v>358</v>
      </c>
      <c r="H71" s="1">
        <v>1</v>
      </c>
      <c r="I71" s="1"/>
      <c r="J71" s="1"/>
      <c r="K71" s="1" t="s">
        <v>16</v>
      </c>
      <c r="L71" s="1"/>
      <c r="M71" s="1" t="b">
        <v>0</v>
      </c>
      <c r="N71" s="1"/>
      <c r="O71" s="1"/>
      <c r="P71" s="1"/>
      <c r="Q71" s="1"/>
      <c r="R71" s="1"/>
    </row>
    <row r="72" spans="1:18" x14ac:dyDescent="0.4">
      <c r="A72" s="3" t="s">
        <v>164</v>
      </c>
      <c r="B72" s="4">
        <f t="shared" si="6"/>
        <v>71</v>
      </c>
      <c r="C72" s="1" t="str">
        <f t="shared" si="5"/>
        <v>activity_status</v>
      </c>
      <c r="D72" s="1" t="str">
        <f t="shared" si="5"/>
        <v>活動状態</v>
      </c>
      <c r="E72" s="1" t="s">
        <v>156</v>
      </c>
      <c r="F72" s="1" t="s">
        <v>92</v>
      </c>
      <c r="G72" s="1" t="s">
        <v>358</v>
      </c>
      <c r="H72" s="1">
        <v>1</v>
      </c>
      <c r="I72" s="1"/>
      <c r="J72" s="1"/>
      <c r="K72" s="1" t="s">
        <v>16</v>
      </c>
      <c r="L72" s="1"/>
      <c r="M72" s="1" t="b">
        <v>0</v>
      </c>
      <c r="N72" s="1"/>
      <c r="O72" s="1"/>
      <c r="P72" s="1"/>
      <c r="Q72" s="1"/>
      <c r="R72" s="1"/>
    </row>
    <row r="73" spans="1:18" x14ac:dyDescent="0.4">
      <c r="A73" s="3" t="s">
        <v>164</v>
      </c>
      <c r="B73" s="4">
        <f t="shared" ref="B73:B125" si="7">ROW()-1</f>
        <v>72</v>
      </c>
      <c r="C73" s="1" t="s">
        <v>120</v>
      </c>
      <c r="D73" s="1" t="s">
        <v>24</v>
      </c>
      <c r="E73" s="1" t="s">
        <v>146</v>
      </c>
      <c r="F73" s="1" t="s">
        <v>19</v>
      </c>
      <c r="G73" s="1" t="s">
        <v>146</v>
      </c>
      <c r="H73" s="1">
        <v>128</v>
      </c>
      <c r="I73" s="1" t="s">
        <v>16</v>
      </c>
      <c r="J73" s="1"/>
      <c r="K73" s="1" t="s">
        <v>16</v>
      </c>
      <c r="L73" s="1" t="s">
        <v>16</v>
      </c>
      <c r="M73" s="1" t="s">
        <v>157</v>
      </c>
      <c r="N73" s="1"/>
      <c r="O73" s="1"/>
      <c r="P73" s="1"/>
      <c r="Q73" s="1"/>
      <c r="R73" s="1"/>
    </row>
    <row r="74" spans="1:18" x14ac:dyDescent="0.4">
      <c r="A74" s="3" t="s">
        <v>163</v>
      </c>
      <c r="B74" s="4">
        <f t="shared" si="7"/>
        <v>73</v>
      </c>
      <c r="C74" s="1" t="str">
        <f>C73</f>
        <v>sns_link</v>
      </c>
      <c r="D74" s="1" t="str">
        <f>D73</f>
        <v>SNSリンク</v>
      </c>
      <c r="E74" s="1" t="s">
        <v>450</v>
      </c>
      <c r="F74" s="1" t="s">
        <v>451</v>
      </c>
      <c r="G74" s="1" t="s">
        <v>175</v>
      </c>
      <c r="H74" s="1">
        <v>64</v>
      </c>
      <c r="I74" s="1"/>
      <c r="J74" s="1" t="s">
        <v>16</v>
      </c>
      <c r="K74" s="1" t="s">
        <v>386</v>
      </c>
      <c r="L74" s="1"/>
      <c r="M74" s="1"/>
      <c r="N74" s="1"/>
      <c r="O74" s="1"/>
      <c r="P74" s="1"/>
      <c r="Q74" s="1"/>
      <c r="R74" s="1"/>
    </row>
    <row r="75" spans="1:18" x14ac:dyDescent="0.4">
      <c r="A75" s="3"/>
      <c r="B75" s="4">
        <f t="shared" si="7"/>
        <v>74</v>
      </c>
      <c r="C75" s="1" t="str">
        <f t="shared" ref="C75:D83" si="8">C74</f>
        <v>sns_link</v>
      </c>
      <c r="D75" s="1" t="str">
        <f t="shared" si="8"/>
        <v>SNSリンク</v>
      </c>
      <c r="E75" s="1" t="s">
        <v>55</v>
      </c>
      <c r="F75" s="1" t="s">
        <v>55</v>
      </c>
      <c r="G75" s="1" t="s">
        <v>22</v>
      </c>
      <c r="H75" s="1" t="str">
        <f>_xlfn.XLOOKUP($G75,型とバイト数!$B$3:$B$52,型とバイト数!$E$3:$E$52,"???")</f>
        <v>???</v>
      </c>
      <c r="I75" s="1"/>
      <c r="J75" s="1" t="s">
        <v>16</v>
      </c>
      <c r="K75" s="1"/>
      <c r="L75" s="1"/>
      <c r="M75" s="1"/>
      <c r="N75" s="1"/>
      <c r="O75" s="1"/>
      <c r="P75" s="1"/>
      <c r="Q75" s="1"/>
      <c r="R75" s="1" t="s">
        <v>58</v>
      </c>
    </row>
    <row r="76" spans="1:18" x14ac:dyDescent="0.4">
      <c r="A76" s="3"/>
      <c r="B76" s="4">
        <f t="shared" si="7"/>
        <v>75</v>
      </c>
      <c r="C76" s="1" t="str">
        <f t="shared" si="8"/>
        <v>sns_link</v>
      </c>
      <c r="D76" s="1" t="str">
        <f t="shared" si="8"/>
        <v>SNSリンク</v>
      </c>
      <c r="E76" s="1" t="s">
        <v>54</v>
      </c>
      <c r="F76" s="1" t="s">
        <v>54</v>
      </c>
      <c r="G76" s="1" t="s">
        <v>15</v>
      </c>
      <c r="H76" s="1" t="str">
        <f>_xlfn.XLOOKUP($G76,型とバイト数!$B$3:$B$52,型とバイト数!$E$3:$E$52,"???")</f>
        <v>???</v>
      </c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x14ac:dyDescent="0.4">
      <c r="A77" s="3"/>
      <c r="B77" s="4">
        <f t="shared" si="7"/>
        <v>76</v>
      </c>
      <c r="C77" s="1" t="str">
        <f t="shared" si="8"/>
        <v>sns_link</v>
      </c>
      <c r="D77" s="1" t="str">
        <f t="shared" si="8"/>
        <v>SNSリンク</v>
      </c>
      <c r="E77" s="1" t="s">
        <v>27</v>
      </c>
      <c r="F77" s="1" t="s">
        <v>27</v>
      </c>
      <c r="G77" s="1" t="s">
        <v>27</v>
      </c>
      <c r="H77" s="1" t="str">
        <f>_xlfn.XLOOKUP($G77,型とバイト数!$B$3:$B$52,型とバイト数!$E$3:$E$52,"???")</f>
        <v>???</v>
      </c>
      <c r="I77" s="1" t="s">
        <v>16</v>
      </c>
      <c r="J77" s="1"/>
      <c r="K77" s="1"/>
      <c r="L77" s="1"/>
      <c r="M77" s="1"/>
      <c r="N77" s="1"/>
      <c r="O77" s="1"/>
      <c r="P77" s="1"/>
      <c r="Q77" s="1"/>
      <c r="R77" s="1"/>
    </row>
    <row r="78" spans="1:18" x14ac:dyDescent="0.4">
      <c r="A78" s="3" t="s">
        <v>164</v>
      </c>
      <c r="B78" s="4">
        <f t="shared" si="7"/>
        <v>77</v>
      </c>
      <c r="C78" s="1" t="str">
        <f t="shared" si="8"/>
        <v>sns_link</v>
      </c>
      <c r="D78" s="1" t="str">
        <f t="shared" si="8"/>
        <v>SNSリンク</v>
      </c>
      <c r="E78" s="1" t="s">
        <v>149</v>
      </c>
      <c r="F78" s="1" t="s">
        <v>87</v>
      </c>
      <c r="G78" s="1" t="s">
        <v>356</v>
      </c>
      <c r="H78" s="1">
        <v>64</v>
      </c>
      <c r="I78" s="1"/>
      <c r="J78" s="1"/>
      <c r="K78" s="1" t="s">
        <v>16</v>
      </c>
      <c r="L78" s="1"/>
      <c r="M78" s="1" t="s">
        <v>158</v>
      </c>
      <c r="N78" s="1"/>
      <c r="O78" s="1"/>
      <c r="P78" s="1"/>
      <c r="Q78" s="1"/>
      <c r="R78" s="1"/>
    </row>
    <row r="79" spans="1:18" x14ac:dyDescent="0.4">
      <c r="A79" s="3" t="s">
        <v>164</v>
      </c>
      <c r="B79" s="4">
        <f t="shared" si="7"/>
        <v>78</v>
      </c>
      <c r="C79" s="1" t="str">
        <f t="shared" si="8"/>
        <v>sns_link</v>
      </c>
      <c r="D79" s="1" t="str">
        <f t="shared" si="8"/>
        <v>SNSリンク</v>
      </c>
      <c r="E79" s="1" t="s">
        <v>152</v>
      </c>
      <c r="F79" s="1" t="s">
        <v>88</v>
      </c>
      <c r="G79" s="1" t="s">
        <v>160</v>
      </c>
      <c r="H79" s="1">
        <f>32*8</f>
        <v>256</v>
      </c>
      <c r="I79" s="1"/>
      <c r="J79" s="1"/>
      <c r="K79" s="1" t="s">
        <v>16</v>
      </c>
      <c r="L79" s="1"/>
      <c r="M79" s="1" t="s">
        <v>159</v>
      </c>
      <c r="N79" s="1"/>
      <c r="O79" s="1"/>
      <c r="P79" s="1"/>
      <c r="Q79" s="1"/>
      <c r="R79" s="1" t="s">
        <v>161</v>
      </c>
    </row>
    <row r="80" spans="1:18" x14ac:dyDescent="0.4">
      <c r="A80" s="3" t="s">
        <v>164</v>
      </c>
      <c r="B80" s="4">
        <f t="shared" si="7"/>
        <v>79</v>
      </c>
      <c r="C80" s="1" t="str">
        <f t="shared" si="8"/>
        <v>sns_link</v>
      </c>
      <c r="D80" s="1" t="str">
        <f t="shared" si="8"/>
        <v>SNSリンク</v>
      </c>
      <c r="E80" s="1" t="s">
        <v>153</v>
      </c>
      <c r="F80" s="1" t="s">
        <v>89</v>
      </c>
      <c r="G80" s="1" t="s">
        <v>356</v>
      </c>
      <c r="H80" s="1">
        <v>64</v>
      </c>
      <c r="I80" s="1"/>
      <c r="J80" s="1"/>
      <c r="K80" s="1" t="s">
        <v>16</v>
      </c>
      <c r="L80" s="1"/>
      <c r="M80" s="1" t="s">
        <v>158</v>
      </c>
      <c r="N80" s="1"/>
      <c r="O80" s="1"/>
      <c r="P80" s="1"/>
      <c r="Q80" s="1"/>
      <c r="R80" s="1"/>
    </row>
    <row r="81" spans="1:18" x14ac:dyDescent="0.4">
      <c r="A81" s="3" t="s">
        <v>164</v>
      </c>
      <c r="B81" s="4">
        <f t="shared" si="7"/>
        <v>80</v>
      </c>
      <c r="C81" s="1" t="str">
        <f t="shared" si="8"/>
        <v>sns_link</v>
      </c>
      <c r="D81" s="1" t="str">
        <f t="shared" si="8"/>
        <v>SNSリンク</v>
      </c>
      <c r="E81" s="1" t="s">
        <v>154</v>
      </c>
      <c r="F81" s="1" t="s">
        <v>90</v>
      </c>
      <c r="G81" s="1" t="s">
        <v>160</v>
      </c>
      <c r="H81" s="1">
        <f>32*8</f>
        <v>256</v>
      </c>
      <c r="I81" s="1"/>
      <c r="J81" s="1"/>
      <c r="K81" s="1" t="s">
        <v>16</v>
      </c>
      <c r="L81" s="1"/>
      <c r="M81" s="1" t="s">
        <v>159</v>
      </c>
      <c r="N81" s="1"/>
      <c r="O81" s="1"/>
      <c r="P81" s="1"/>
      <c r="Q81" s="1"/>
      <c r="R81" s="1" t="s">
        <v>161</v>
      </c>
    </row>
    <row r="82" spans="1:18" x14ac:dyDescent="0.4">
      <c r="A82" s="3" t="s">
        <v>164</v>
      </c>
      <c r="B82" s="4">
        <f t="shared" si="7"/>
        <v>81</v>
      </c>
      <c r="C82" s="1" t="str">
        <f t="shared" si="8"/>
        <v>sns_link</v>
      </c>
      <c r="D82" s="1" t="str">
        <f t="shared" si="8"/>
        <v>SNSリンク</v>
      </c>
      <c r="E82" s="1" t="s">
        <v>155</v>
      </c>
      <c r="F82" s="1" t="s">
        <v>91</v>
      </c>
      <c r="G82" s="1" t="s">
        <v>358</v>
      </c>
      <c r="H82" s="1">
        <v>1</v>
      </c>
      <c r="I82" s="1"/>
      <c r="J82" s="1"/>
      <c r="K82" s="1" t="s">
        <v>16</v>
      </c>
      <c r="L82" s="1"/>
      <c r="M82" s="1" t="b">
        <v>0</v>
      </c>
      <c r="N82" s="1"/>
      <c r="O82" s="1"/>
      <c r="P82" s="1"/>
      <c r="Q82" s="1"/>
      <c r="R82" s="1"/>
    </row>
    <row r="83" spans="1:18" x14ac:dyDescent="0.4">
      <c r="A83" s="3" t="s">
        <v>164</v>
      </c>
      <c r="B83" s="4">
        <f t="shared" si="7"/>
        <v>82</v>
      </c>
      <c r="C83" s="1" t="str">
        <f t="shared" si="8"/>
        <v>sns_link</v>
      </c>
      <c r="D83" s="1" t="str">
        <f t="shared" si="8"/>
        <v>SNSリンク</v>
      </c>
      <c r="E83" s="1" t="s">
        <v>156</v>
      </c>
      <c r="F83" s="1" t="s">
        <v>92</v>
      </c>
      <c r="G83" s="1" t="s">
        <v>358</v>
      </c>
      <c r="H83" s="1">
        <v>1</v>
      </c>
      <c r="I83" s="1"/>
      <c r="J83" s="1"/>
      <c r="K83" s="1" t="s">
        <v>16</v>
      </c>
      <c r="L83" s="1"/>
      <c r="M83" s="1" t="b">
        <v>0</v>
      </c>
      <c r="N83" s="1"/>
      <c r="O83" s="1"/>
      <c r="P83" s="1"/>
      <c r="Q83" s="1"/>
      <c r="R83" s="1"/>
    </row>
    <row r="84" spans="1:18" x14ac:dyDescent="0.4">
      <c r="A84" s="3" t="s">
        <v>164</v>
      </c>
      <c r="B84" s="4">
        <f t="shared" si="7"/>
        <v>83</v>
      </c>
      <c r="C84" s="1" t="s">
        <v>121</v>
      </c>
      <c r="D84" s="1" t="s">
        <v>63</v>
      </c>
      <c r="E84" s="1" t="s">
        <v>146</v>
      </c>
      <c r="F84" s="1" t="s">
        <v>19</v>
      </c>
      <c r="G84" s="1" t="s">
        <v>146</v>
      </c>
      <c r="H84" s="1">
        <v>128</v>
      </c>
      <c r="I84" s="1" t="s">
        <v>16</v>
      </c>
      <c r="J84" s="1"/>
      <c r="K84" s="1" t="s">
        <v>16</v>
      </c>
      <c r="L84" s="1" t="s">
        <v>16</v>
      </c>
      <c r="M84" s="1" t="s">
        <v>157</v>
      </c>
      <c r="N84" s="1"/>
      <c r="O84" s="1"/>
      <c r="P84" s="1"/>
      <c r="Q84" s="1"/>
      <c r="R84" s="1"/>
    </row>
    <row r="85" spans="1:18" x14ac:dyDescent="0.4">
      <c r="A85" s="3" t="s">
        <v>163</v>
      </c>
      <c r="B85" s="4">
        <f t="shared" si="7"/>
        <v>84</v>
      </c>
      <c r="C85" s="1" t="str">
        <f>C84</f>
        <v>bbs_res</v>
      </c>
      <c r="D85" s="1" t="str">
        <f>D84</f>
        <v>BBS</v>
      </c>
      <c r="E85" s="1" t="s">
        <v>450</v>
      </c>
      <c r="F85" s="1" t="s">
        <v>451</v>
      </c>
      <c r="G85" s="1" t="s">
        <v>175</v>
      </c>
      <c r="H85" s="1">
        <v>64</v>
      </c>
      <c r="I85" s="1"/>
      <c r="J85" s="1" t="s">
        <v>16</v>
      </c>
      <c r="K85" s="1" t="s">
        <v>386</v>
      </c>
      <c r="L85" s="1"/>
      <c r="M85" s="1"/>
      <c r="N85" s="1"/>
      <c r="O85" s="1"/>
      <c r="P85" s="1"/>
      <c r="Q85" s="1"/>
      <c r="R85" s="1"/>
    </row>
    <row r="86" spans="1:18" x14ac:dyDescent="0.4">
      <c r="A86" s="3" t="s">
        <v>164</v>
      </c>
      <c r="B86" s="4">
        <f t="shared" si="7"/>
        <v>85</v>
      </c>
      <c r="C86" s="1" t="str">
        <f t="shared" ref="C86:D95" si="9">C85</f>
        <v>bbs_res</v>
      </c>
      <c r="D86" s="1" t="str">
        <f t="shared" si="9"/>
        <v>BBS</v>
      </c>
      <c r="E86" s="1" t="s">
        <v>437</v>
      </c>
      <c r="F86" s="1" t="s">
        <v>20</v>
      </c>
      <c r="G86" s="1" t="s">
        <v>175</v>
      </c>
      <c r="H86" s="1">
        <f>8*8</f>
        <v>64</v>
      </c>
      <c r="I86" s="1"/>
      <c r="J86" s="1" t="s">
        <v>16</v>
      </c>
      <c r="K86" s="1" t="s">
        <v>386</v>
      </c>
      <c r="L86" s="1"/>
      <c r="M86" s="1"/>
      <c r="N86" s="1"/>
      <c r="O86" s="1"/>
      <c r="P86" s="1"/>
      <c r="Q86" s="1"/>
      <c r="R86" s="1"/>
    </row>
    <row r="87" spans="1:18" x14ac:dyDescent="0.4">
      <c r="A87" s="3" t="s">
        <v>164</v>
      </c>
      <c r="B87" s="4">
        <f t="shared" si="7"/>
        <v>86</v>
      </c>
      <c r="C87" s="3" t="str">
        <f t="shared" si="9"/>
        <v>bbs_res</v>
      </c>
      <c r="D87" s="3" t="str">
        <f t="shared" si="9"/>
        <v>BBS</v>
      </c>
      <c r="E87" s="3" t="s">
        <v>436</v>
      </c>
      <c r="F87" s="3" t="s">
        <v>64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 t="s">
        <v>445</v>
      </c>
    </row>
    <row r="88" spans="1:18" x14ac:dyDescent="0.4">
      <c r="A88" s="3" t="s">
        <v>164</v>
      </c>
      <c r="B88" s="4">
        <f t="shared" si="7"/>
        <v>87</v>
      </c>
      <c r="C88" s="1" t="str">
        <f t="shared" si="9"/>
        <v>bbs_res</v>
      </c>
      <c r="D88" s="1" t="str">
        <f t="shared" si="9"/>
        <v>BBS</v>
      </c>
      <c r="E88" s="1" t="s">
        <v>447</v>
      </c>
      <c r="F88" s="1" t="s">
        <v>446</v>
      </c>
      <c r="G88" s="1" t="s">
        <v>397</v>
      </c>
      <c r="H88" s="1" t="str">
        <f>_xlfn.XLOOKUP($G88,型とバイト数!$B$3:$B$52,型とバイト数!$E$3:$E$52,"???")</f>
        <v>-</v>
      </c>
      <c r="I88" s="1"/>
      <c r="J88" s="1"/>
      <c r="K88" s="1" t="s">
        <v>386</v>
      </c>
      <c r="L88" s="1"/>
      <c r="M88" s="1"/>
      <c r="N88" s="1"/>
      <c r="O88" s="1"/>
      <c r="P88" s="1"/>
      <c r="Q88" s="1"/>
      <c r="R88" s="1"/>
    </row>
    <row r="89" spans="1:18" x14ac:dyDescent="0.4">
      <c r="A89" s="3" t="s">
        <v>164</v>
      </c>
      <c r="B89" s="4">
        <f t="shared" si="7"/>
        <v>88</v>
      </c>
      <c r="C89" s="1" t="str">
        <f t="shared" si="9"/>
        <v>bbs_res</v>
      </c>
      <c r="D89" s="1" t="str">
        <f t="shared" si="9"/>
        <v>BBS</v>
      </c>
      <c r="E89" s="1" t="s">
        <v>449</v>
      </c>
      <c r="F89" s="1" t="s">
        <v>448</v>
      </c>
      <c r="G89" s="1" t="s">
        <v>356</v>
      </c>
      <c r="H89" s="1">
        <v>64</v>
      </c>
      <c r="I89" s="1"/>
      <c r="J89" s="1"/>
      <c r="K89" s="1" t="s">
        <v>386</v>
      </c>
      <c r="L89" s="1"/>
      <c r="M89" s="1"/>
      <c r="N89" s="1"/>
      <c r="O89" s="1"/>
      <c r="P89" s="1"/>
      <c r="Q89" s="1"/>
      <c r="R89" s="1"/>
    </row>
    <row r="90" spans="1:18" x14ac:dyDescent="0.4">
      <c r="A90" s="3" t="s">
        <v>164</v>
      </c>
      <c r="B90" s="4">
        <f t="shared" si="7"/>
        <v>89</v>
      </c>
      <c r="C90" s="1" t="str">
        <f t="shared" si="9"/>
        <v>bbs_res</v>
      </c>
      <c r="D90" s="1" t="str">
        <f t="shared" si="9"/>
        <v>BBS</v>
      </c>
      <c r="E90" s="1" t="s">
        <v>149</v>
      </c>
      <c r="F90" s="1" t="s">
        <v>87</v>
      </c>
      <c r="G90" s="1" t="s">
        <v>356</v>
      </c>
      <c r="H90" s="1">
        <v>64</v>
      </c>
      <c r="I90" s="1"/>
      <c r="J90" s="1"/>
      <c r="K90" s="1" t="s">
        <v>16</v>
      </c>
      <c r="L90" s="1"/>
      <c r="M90" s="1" t="s">
        <v>158</v>
      </c>
      <c r="N90" s="1"/>
      <c r="O90" s="1"/>
      <c r="P90" s="1"/>
      <c r="Q90" s="1"/>
      <c r="R90" s="1"/>
    </row>
    <row r="91" spans="1:18" x14ac:dyDescent="0.4">
      <c r="A91" s="3" t="s">
        <v>164</v>
      </c>
      <c r="B91" s="4">
        <f t="shared" si="7"/>
        <v>90</v>
      </c>
      <c r="C91" s="1" t="str">
        <f t="shared" si="9"/>
        <v>bbs_res</v>
      </c>
      <c r="D91" s="1" t="str">
        <f t="shared" si="9"/>
        <v>BBS</v>
      </c>
      <c r="E91" s="1" t="s">
        <v>152</v>
      </c>
      <c r="F91" s="1" t="s">
        <v>88</v>
      </c>
      <c r="G91" s="1" t="s">
        <v>160</v>
      </c>
      <c r="H91" s="1">
        <f>32*8</f>
        <v>256</v>
      </c>
      <c r="I91" s="1"/>
      <c r="J91" s="1"/>
      <c r="K91" s="1" t="s">
        <v>16</v>
      </c>
      <c r="L91" s="1"/>
      <c r="M91" s="1" t="s">
        <v>159</v>
      </c>
      <c r="N91" s="1"/>
      <c r="O91" s="1"/>
      <c r="P91" s="1"/>
      <c r="Q91" s="1"/>
      <c r="R91" s="1" t="s">
        <v>161</v>
      </c>
    </row>
    <row r="92" spans="1:18" x14ac:dyDescent="0.4">
      <c r="A92" s="3" t="s">
        <v>164</v>
      </c>
      <c r="B92" s="4">
        <f t="shared" si="7"/>
        <v>91</v>
      </c>
      <c r="C92" s="1" t="str">
        <f t="shared" si="9"/>
        <v>bbs_res</v>
      </c>
      <c r="D92" s="1" t="str">
        <f t="shared" si="9"/>
        <v>BBS</v>
      </c>
      <c r="E92" s="1" t="s">
        <v>153</v>
      </c>
      <c r="F92" s="1" t="s">
        <v>89</v>
      </c>
      <c r="G92" s="1" t="s">
        <v>356</v>
      </c>
      <c r="H92" s="1">
        <v>64</v>
      </c>
      <c r="I92" s="1"/>
      <c r="J92" s="1"/>
      <c r="K92" s="1" t="s">
        <v>16</v>
      </c>
      <c r="L92" s="1"/>
      <c r="M92" s="1" t="s">
        <v>158</v>
      </c>
      <c r="N92" s="1"/>
      <c r="O92" s="1"/>
      <c r="P92" s="1"/>
      <c r="Q92" s="1"/>
      <c r="R92" s="1"/>
    </row>
    <row r="93" spans="1:18" x14ac:dyDescent="0.4">
      <c r="A93" s="3" t="s">
        <v>164</v>
      </c>
      <c r="B93" s="4">
        <f t="shared" si="7"/>
        <v>92</v>
      </c>
      <c r="C93" s="1" t="str">
        <f t="shared" si="9"/>
        <v>bbs_res</v>
      </c>
      <c r="D93" s="1" t="str">
        <f t="shared" si="9"/>
        <v>BBS</v>
      </c>
      <c r="E93" s="1" t="s">
        <v>154</v>
      </c>
      <c r="F93" s="1" t="s">
        <v>90</v>
      </c>
      <c r="G93" s="1" t="s">
        <v>160</v>
      </c>
      <c r="H93" s="1">
        <f>32*8</f>
        <v>256</v>
      </c>
      <c r="I93" s="1"/>
      <c r="J93" s="1"/>
      <c r="K93" s="1" t="s">
        <v>16</v>
      </c>
      <c r="L93" s="1"/>
      <c r="M93" s="1" t="s">
        <v>159</v>
      </c>
      <c r="N93" s="1"/>
      <c r="O93" s="1"/>
      <c r="P93" s="1"/>
      <c r="Q93" s="1"/>
      <c r="R93" s="1" t="s">
        <v>161</v>
      </c>
    </row>
    <row r="94" spans="1:18" x14ac:dyDescent="0.4">
      <c r="A94" s="3" t="s">
        <v>164</v>
      </c>
      <c r="B94" s="4">
        <f t="shared" si="7"/>
        <v>93</v>
      </c>
      <c r="C94" s="1" t="str">
        <f t="shared" si="9"/>
        <v>bbs_res</v>
      </c>
      <c r="D94" s="1" t="str">
        <f t="shared" si="9"/>
        <v>BBS</v>
      </c>
      <c r="E94" s="1" t="s">
        <v>155</v>
      </c>
      <c r="F94" s="1" t="s">
        <v>91</v>
      </c>
      <c r="G94" s="1" t="s">
        <v>358</v>
      </c>
      <c r="H94" s="1">
        <v>1</v>
      </c>
      <c r="I94" s="1"/>
      <c r="J94" s="1"/>
      <c r="K94" s="1" t="s">
        <v>16</v>
      </c>
      <c r="L94" s="1"/>
      <c r="M94" s="1" t="b">
        <v>0</v>
      </c>
      <c r="N94" s="1"/>
      <c r="O94" s="1"/>
      <c r="P94" s="1"/>
      <c r="Q94" s="1"/>
      <c r="R94" s="1"/>
    </row>
    <row r="95" spans="1:18" x14ac:dyDescent="0.4">
      <c r="A95" s="3" t="s">
        <v>164</v>
      </c>
      <c r="B95" s="4">
        <f t="shared" si="7"/>
        <v>94</v>
      </c>
      <c r="C95" s="1" t="str">
        <f t="shared" si="9"/>
        <v>bbs_res</v>
      </c>
      <c r="D95" s="1" t="str">
        <f t="shared" si="9"/>
        <v>BBS</v>
      </c>
      <c r="E95" s="1" t="s">
        <v>156</v>
      </c>
      <c r="F95" s="1" t="s">
        <v>92</v>
      </c>
      <c r="G95" s="1" t="s">
        <v>358</v>
      </c>
      <c r="H95" s="1">
        <v>1</v>
      </c>
      <c r="I95" s="1"/>
      <c r="J95" s="1"/>
      <c r="K95" s="1" t="s">
        <v>16</v>
      </c>
      <c r="L95" s="1"/>
      <c r="M95" s="1" t="b">
        <v>0</v>
      </c>
      <c r="N95" s="1"/>
      <c r="O95" s="1"/>
      <c r="P95" s="1"/>
      <c r="Q95" s="1"/>
      <c r="R95" s="1"/>
    </row>
    <row r="96" spans="1:18" x14ac:dyDescent="0.4">
      <c r="A96" s="3" t="s">
        <v>164</v>
      </c>
      <c r="B96" s="4">
        <f t="shared" si="7"/>
        <v>95</v>
      </c>
      <c r="C96" s="1" t="s">
        <v>122</v>
      </c>
      <c r="D96" s="1" t="s">
        <v>61</v>
      </c>
      <c r="E96" s="1" t="s">
        <v>146</v>
      </c>
      <c r="F96" s="1" t="s">
        <v>19</v>
      </c>
      <c r="G96" s="1" t="s">
        <v>146</v>
      </c>
      <c r="H96" s="1">
        <v>128</v>
      </c>
      <c r="I96" s="1" t="s">
        <v>16</v>
      </c>
      <c r="J96" s="1"/>
      <c r="K96" s="1" t="s">
        <v>16</v>
      </c>
      <c r="L96" s="1" t="s">
        <v>16</v>
      </c>
      <c r="M96" s="1" t="s">
        <v>157</v>
      </c>
      <c r="N96" s="1"/>
      <c r="O96" s="1"/>
      <c r="P96" s="1"/>
      <c r="Q96" s="1"/>
      <c r="R96" s="1"/>
    </row>
    <row r="97" spans="1:18" x14ac:dyDescent="0.4">
      <c r="A97" s="3"/>
      <c r="B97" s="4">
        <f t="shared" si="7"/>
        <v>96</v>
      </c>
      <c r="C97" s="1" t="str">
        <f>C96</f>
        <v>page_author</v>
      </c>
      <c r="D97" s="1" t="str">
        <f>D96</f>
        <v>ページ編集者</v>
      </c>
      <c r="E97" s="1" t="s">
        <v>20</v>
      </c>
      <c r="F97" s="1" t="s">
        <v>20</v>
      </c>
      <c r="G97" s="1" t="s">
        <v>19</v>
      </c>
      <c r="H97" s="1">
        <f>_xlfn.XLOOKUP($G97,型とバイト数!$B$3:$B$52,型とバイト数!$E$3:$E$52,"???")</f>
        <v>128</v>
      </c>
      <c r="I97" s="1"/>
      <c r="J97" s="1" t="s">
        <v>16</v>
      </c>
      <c r="K97" s="1"/>
      <c r="L97" s="1"/>
      <c r="M97" s="1"/>
      <c r="N97" s="1"/>
      <c r="O97" s="1"/>
      <c r="P97" s="1"/>
      <c r="Q97" s="1"/>
      <c r="R97" s="1"/>
    </row>
    <row r="98" spans="1:18" x14ac:dyDescent="0.4">
      <c r="A98" s="3" t="s">
        <v>163</v>
      </c>
      <c r="B98" s="4">
        <f t="shared" si="7"/>
        <v>97</v>
      </c>
      <c r="C98" s="1" t="str">
        <f t="shared" ref="C98:D109" si="10">C97</f>
        <v>page_author</v>
      </c>
      <c r="D98" s="1" t="str">
        <f t="shared" si="10"/>
        <v>ページ編集者</v>
      </c>
      <c r="E98" s="1" t="s">
        <v>450</v>
      </c>
      <c r="F98" s="1" t="s">
        <v>451</v>
      </c>
      <c r="G98" s="1" t="s">
        <v>175</v>
      </c>
      <c r="H98" s="1">
        <v>64</v>
      </c>
      <c r="I98" s="1"/>
      <c r="J98" s="1" t="s">
        <v>16</v>
      </c>
      <c r="K98" s="1" t="s">
        <v>386</v>
      </c>
      <c r="L98" s="1"/>
      <c r="M98" s="1"/>
      <c r="N98" s="1"/>
      <c r="O98" s="1"/>
      <c r="P98" s="1"/>
      <c r="Q98" s="1"/>
      <c r="R98" s="1"/>
    </row>
    <row r="99" spans="1:18" x14ac:dyDescent="0.4">
      <c r="A99" s="3"/>
      <c r="B99" s="4">
        <f t="shared" si="7"/>
        <v>98</v>
      </c>
      <c r="C99" s="1" t="str">
        <f t="shared" si="10"/>
        <v>page_author</v>
      </c>
      <c r="D99" s="1" t="str">
        <f t="shared" si="10"/>
        <v>ページ編集者</v>
      </c>
      <c r="E99" s="1" t="s">
        <v>140</v>
      </c>
      <c r="F99" s="1" t="s">
        <v>140</v>
      </c>
      <c r="G99" s="1" t="s">
        <v>15</v>
      </c>
      <c r="H99" s="1" t="str">
        <f>_xlfn.XLOOKUP($G99,型とバイト数!$B$3:$B$52,型とバイト数!$E$3:$E$52,"???")</f>
        <v>???</v>
      </c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x14ac:dyDescent="0.4">
      <c r="A100" s="3"/>
      <c r="B100" s="4">
        <f t="shared" si="7"/>
        <v>99</v>
      </c>
      <c r="C100" s="1" t="str">
        <f t="shared" si="10"/>
        <v>page_author</v>
      </c>
      <c r="D100" s="1" t="str">
        <f t="shared" si="10"/>
        <v>ページ編集者</v>
      </c>
      <c r="E100" s="1" t="s">
        <v>141</v>
      </c>
      <c r="F100" s="1" t="s">
        <v>141</v>
      </c>
      <c r="G100" s="1" t="s">
        <v>15</v>
      </c>
      <c r="H100" s="1" t="str">
        <f>_xlfn.XLOOKUP($G100,型とバイト数!$B$3:$B$52,型とバイト数!$E$3:$E$52,"???")</f>
        <v>???</v>
      </c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x14ac:dyDescent="0.4">
      <c r="A101" s="3"/>
      <c r="B101" s="4">
        <f t="shared" si="7"/>
        <v>100</v>
      </c>
      <c r="C101" s="1" t="str">
        <f t="shared" si="10"/>
        <v>page_author</v>
      </c>
      <c r="D101" s="1" t="str">
        <f t="shared" si="10"/>
        <v>ページ編集者</v>
      </c>
      <c r="E101" s="1" t="s">
        <v>142</v>
      </c>
      <c r="F101" s="1" t="s">
        <v>142</v>
      </c>
      <c r="G101" s="1" t="s">
        <v>15</v>
      </c>
      <c r="H101" s="1" t="str">
        <f>_xlfn.XLOOKUP($G101,型とバイト数!$B$3:$B$52,型とバイト数!$E$3:$E$52,"???")</f>
        <v>???</v>
      </c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x14ac:dyDescent="0.4">
      <c r="A102" s="3"/>
      <c r="B102" s="4">
        <f t="shared" si="7"/>
        <v>101</v>
      </c>
      <c r="C102" s="1" t="str">
        <f t="shared" si="10"/>
        <v>page_author</v>
      </c>
      <c r="D102" s="1" t="str">
        <f t="shared" si="10"/>
        <v>ページ編集者</v>
      </c>
      <c r="E102" s="1" t="s">
        <v>143</v>
      </c>
      <c r="F102" s="1" t="s">
        <v>143</v>
      </c>
      <c r="G102" s="1" t="s">
        <v>150</v>
      </c>
      <c r="H102" s="1" t="str">
        <f>_xlfn.XLOOKUP($G102,型とバイト数!$B$3:$B$52,型とバイト数!$E$3:$E$52,"???")</f>
        <v>???</v>
      </c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x14ac:dyDescent="0.4">
      <c r="A103" s="3"/>
      <c r="B103" s="4">
        <f t="shared" si="7"/>
        <v>102</v>
      </c>
      <c r="C103" s="1" t="str">
        <f t="shared" si="10"/>
        <v>page_author</v>
      </c>
      <c r="D103" s="1" t="str">
        <f t="shared" si="10"/>
        <v>ページ編集者</v>
      </c>
      <c r="E103" s="1" t="s">
        <v>144</v>
      </c>
      <c r="F103" s="1" t="s">
        <v>144</v>
      </c>
      <c r="G103" s="1" t="s">
        <v>52</v>
      </c>
      <c r="H103" s="1" t="str">
        <f>_xlfn.XLOOKUP($G103,型とバイト数!$B$3:$B$52,型とバイト数!$E$3:$E$52,"???")</f>
        <v>???</v>
      </c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x14ac:dyDescent="0.4">
      <c r="A104" s="3" t="s">
        <v>164</v>
      </c>
      <c r="B104" s="4">
        <f t="shared" si="7"/>
        <v>103</v>
      </c>
      <c r="C104" s="1" t="str">
        <f t="shared" si="10"/>
        <v>page_author</v>
      </c>
      <c r="D104" s="1" t="str">
        <f t="shared" si="10"/>
        <v>ページ編集者</v>
      </c>
      <c r="E104" s="1" t="s">
        <v>149</v>
      </c>
      <c r="F104" s="1" t="s">
        <v>87</v>
      </c>
      <c r="G104" s="1" t="s">
        <v>356</v>
      </c>
      <c r="H104" s="1">
        <v>64</v>
      </c>
      <c r="I104" s="1"/>
      <c r="J104" s="1"/>
      <c r="K104" s="1" t="s">
        <v>16</v>
      </c>
      <c r="L104" s="1"/>
      <c r="M104" s="1" t="s">
        <v>158</v>
      </c>
      <c r="N104" s="1"/>
      <c r="O104" s="1"/>
      <c r="P104" s="1"/>
      <c r="Q104" s="1"/>
      <c r="R104" s="1"/>
    </row>
    <row r="105" spans="1:18" x14ac:dyDescent="0.4">
      <c r="A105" s="3" t="s">
        <v>164</v>
      </c>
      <c r="B105" s="4">
        <f t="shared" si="7"/>
        <v>104</v>
      </c>
      <c r="C105" s="1" t="str">
        <f t="shared" si="10"/>
        <v>page_author</v>
      </c>
      <c r="D105" s="1" t="str">
        <f t="shared" si="10"/>
        <v>ページ編集者</v>
      </c>
      <c r="E105" s="1" t="s">
        <v>152</v>
      </c>
      <c r="F105" s="1" t="s">
        <v>88</v>
      </c>
      <c r="G105" s="1" t="s">
        <v>160</v>
      </c>
      <c r="H105" s="1">
        <f>32*8</f>
        <v>256</v>
      </c>
      <c r="I105" s="1"/>
      <c r="J105" s="1"/>
      <c r="K105" s="1" t="s">
        <v>16</v>
      </c>
      <c r="L105" s="1"/>
      <c r="M105" s="1" t="s">
        <v>159</v>
      </c>
      <c r="N105" s="1"/>
      <c r="O105" s="1"/>
      <c r="P105" s="1"/>
      <c r="Q105" s="1"/>
      <c r="R105" s="1" t="s">
        <v>161</v>
      </c>
    </row>
    <row r="106" spans="1:18" x14ac:dyDescent="0.4">
      <c r="A106" s="3" t="s">
        <v>164</v>
      </c>
      <c r="B106" s="4">
        <f t="shared" si="7"/>
        <v>105</v>
      </c>
      <c r="C106" s="1" t="str">
        <f t="shared" si="10"/>
        <v>page_author</v>
      </c>
      <c r="D106" s="1" t="str">
        <f t="shared" si="10"/>
        <v>ページ編集者</v>
      </c>
      <c r="E106" s="1" t="s">
        <v>153</v>
      </c>
      <c r="F106" s="1" t="s">
        <v>89</v>
      </c>
      <c r="G106" s="1" t="s">
        <v>356</v>
      </c>
      <c r="H106" s="1">
        <v>64</v>
      </c>
      <c r="I106" s="1"/>
      <c r="J106" s="1"/>
      <c r="K106" s="1" t="s">
        <v>16</v>
      </c>
      <c r="L106" s="1"/>
      <c r="M106" s="1" t="s">
        <v>158</v>
      </c>
      <c r="N106" s="1"/>
      <c r="O106" s="1"/>
      <c r="P106" s="1"/>
      <c r="Q106" s="1"/>
      <c r="R106" s="1"/>
    </row>
    <row r="107" spans="1:18" x14ac:dyDescent="0.4">
      <c r="A107" s="3" t="s">
        <v>164</v>
      </c>
      <c r="B107" s="4">
        <f t="shared" si="7"/>
        <v>106</v>
      </c>
      <c r="C107" s="1" t="str">
        <f t="shared" si="10"/>
        <v>page_author</v>
      </c>
      <c r="D107" s="1" t="str">
        <f t="shared" si="10"/>
        <v>ページ編集者</v>
      </c>
      <c r="E107" s="1" t="s">
        <v>154</v>
      </c>
      <c r="F107" s="1" t="s">
        <v>90</v>
      </c>
      <c r="G107" s="1" t="s">
        <v>160</v>
      </c>
      <c r="H107" s="1">
        <f>32*8</f>
        <v>256</v>
      </c>
      <c r="I107" s="1"/>
      <c r="J107" s="1"/>
      <c r="K107" s="1" t="s">
        <v>16</v>
      </c>
      <c r="L107" s="1"/>
      <c r="M107" s="1" t="s">
        <v>159</v>
      </c>
      <c r="N107" s="1"/>
      <c r="O107" s="1"/>
      <c r="P107" s="1"/>
      <c r="Q107" s="1"/>
      <c r="R107" s="1" t="s">
        <v>161</v>
      </c>
    </row>
    <row r="108" spans="1:18" x14ac:dyDescent="0.4">
      <c r="A108" s="3" t="s">
        <v>164</v>
      </c>
      <c r="B108" s="4">
        <f t="shared" si="7"/>
        <v>107</v>
      </c>
      <c r="C108" s="1" t="str">
        <f t="shared" si="10"/>
        <v>page_author</v>
      </c>
      <c r="D108" s="1" t="str">
        <f t="shared" si="10"/>
        <v>ページ編集者</v>
      </c>
      <c r="E108" s="1" t="s">
        <v>155</v>
      </c>
      <c r="F108" s="1" t="s">
        <v>91</v>
      </c>
      <c r="G108" s="1" t="s">
        <v>358</v>
      </c>
      <c r="H108" s="1">
        <v>1</v>
      </c>
      <c r="I108" s="1"/>
      <c r="J108" s="1"/>
      <c r="K108" s="1" t="s">
        <v>16</v>
      </c>
      <c r="L108" s="1"/>
      <c r="M108" s="1">
        <v>0</v>
      </c>
      <c r="N108" s="1"/>
      <c r="O108" s="1"/>
      <c r="P108" s="1"/>
      <c r="Q108" s="1"/>
      <c r="R108" s="1"/>
    </row>
    <row r="109" spans="1:18" x14ac:dyDescent="0.4">
      <c r="A109" s="3" t="s">
        <v>164</v>
      </c>
      <c r="B109" s="4">
        <f t="shared" si="7"/>
        <v>108</v>
      </c>
      <c r="C109" s="1" t="str">
        <f t="shared" si="10"/>
        <v>page_author</v>
      </c>
      <c r="D109" s="1" t="str">
        <f t="shared" si="10"/>
        <v>ページ編集者</v>
      </c>
      <c r="E109" s="1" t="s">
        <v>156</v>
      </c>
      <c r="F109" s="1" t="s">
        <v>92</v>
      </c>
      <c r="G109" s="1" t="s">
        <v>358</v>
      </c>
      <c r="H109" s="1">
        <v>1</v>
      </c>
      <c r="I109" s="1"/>
      <c r="J109" s="1"/>
      <c r="K109" s="1" t="s">
        <v>16</v>
      </c>
      <c r="L109" s="1"/>
      <c r="M109" s="1">
        <v>0</v>
      </c>
      <c r="N109" s="1"/>
      <c r="O109" s="1"/>
      <c r="P109" s="1"/>
      <c r="Q109" s="1"/>
      <c r="R109" s="1"/>
    </row>
    <row r="110" spans="1:18" x14ac:dyDescent="0.4">
      <c r="A110" s="3" t="s">
        <v>164</v>
      </c>
      <c r="B110" s="4">
        <f t="shared" si="7"/>
        <v>109</v>
      </c>
      <c r="C110" s="1" t="s">
        <v>123</v>
      </c>
      <c r="D110" s="1" t="s">
        <v>65</v>
      </c>
      <c r="E110" s="1" t="s">
        <v>146</v>
      </c>
      <c r="F110" s="1" t="s">
        <v>19</v>
      </c>
      <c r="G110" s="1" t="s">
        <v>146</v>
      </c>
      <c r="H110" s="1">
        <v>128</v>
      </c>
      <c r="I110" s="1" t="s">
        <v>16</v>
      </c>
      <c r="J110" s="1"/>
      <c r="K110" s="1" t="s">
        <v>16</v>
      </c>
      <c r="L110" s="1" t="s">
        <v>16</v>
      </c>
      <c r="M110" s="1" t="s">
        <v>157</v>
      </c>
      <c r="N110" s="1"/>
      <c r="O110" s="1"/>
      <c r="P110" s="1"/>
      <c r="Q110" s="1"/>
      <c r="R110" s="1"/>
    </row>
    <row r="111" spans="1:18" x14ac:dyDescent="0.4">
      <c r="A111" s="3"/>
      <c r="B111" s="4">
        <f t="shared" si="7"/>
        <v>110</v>
      </c>
      <c r="C111" s="1" t="str">
        <f>C110</f>
        <v>contact</v>
      </c>
      <c r="D111" s="1" t="str">
        <f>D110</f>
        <v>問い合わせ</v>
      </c>
      <c r="E111" s="1" t="s">
        <v>66</v>
      </c>
      <c r="F111" s="1" t="s">
        <v>66</v>
      </c>
      <c r="G111" s="1" t="s">
        <v>71</v>
      </c>
      <c r="H111" s="1" t="str">
        <f>_xlfn.XLOOKUP($G111,型とバイト数!$B$3:$B$52,型とバイト数!$E$3:$E$52,"???")</f>
        <v>???</v>
      </c>
      <c r="I111" s="1"/>
      <c r="J111" s="1"/>
      <c r="K111" s="1"/>
      <c r="L111" s="1"/>
      <c r="M111" s="1"/>
      <c r="N111" s="1"/>
      <c r="O111" s="1" t="s">
        <v>16</v>
      </c>
      <c r="P111" s="1"/>
      <c r="Q111" s="1"/>
      <c r="R111" s="1"/>
    </row>
    <row r="112" spans="1:18" x14ac:dyDescent="0.4">
      <c r="A112" s="3"/>
      <c r="B112" s="4">
        <f t="shared" si="7"/>
        <v>111</v>
      </c>
      <c r="C112" s="1" t="str">
        <f t="shared" ref="C112:D121" si="11">C111</f>
        <v>contact</v>
      </c>
      <c r="D112" s="1" t="str">
        <f t="shared" si="11"/>
        <v>問い合わせ</v>
      </c>
      <c r="E112" s="1" t="s">
        <v>67</v>
      </c>
      <c r="F112" s="1" t="s">
        <v>67</v>
      </c>
      <c r="G112" s="1" t="s">
        <v>15</v>
      </c>
      <c r="H112" s="1" t="str">
        <f>_xlfn.XLOOKUP($G112,型とバイト数!$B$3:$B$52,型とバイト数!$E$3:$E$52,"???")</f>
        <v>???</v>
      </c>
      <c r="I112" s="1"/>
      <c r="J112" s="1"/>
      <c r="K112" s="1"/>
      <c r="L112" s="1"/>
      <c r="M112" s="1"/>
      <c r="N112" s="1"/>
      <c r="O112" s="1" t="s">
        <v>16</v>
      </c>
      <c r="P112" s="1"/>
      <c r="Q112" s="1"/>
      <c r="R112" s="1"/>
    </row>
    <row r="113" spans="1:18" x14ac:dyDescent="0.4">
      <c r="A113" s="3"/>
      <c r="B113" s="4">
        <f t="shared" si="7"/>
        <v>112</v>
      </c>
      <c r="C113" s="1" t="str">
        <f t="shared" si="11"/>
        <v>contact</v>
      </c>
      <c r="D113" s="1" t="str">
        <f t="shared" si="11"/>
        <v>問い合わせ</v>
      </c>
      <c r="E113" s="1" t="s">
        <v>68</v>
      </c>
      <c r="F113" s="1" t="s">
        <v>68</v>
      </c>
      <c r="G113" s="1" t="s">
        <v>15</v>
      </c>
      <c r="H113" s="1" t="str">
        <f>_xlfn.XLOOKUP($G113,型とバイト数!$B$3:$B$52,型とバイト数!$E$3:$E$52,"???")</f>
        <v>???</v>
      </c>
      <c r="I113" s="1"/>
      <c r="J113" s="1"/>
      <c r="K113" s="1"/>
      <c r="L113" s="1"/>
      <c r="M113" s="1"/>
      <c r="N113" s="1"/>
      <c r="O113" s="1" t="s">
        <v>16</v>
      </c>
      <c r="P113" s="1"/>
      <c r="Q113" s="1"/>
      <c r="R113" s="1"/>
    </row>
    <row r="114" spans="1:18" x14ac:dyDescent="0.4">
      <c r="A114" s="3"/>
      <c r="B114" s="4">
        <f t="shared" si="7"/>
        <v>113</v>
      </c>
      <c r="C114" s="1" t="str">
        <f t="shared" si="11"/>
        <v>contact</v>
      </c>
      <c r="D114" s="1" t="str">
        <f t="shared" si="11"/>
        <v>問い合わせ</v>
      </c>
      <c r="E114" s="1" t="s">
        <v>69</v>
      </c>
      <c r="F114" s="1" t="s">
        <v>69</v>
      </c>
      <c r="G114" s="1" t="s">
        <v>52</v>
      </c>
      <c r="H114" s="1" t="str">
        <f>_xlfn.XLOOKUP($G114,型とバイト数!$B$3:$B$52,型とバイト数!$E$3:$E$52,"???")</f>
        <v>???</v>
      </c>
      <c r="I114" s="1"/>
      <c r="J114" s="1" t="s">
        <v>16</v>
      </c>
      <c r="K114" s="1"/>
      <c r="L114" s="1"/>
      <c r="M114" s="1"/>
      <c r="N114" s="1"/>
      <c r="O114" s="1"/>
      <c r="P114" s="1"/>
      <c r="Q114" s="2"/>
      <c r="R114" s="1"/>
    </row>
    <row r="115" spans="1:18" x14ac:dyDescent="0.4">
      <c r="A115" s="3"/>
      <c r="B115" s="4">
        <f t="shared" si="7"/>
        <v>114</v>
      </c>
      <c r="C115" s="1" t="str">
        <f t="shared" si="11"/>
        <v>contact</v>
      </c>
      <c r="D115" s="1" t="str">
        <f t="shared" si="11"/>
        <v>問い合わせ</v>
      </c>
      <c r="E115" s="1" t="s">
        <v>70</v>
      </c>
      <c r="F115" s="1" t="s">
        <v>70</v>
      </c>
      <c r="G115" s="1" t="s">
        <v>52</v>
      </c>
      <c r="H115" s="1" t="str">
        <f>_xlfn.XLOOKUP($G115,型とバイト数!$B$3:$B$52,型とバイト数!$E$3:$E$52,"???")</f>
        <v>???</v>
      </c>
      <c r="I115" s="1"/>
      <c r="J115" s="1" t="s">
        <v>16</v>
      </c>
      <c r="K115" s="1"/>
      <c r="L115" s="1"/>
      <c r="M115" s="1"/>
      <c r="N115" s="1"/>
      <c r="O115" s="1"/>
      <c r="P115" s="1"/>
      <c r="Q115" s="2"/>
      <c r="R115" s="1"/>
    </row>
    <row r="116" spans="1:18" x14ac:dyDescent="0.4">
      <c r="A116" s="3" t="s">
        <v>164</v>
      </c>
      <c r="B116" s="4">
        <f t="shared" si="7"/>
        <v>115</v>
      </c>
      <c r="C116" s="1" t="str">
        <f t="shared" si="11"/>
        <v>contact</v>
      </c>
      <c r="D116" s="1" t="str">
        <f t="shared" si="11"/>
        <v>問い合わせ</v>
      </c>
      <c r="E116" s="1" t="s">
        <v>149</v>
      </c>
      <c r="F116" s="1" t="s">
        <v>87</v>
      </c>
      <c r="G116" s="1" t="s">
        <v>356</v>
      </c>
      <c r="H116" s="1">
        <v>64</v>
      </c>
      <c r="I116" s="1"/>
      <c r="J116" s="1"/>
      <c r="K116" s="1" t="s">
        <v>16</v>
      </c>
      <c r="L116" s="1"/>
      <c r="M116" s="1" t="s">
        <v>158</v>
      </c>
      <c r="N116" s="1"/>
      <c r="O116" s="1"/>
      <c r="P116" s="1"/>
      <c r="Q116" s="1"/>
      <c r="R116" s="1"/>
    </row>
    <row r="117" spans="1:18" x14ac:dyDescent="0.4">
      <c r="A117" s="3" t="s">
        <v>164</v>
      </c>
      <c r="B117" s="4">
        <f t="shared" si="7"/>
        <v>116</v>
      </c>
      <c r="C117" s="1" t="str">
        <f t="shared" si="11"/>
        <v>contact</v>
      </c>
      <c r="D117" s="1" t="str">
        <f t="shared" si="11"/>
        <v>問い合わせ</v>
      </c>
      <c r="E117" s="1" t="s">
        <v>152</v>
      </c>
      <c r="F117" s="1" t="s">
        <v>88</v>
      </c>
      <c r="G117" s="1" t="s">
        <v>160</v>
      </c>
      <c r="H117" s="1">
        <f>32*8</f>
        <v>256</v>
      </c>
      <c r="I117" s="1"/>
      <c r="J117" s="1"/>
      <c r="K117" s="1" t="s">
        <v>16</v>
      </c>
      <c r="L117" s="1"/>
      <c r="M117" s="1" t="s">
        <v>159</v>
      </c>
      <c r="N117" s="1"/>
      <c r="O117" s="1"/>
      <c r="P117" s="1"/>
      <c r="Q117" s="1"/>
      <c r="R117" s="1" t="s">
        <v>161</v>
      </c>
    </row>
    <row r="118" spans="1:18" x14ac:dyDescent="0.4">
      <c r="A118" s="3" t="s">
        <v>164</v>
      </c>
      <c r="B118" s="4">
        <f t="shared" si="7"/>
        <v>117</v>
      </c>
      <c r="C118" s="1" t="str">
        <f t="shared" si="11"/>
        <v>contact</v>
      </c>
      <c r="D118" s="1" t="str">
        <f t="shared" si="11"/>
        <v>問い合わせ</v>
      </c>
      <c r="E118" s="1" t="s">
        <v>153</v>
      </c>
      <c r="F118" s="1" t="s">
        <v>89</v>
      </c>
      <c r="G118" s="1" t="s">
        <v>356</v>
      </c>
      <c r="H118" s="1">
        <v>64</v>
      </c>
      <c r="I118" s="1"/>
      <c r="J118" s="1"/>
      <c r="K118" s="1" t="s">
        <v>16</v>
      </c>
      <c r="L118" s="1"/>
      <c r="M118" s="1" t="s">
        <v>158</v>
      </c>
      <c r="N118" s="1"/>
      <c r="O118" s="1"/>
      <c r="P118" s="1"/>
      <c r="Q118" s="1"/>
      <c r="R118" s="1"/>
    </row>
    <row r="119" spans="1:18" x14ac:dyDescent="0.4">
      <c r="A119" s="3" t="s">
        <v>164</v>
      </c>
      <c r="B119" s="4">
        <f t="shared" si="7"/>
        <v>118</v>
      </c>
      <c r="C119" s="1" t="str">
        <f t="shared" si="11"/>
        <v>contact</v>
      </c>
      <c r="D119" s="1" t="str">
        <f t="shared" si="11"/>
        <v>問い合わせ</v>
      </c>
      <c r="E119" s="1" t="s">
        <v>154</v>
      </c>
      <c r="F119" s="1" t="s">
        <v>90</v>
      </c>
      <c r="G119" s="1" t="s">
        <v>160</v>
      </c>
      <c r="H119" s="1">
        <f>32*8</f>
        <v>256</v>
      </c>
      <c r="I119" s="1"/>
      <c r="J119" s="1"/>
      <c r="K119" s="1" t="s">
        <v>16</v>
      </c>
      <c r="L119" s="1"/>
      <c r="M119" s="1" t="s">
        <v>159</v>
      </c>
      <c r="N119" s="1"/>
      <c r="O119" s="1"/>
      <c r="P119" s="1"/>
      <c r="Q119" s="1"/>
      <c r="R119" s="1" t="s">
        <v>161</v>
      </c>
    </row>
    <row r="120" spans="1:18" x14ac:dyDescent="0.4">
      <c r="A120" s="3" t="s">
        <v>164</v>
      </c>
      <c r="B120" s="4">
        <f t="shared" si="7"/>
        <v>119</v>
      </c>
      <c r="C120" s="1" t="str">
        <f t="shared" si="11"/>
        <v>contact</v>
      </c>
      <c r="D120" s="1" t="str">
        <f t="shared" si="11"/>
        <v>問い合わせ</v>
      </c>
      <c r="E120" s="1" t="s">
        <v>155</v>
      </c>
      <c r="F120" s="1" t="s">
        <v>91</v>
      </c>
      <c r="G120" s="1" t="s">
        <v>358</v>
      </c>
      <c r="H120" s="1">
        <v>1</v>
      </c>
      <c r="I120" s="1"/>
      <c r="J120" s="1"/>
      <c r="K120" s="1" t="s">
        <v>16</v>
      </c>
      <c r="L120" s="1"/>
      <c r="M120" s="1">
        <v>0</v>
      </c>
      <c r="N120" s="1"/>
      <c r="O120" s="1"/>
      <c r="P120" s="1"/>
      <c r="Q120" s="1"/>
      <c r="R120" s="1"/>
    </row>
    <row r="121" spans="1:18" x14ac:dyDescent="0.4">
      <c r="A121" s="3" t="s">
        <v>164</v>
      </c>
      <c r="B121" s="4">
        <f t="shared" si="7"/>
        <v>120</v>
      </c>
      <c r="C121" s="1" t="str">
        <f t="shared" si="11"/>
        <v>contact</v>
      </c>
      <c r="D121" s="1" t="str">
        <f t="shared" si="11"/>
        <v>問い合わせ</v>
      </c>
      <c r="E121" s="1" t="s">
        <v>156</v>
      </c>
      <c r="F121" s="1" t="s">
        <v>92</v>
      </c>
      <c r="G121" s="1" t="s">
        <v>358</v>
      </c>
      <c r="H121" s="1">
        <v>1</v>
      </c>
      <c r="I121" s="1"/>
      <c r="J121" s="1"/>
      <c r="K121" s="1" t="s">
        <v>16</v>
      </c>
      <c r="L121" s="1"/>
      <c r="M121" s="1">
        <v>0</v>
      </c>
      <c r="N121" s="1"/>
      <c r="O121" s="1"/>
      <c r="P121" s="1"/>
      <c r="Q121" s="1"/>
      <c r="R121" s="1"/>
    </row>
    <row r="122" spans="1:18" x14ac:dyDescent="0.4">
      <c r="A122" s="3" t="s">
        <v>164</v>
      </c>
      <c r="B122" s="4">
        <f t="shared" si="7"/>
        <v>121</v>
      </c>
      <c r="C122" s="1" t="s">
        <v>124</v>
      </c>
      <c r="D122" s="1" t="s">
        <v>69</v>
      </c>
      <c r="E122" s="1" t="s">
        <v>146</v>
      </c>
      <c r="F122" s="1" t="s">
        <v>19</v>
      </c>
      <c r="G122" s="1" t="s">
        <v>146</v>
      </c>
      <c r="H122" s="1">
        <v>128</v>
      </c>
      <c r="I122" s="1" t="s">
        <v>16</v>
      </c>
      <c r="J122" s="1"/>
      <c r="K122" s="1" t="s">
        <v>16</v>
      </c>
      <c r="L122" s="1" t="s">
        <v>16</v>
      </c>
      <c r="M122" s="1" t="s">
        <v>157</v>
      </c>
      <c r="N122" s="1"/>
      <c r="O122" s="1"/>
      <c r="P122" s="1"/>
      <c r="Q122" s="1"/>
      <c r="R122" s="1"/>
    </row>
    <row r="123" spans="1:18" x14ac:dyDescent="0.4">
      <c r="A123" s="3" t="s">
        <v>163</v>
      </c>
      <c r="B123" s="4">
        <f t="shared" si="7"/>
        <v>122</v>
      </c>
      <c r="C123" s="1" t="str">
        <f>C122</f>
        <v>priority</v>
      </c>
      <c r="D123" s="1" t="str">
        <f>D122</f>
        <v>優先度</v>
      </c>
      <c r="E123" s="1" t="s">
        <v>387</v>
      </c>
      <c r="F123" s="1" t="s">
        <v>72</v>
      </c>
      <c r="G123" s="1" t="s">
        <v>175</v>
      </c>
      <c r="H123" s="1">
        <f>8*8</f>
        <v>64</v>
      </c>
      <c r="I123" s="1" t="s">
        <v>16</v>
      </c>
      <c r="J123" s="1"/>
      <c r="K123" s="1"/>
      <c r="L123" s="1" t="s">
        <v>16</v>
      </c>
      <c r="M123" s="1"/>
      <c r="N123" s="1"/>
      <c r="O123" s="1"/>
      <c r="P123" s="1"/>
      <c r="Q123" s="2"/>
      <c r="R123" s="1"/>
    </row>
    <row r="124" spans="1:18" x14ac:dyDescent="0.4">
      <c r="A124" s="3" t="s">
        <v>163</v>
      </c>
      <c r="B124" s="4">
        <f t="shared" si="7"/>
        <v>123</v>
      </c>
      <c r="C124" s="1" t="str">
        <f t="shared" ref="C124:D130" si="12">C123</f>
        <v>priority</v>
      </c>
      <c r="D124" s="1" t="str">
        <f t="shared" si="12"/>
        <v>優先度</v>
      </c>
      <c r="E124" s="1" t="s">
        <v>388</v>
      </c>
      <c r="F124" s="1" t="s">
        <v>74</v>
      </c>
      <c r="G124" s="1" t="s">
        <v>175</v>
      </c>
      <c r="H124" s="1">
        <f>8*8</f>
        <v>64</v>
      </c>
      <c r="I124" s="1"/>
      <c r="J124" s="1"/>
      <c r="K124" s="1"/>
      <c r="L124" s="1"/>
      <c r="M124" s="1"/>
      <c r="N124" s="1"/>
      <c r="O124" s="1"/>
      <c r="P124" s="1"/>
      <c r="Q124" s="2"/>
      <c r="R124" s="1" t="s">
        <v>365</v>
      </c>
    </row>
    <row r="125" spans="1:18" x14ac:dyDescent="0.4">
      <c r="A125" s="3" t="s">
        <v>164</v>
      </c>
      <c r="B125" s="4">
        <f t="shared" si="7"/>
        <v>124</v>
      </c>
      <c r="C125" s="1" t="str">
        <f t="shared" si="12"/>
        <v>priority</v>
      </c>
      <c r="D125" s="1" t="str">
        <f t="shared" si="12"/>
        <v>優先度</v>
      </c>
      <c r="E125" s="1" t="s">
        <v>149</v>
      </c>
      <c r="F125" s="1" t="s">
        <v>87</v>
      </c>
      <c r="G125" s="1" t="s">
        <v>356</v>
      </c>
      <c r="H125" s="1">
        <v>64</v>
      </c>
      <c r="I125" s="1"/>
      <c r="J125" s="1"/>
      <c r="K125" s="1" t="s">
        <v>16</v>
      </c>
      <c r="L125" s="1"/>
      <c r="M125" s="1" t="s">
        <v>158</v>
      </c>
      <c r="N125" s="1"/>
      <c r="O125" s="1"/>
      <c r="P125" s="1"/>
      <c r="Q125" s="1"/>
      <c r="R125" s="1"/>
    </row>
    <row r="126" spans="1:18" x14ac:dyDescent="0.4">
      <c r="A126" s="3" t="s">
        <v>164</v>
      </c>
      <c r="B126" s="4">
        <f t="shared" ref="B126:B130" si="13">ROW()-1</f>
        <v>125</v>
      </c>
      <c r="C126" s="1" t="str">
        <f t="shared" si="12"/>
        <v>priority</v>
      </c>
      <c r="D126" s="1" t="str">
        <f t="shared" si="12"/>
        <v>優先度</v>
      </c>
      <c r="E126" s="1" t="s">
        <v>152</v>
      </c>
      <c r="F126" s="1" t="s">
        <v>88</v>
      </c>
      <c r="G126" s="1" t="s">
        <v>160</v>
      </c>
      <c r="H126" s="1">
        <f>32*8</f>
        <v>256</v>
      </c>
      <c r="I126" s="1"/>
      <c r="J126" s="1"/>
      <c r="K126" s="1" t="s">
        <v>16</v>
      </c>
      <c r="L126" s="1"/>
      <c r="M126" s="1" t="s">
        <v>159</v>
      </c>
      <c r="N126" s="1"/>
      <c r="O126" s="1"/>
      <c r="P126" s="1"/>
      <c r="Q126" s="1"/>
      <c r="R126" s="1" t="s">
        <v>161</v>
      </c>
    </row>
    <row r="127" spans="1:18" x14ac:dyDescent="0.4">
      <c r="A127" s="3" t="s">
        <v>164</v>
      </c>
      <c r="B127" s="4">
        <f t="shared" si="13"/>
        <v>126</v>
      </c>
      <c r="C127" s="1" t="str">
        <f t="shared" si="12"/>
        <v>priority</v>
      </c>
      <c r="D127" s="1" t="str">
        <f t="shared" si="12"/>
        <v>優先度</v>
      </c>
      <c r="E127" s="1" t="s">
        <v>153</v>
      </c>
      <c r="F127" s="1" t="s">
        <v>89</v>
      </c>
      <c r="G127" s="1" t="s">
        <v>356</v>
      </c>
      <c r="H127" s="1">
        <v>64</v>
      </c>
      <c r="I127" s="1"/>
      <c r="J127" s="1"/>
      <c r="K127" s="1" t="s">
        <v>16</v>
      </c>
      <c r="L127" s="1"/>
      <c r="M127" s="1" t="s">
        <v>158</v>
      </c>
      <c r="N127" s="1"/>
      <c r="O127" s="1"/>
      <c r="P127" s="1"/>
      <c r="Q127" s="1"/>
      <c r="R127" s="1"/>
    </row>
    <row r="128" spans="1:18" x14ac:dyDescent="0.4">
      <c r="A128" s="3" t="s">
        <v>164</v>
      </c>
      <c r="B128" s="4">
        <f t="shared" si="13"/>
        <v>127</v>
      </c>
      <c r="C128" s="1" t="str">
        <f t="shared" si="12"/>
        <v>priority</v>
      </c>
      <c r="D128" s="1" t="str">
        <f t="shared" si="12"/>
        <v>優先度</v>
      </c>
      <c r="E128" s="1" t="s">
        <v>154</v>
      </c>
      <c r="F128" s="1" t="s">
        <v>90</v>
      </c>
      <c r="G128" s="1" t="s">
        <v>160</v>
      </c>
      <c r="H128" s="1">
        <f>32*8</f>
        <v>256</v>
      </c>
      <c r="I128" s="1"/>
      <c r="J128" s="1"/>
      <c r="K128" s="1" t="s">
        <v>16</v>
      </c>
      <c r="L128" s="1"/>
      <c r="M128" s="1" t="s">
        <v>159</v>
      </c>
      <c r="N128" s="1"/>
      <c r="O128" s="1"/>
      <c r="P128" s="1"/>
      <c r="Q128" s="1"/>
      <c r="R128" s="1" t="s">
        <v>161</v>
      </c>
    </row>
    <row r="129" spans="1:18" x14ac:dyDescent="0.4">
      <c r="A129" s="3" t="s">
        <v>164</v>
      </c>
      <c r="B129" s="4">
        <f t="shared" si="13"/>
        <v>128</v>
      </c>
      <c r="C129" s="1" t="str">
        <f t="shared" si="12"/>
        <v>priority</v>
      </c>
      <c r="D129" s="1" t="str">
        <f t="shared" si="12"/>
        <v>優先度</v>
      </c>
      <c r="E129" s="1" t="s">
        <v>155</v>
      </c>
      <c r="F129" s="1" t="s">
        <v>91</v>
      </c>
      <c r="G129" s="1" t="s">
        <v>358</v>
      </c>
      <c r="H129" s="1">
        <v>1</v>
      </c>
      <c r="I129" s="1"/>
      <c r="J129" s="1"/>
      <c r="K129" s="1" t="s">
        <v>16</v>
      </c>
      <c r="L129" s="1"/>
      <c r="M129" s="1">
        <v>0</v>
      </c>
      <c r="N129" s="1"/>
      <c r="O129" s="1"/>
      <c r="P129" s="1"/>
      <c r="Q129" s="1"/>
      <c r="R129" s="1"/>
    </row>
    <row r="130" spans="1:18" x14ac:dyDescent="0.4">
      <c r="A130" s="3" t="s">
        <v>164</v>
      </c>
      <c r="B130" s="4">
        <f t="shared" si="13"/>
        <v>129</v>
      </c>
      <c r="C130" s="1" t="str">
        <f t="shared" si="12"/>
        <v>priority</v>
      </c>
      <c r="D130" s="1" t="str">
        <f t="shared" si="12"/>
        <v>優先度</v>
      </c>
      <c r="E130" s="1" t="s">
        <v>156</v>
      </c>
      <c r="F130" s="1" t="s">
        <v>92</v>
      </c>
      <c r="G130" s="1" t="s">
        <v>358</v>
      </c>
      <c r="H130" s="1">
        <v>1</v>
      </c>
      <c r="I130" s="1"/>
      <c r="J130" s="1"/>
      <c r="K130" s="1" t="s">
        <v>16</v>
      </c>
      <c r="L130" s="1"/>
      <c r="M130" s="1">
        <v>0</v>
      </c>
      <c r="N130" s="1"/>
      <c r="O130" s="1"/>
      <c r="P130" s="1"/>
      <c r="Q130" s="1"/>
      <c r="R130" s="1"/>
    </row>
    <row r="131" spans="1:18" x14ac:dyDescent="0.4">
      <c r="A131" s="3" t="s">
        <v>164</v>
      </c>
      <c r="B131" s="4">
        <f t="shared" ref="B131:B191" si="14">ROW()-1</f>
        <v>130</v>
      </c>
      <c r="C131" s="1" t="s">
        <v>125</v>
      </c>
      <c r="D131" s="1" t="s">
        <v>70</v>
      </c>
      <c r="E131" s="1" t="s">
        <v>146</v>
      </c>
      <c r="F131" s="1" t="s">
        <v>19</v>
      </c>
      <c r="G131" s="1" t="s">
        <v>146</v>
      </c>
      <c r="H131" s="1">
        <v>128</v>
      </c>
      <c r="I131" s="1" t="s">
        <v>16</v>
      </c>
      <c r="J131" s="1"/>
      <c r="K131" s="1" t="s">
        <v>16</v>
      </c>
      <c r="L131" s="1" t="s">
        <v>16</v>
      </c>
      <c r="M131" s="1" t="s">
        <v>157</v>
      </c>
      <c r="N131" s="1"/>
      <c r="O131" s="1"/>
      <c r="P131" s="1"/>
      <c r="Q131" s="1"/>
      <c r="R131" s="1"/>
    </row>
    <row r="132" spans="1:18" x14ac:dyDescent="0.4">
      <c r="A132" s="3" t="s">
        <v>163</v>
      </c>
      <c r="B132" s="4">
        <f t="shared" si="14"/>
        <v>131</v>
      </c>
      <c r="C132" s="1" t="str">
        <f>C131</f>
        <v>response_status</v>
      </c>
      <c r="D132" s="1" t="str">
        <f>D131</f>
        <v>対応状況</v>
      </c>
      <c r="E132" s="1" t="s">
        <v>391</v>
      </c>
      <c r="F132" s="1" t="s">
        <v>73</v>
      </c>
      <c r="G132" s="1" t="s">
        <v>175</v>
      </c>
      <c r="H132" s="1">
        <f t="shared" ref="H132:H133" si="15">8*8</f>
        <v>64</v>
      </c>
      <c r="I132" s="1" t="s">
        <v>16</v>
      </c>
      <c r="J132" s="1"/>
      <c r="K132" s="1"/>
      <c r="L132" s="1" t="s">
        <v>16</v>
      </c>
      <c r="M132" s="1"/>
      <c r="N132" s="1"/>
      <c r="O132" s="1"/>
      <c r="P132" s="1"/>
      <c r="Q132" s="2"/>
      <c r="R132" s="1"/>
    </row>
    <row r="133" spans="1:18" x14ac:dyDescent="0.4">
      <c r="A133" s="3" t="s">
        <v>163</v>
      </c>
      <c r="B133" s="4">
        <f t="shared" si="14"/>
        <v>132</v>
      </c>
      <c r="C133" s="1" t="str">
        <f t="shared" ref="C133:D139" si="16">C132</f>
        <v>response_status</v>
      </c>
      <c r="D133" s="1" t="str">
        <f t="shared" si="16"/>
        <v>対応状況</v>
      </c>
      <c r="E133" s="1" t="s">
        <v>390</v>
      </c>
      <c r="F133" s="1" t="s">
        <v>75</v>
      </c>
      <c r="G133" s="1" t="s">
        <v>175</v>
      </c>
      <c r="H133" s="1">
        <f t="shared" si="15"/>
        <v>64</v>
      </c>
      <c r="I133" s="1"/>
      <c r="J133" s="1"/>
      <c r="K133" s="1"/>
      <c r="L133" s="1"/>
      <c r="M133" s="1"/>
      <c r="N133" s="1"/>
      <c r="O133" s="1"/>
      <c r="P133" s="1"/>
      <c r="Q133" s="2"/>
      <c r="R133" s="1" t="s">
        <v>365</v>
      </c>
    </row>
    <row r="134" spans="1:18" x14ac:dyDescent="0.4">
      <c r="A134" s="3" t="s">
        <v>164</v>
      </c>
      <c r="B134" s="4">
        <f t="shared" si="14"/>
        <v>133</v>
      </c>
      <c r="C134" s="1" t="str">
        <f t="shared" si="16"/>
        <v>response_status</v>
      </c>
      <c r="D134" s="1" t="str">
        <f t="shared" si="16"/>
        <v>対応状況</v>
      </c>
      <c r="E134" s="1" t="s">
        <v>149</v>
      </c>
      <c r="F134" s="1" t="s">
        <v>87</v>
      </c>
      <c r="G134" s="1" t="s">
        <v>356</v>
      </c>
      <c r="H134" s="1">
        <v>64</v>
      </c>
      <c r="I134" s="1"/>
      <c r="J134" s="1"/>
      <c r="K134" s="1" t="s">
        <v>16</v>
      </c>
      <c r="L134" s="1"/>
      <c r="M134" s="1" t="s">
        <v>158</v>
      </c>
      <c r="N134" s="1"/>
      <c r="O134" s="1"/>
      <c r="P134" s="1"/>
      <c r="Q134" s="1"/>
      <c r="R134" s="1"/>
    </row>
    <row r="135" spans="1:18" x14ac:dyDescent="0.4">
      <c r="A135" s="3" t="s">
        <v>164</v>
      </c>
      <c r="B135" s="4">
        <f t="shared" si="14"/>
        <v>134</v>
      </c>
      <c r="C135" s="1" t="str">
        <f t="shared" si="16"/>
        <v>response_status</v>
      </c>
      <c r="D135" s="1" t="str">
        <f t="shared" si="16"/>
        <v>対応状況</v>
      </c>
      <c r="E135" s="1" t="s">
        <v>152</v>
      </c>
      <c r="F135" s="1" t="s">
        <v>88</v>
      </c>
      <c r="G135" s="1" t="s">
        <v>160</v>
      </c>
      <c r="H135" s="1">
        <f>32*8</f>
        <v>256</v>
      </c>
      <c r="I135" s="1"/>
      <c r="J135" s="1"/>
      <c r="K135" s="1" t="s">
        <v>16</v>
      </c>
      <c r="L135" s="1"/>
      <c r="M135" s="1" t="s">
        <v>159</v>
      </c>
      <c r="N135" s="1"/>
      <c r="O135" s="1"/>
      <c r="P135" s="1"/>
      <c r="Q135" s="1"/>
      <c r="R135" s="1" t="s">
        <v>161</v>
      </c>
    </row>
    <row r="136" spans="1:18" x14ac:dyDescent="0.4">
      <c r="A136" s="3" t="s">
        <v>164</v>
      </c>
      <c r="B136" s="4">
        <f t="shared" si="14"/>
        <v>135</v>
      </c>
      <c r="C136" s="1" t="str">
        <f t="shared" si="16"/>
        <v>response_status</v>
      </c>
      <c r="D136" s="1" t="str">
        <f t="shared" si="16"/>
        <v>対応状況</v>
      </c>
      <c r="E136" s="1" t="s">
        <v>153</v>
      </c>
      <c r="F136" s="1" t="s">
        <v>89</v>
      </c>
      <c r="G136" s="1" t="s">
        <v>356</v>
      </c>
      <c r="H136" s="1">
        <v>64</v>
      </c>
      <c r="I136" s="1"/>
      <c r="J136" s="1"/>
      <c r="K136" s="1" t="s">
        <v>16</v>
      </c>
      <c r="L136" s="1"/>
      <c r="M136" s="1" t="s">
        <v>158</v>
      </c>
      <c r="N136" s="1"/>
      <c r="O136" s="1"/>
      <c r="P136" s="1"/>
      <c r="Q136" s="1"/>
      <c r="R136" s="1"/>
    </row>
    <row r="137" spans="1:18" x14ac:dyDescent="0.4">
      <c r="A137" s="3" t="s">
        <v>164</v>
      </c>
      <c r="B137" s="4">
        <f t="shared" si="14"/>
        <v>136</v>
      </c>
      <c r="C137" s="1" t="str">
        <f t="shared" si="16"/>
        <v>response_status</v>
      </c>
      <c r="D137" s="1" t="str">
        <f t="shared" si="16"/>
        <v>対応状況</v>
      </c>
      <c r="E137" s="1" t="s">
        <v>154</v>
      </c>
      <c r="F137" s="1" t="s">
        <v>90</v>
      </c>
      <c r="G137" s="1" t="s">
        <v>160</v>
      </c>
      <c r="H137" s="1">
        <f>32*8</f>
        <v>256</v>
      </c>
      <c r="I137" s="1"/>
      <c r="J137" s="1"/>
      <c r="K137" s="1" t="s">
        <v>16</v>
      </c>
      <c r="L137" s="1"/>
      <c r="M137" s="1" t="s">
        <v>159</v>
      </c>
      <c r="N137" s="1"/>
      <c r="O137" s="1"/>
      <c r="P137" s="1"/>
      <c r="Q137" s="1"/>
      <c r="R137" s="1" t="s">
        <v>161</v>
      </c>
    </row>
    <row r="138" spans="1:18" x14ac:dyDescent="0.4">
      <c r="A138" s="3" t="s">
        <v>164</v>
      </c>
      <c r="B138" s="4">
        <f t="shared" si="14"/>
        <v>137</v>
      </c>
      <c r="C138" s="1" t="str">
        <f t="shared" si="16"/>
        <v>response_status</v>
      </c>
      <c r="D138" s="1" t="str">
        <f t="shared" si="16"/>
        <v>対応状況</v>
      </c>
      <c r="E138" s="1" t="s">
        <v>155</v>
      </c>
      <c r="F138" s="1" t="s">
        <v>91</v>
      </c>
      <c r="G138" s="1" t="s">
        <v>358</v>
      </c>
      <c r="H138" s="1">
        <v>1</v>
      </c>
      <c r="I138" s="1"/>
      <c r="J138" s="1"/>
      <c r="K138" s="1" t="s">
        <v>16</v>
      </c>
      <c r="L138" s="1"/>
      <c r="M138" s="1">
        <v>0</v>
      </c>
      <c r="N138" s="1"/>
      <c r="O138" s="1"/>
      <c r="P138" s="1"/>
      <c r="Q138" s="1"/>
      <c r="R138" s="1"/>
    </row>
    <row r="139" spans="1:18" x14ac:dyDescent="0.4">
      <c r="A139" s="3" t="s">
        <v>164</v>
      </c>
      <c r="B139" s="4">
        <f t="shared" si="14"/>
        <v>138</v>
      </c>
      <c r="C139" s="1" t="str">
        <f t="shared" si="16"/>
        <v>response_status</v>
      </c>
      <c r="D139" s="1" t="str">
        <f t="shared" si="16"/>
        <v>対応状況</v>
      </c>
      <c r="E139" s="1" t="s">
        <v>156</v>
      </c>
      <c r="F139" s="1" t="s">
        <v>92</v>
      </c>
      <c r="G139" s="1" t="s">
        <v>358</v>
      </c>
      <c r="H139" s="1">
        <v>1</v>
      </c>
      <c r="I139" s="1"/>
      <c r="J139" s="1"/>
      <c r="K139" s="1" t="s">
        <v>16</v>
      </c>
      <c r="L139" s="1"/>
      <c r="M139" s="1">
        <v>0</v>
      </c>
      <c r="N139" s="1"/>
      <c r="O139" s="1"/>
      <c r="P139" s="1"/>
      <c r="Q139" s="1"/>
      <c r="R139" s="1"/>
    </row>
    <row r="140" spans="1:18" x14ac:dyDescent="0.4">
      <c r="A140" s="3" t="s">
        <v>164</v>
      </c>
      <c r="B140" s="4">
        <f t="shared" si="14"/>
        <v>139</v>
      </c>
      <c r="C140" s="1" t="s">
        <v>126</v>
      </c>
      <c r="D140" s="1" t="s">
        <v>76</v>
      </c>
      <c r="E140" s="1" t="s">
        <v>146</v>
      </c>
      <c r="F140" s="1" t="s">
        <v>19</v>
      </c>
      <c r="G140" s="1" t="s">
        <v>146</v>
      </c>
      <c r="H140" s="1">
        <v>128</v>
      </c>
      <c r="I140" s="1" t="s">
        <v>16</v>
      </c>
      <c r="J140" s="1"/>
      <c r="K140" s="1" t="s">
        <v>16</v>
      </c>
      <c r="L140" s="1" t="s">
        <v>16</v>
      </c>
      <c r="M140" s="1" t="s">
        <v>157</v>
      </c>
      <c r="N140" s="1"/>
      <c r="O140" s="1"/>
      <c r="P140" s="1"/>
      <c r="Q140" s="1"/>
      <c r="R140" s="1"/>
    </row>
    <row r="141" spans="1:18" x14ac:dyDescent="0.4">
      <c r="A141" s="3" t="s">
        <v>164</v>
      </c>
      <c r="B141" s="4">
        <f t="shared" si="14"/>
        <v>140</v>
      </c>
      <c r="C141" s="1" t="str">
        <f>C140</f>
        <v>language</v>
      </c>
      <c r="D141" s="1" t="str">
        <f>D140</f>
        <v>表示言語</v>
      </c>
      <c r="E141" s="1" t="s">
        <v>403</v>
      </c>
      <c r="F141" s="1" t="s">
        <v>77</v>
      </c>
      <c r="G141" s="1" t="s">
        <v>381</v>
      </c>
      <c r="H141" s="1">
        <f>16*8</f>
        <v>128</v>
      </c>
      <c r="I141" s="1" t="s">
        <v>16</v>
      </c>
      <c r="J141" s="1"/>
      <c r="K141" s="1"/>
      <c r="L141" s="1"/>
      <c r="M141" s="1"/>
      <c r="N141" s="1"/>
      <c r="O141" s="1"/>
      <c r="P141" s="1"/>
      <c r="Q141" s="2"/>
      <c r="R141" s="1"/>
    </row>
    <row r="142" spans="1:18" x14ac:dyDescent="0.4">
      <c r="A142" s="3" t="s">
        <v>164</v>
      </c>
      <c r="B142" s="4">
        <f t="shared" si="14"/>
        <v>141</v>
      </c>
      <c r="C142" s="1" t="str">
        <f t="shared" ref="C142:D150" si="17">C141</f>
        <v>language</v>
      </c>
      <c r="D142" s="1" t="str">
        <f t="shared" si="17"/>
        <v>表示言語</v>
      </c>
      <c r="E142" s="1" t="s">
        <v>404</v>
      </c>
      <c r="F142" s="1" t="s">
        <v>78</v>
      </c>
      <c r="G142" s="1" t="s">
        <v>405</v>
      </c>
      <c r="H142" s="1">
        <f>64*8</f>
        <v>512</v>
      </c>
      <c r="I142" s="1"/>
      <c r="J142" s="1"/>
      <c r="K142" s="1"/>
      <c r="L142" s="1"/>
      <c r="M142" s="1"/>
      <c r="N142" s="1"/>
      <c r="O142" s="1"/>
      <c r="P142" s="1"/>
      <c r="Q142" s="2"/>
      <c r="R142" s="1" t="s">
        <v>364</v>
      </c>
    </row>
    <row r="143" spans="1:18" x14ac:dyDescent="0.4">
      <c r="A143" s="3" t="s">
        <v>164</v>
      </c>
      <c r="B143" s="4">
        <f t="shared" si="14"/>
        <v>142</v>
      </c>
      <c r="C143" s="1" t="str">
        <f t="shared" si="17"/>
        <v>language</v>
      </c>
      <c r="D143" s="1" t="str">
        <f t="shared" si="17"/>
        <v>表示言語</v>
      </c>
      <c r="E143" s="1" t="s">
        <v>406</v>
      </c>
      <c r="F143" s="1" t="s">
        <v>79</v>
      </c>
      <c r="G143" s="14" t="s">
        <v>418</v>
      </c>
      <c r="H143" s="14">
        <v>64</v>
      </c>
      <c r="I143" s="1"/>
      <c r="J143" s="1"/>
      <c r="K143" s="1"/>
      <c r="L143" s="1"/>
      <c r="M143" s="1"/>
      <c r="N143" s="1"/>
      <c r="O143" s="1"/>
      <c r="P143" s="1"/>
      <c r="Q143" s="2"/>
      <c r="R143" s="1" t="s">
        <v>56</v>
      </c>
    </row>
    <row r="144" spans="1:18" x14ac:dyDescent="0.4">
      <c r="A144" s="3" t="s">
        <v>164</v>
      </c>
      <c r="B144" s="4">
        <f t="shared" si="14"/>
        <v>143</v>
      </c>
      <c r="C144" s="1" t="str">
        <f t="shared" si="17"/>
        <v>language</v>
      </c>
      <c r="D144" s="1" t="str">
        <f t="shared" si="17"/>
        <v>表示言語</v>
      </c>
      <c r="E144" s="1" t="s">
        <v>466</v>
      </c>
      <c r="F144" s="1" t="s">
        <v>80</v>
      </c>
      <c r="G144" s="14" t="s">
        <v>418</v>
      </c>
      <c r="H144" s="14">
        <v>64</v>
      </c>
      <c r="I144" s="1"/>
      <c r="J144" s="1"/>
      <c r="K144" s="1"/>
      <c r="L144" s="1"/>
      <c r="M144" s="1">
        <v>0</v>
      </c>
      <c r="N144" s="1"/>
      <c r="O144" s="1"/>
      <c r="P144" s="1"/>
      <c r="Q144" s="2"/>
      <c r="R144" s="1"/>
    </row>
    <row r="145" spans="1:18" x14ac:dyDescent="0.4">
      <c r="A145" s="3" t="s">
        <v>164</v>
      </c>
      <c r="B145" s="4">
        <f t="shared" si="14"/>
        <v>144</v>
      </c>
      <c r="C145" s="1" t="str">
        <f t="shared" si="17"/>
        <v>language</v>
      </c>
      <c r="D145" s="1" t="str">
        <f t="shared" si="17"/>
        <v>表示言語</v>
      </c>
      <c r="E145" s="1" t="s">
        <v>149</v>
      </c>
      <c r="F145" s="1" t="s">
        <v>87</v>
      </c>
      <c r="G145" s="1" t="s">
        <v>356</v>
      </c>
      <c r="H145" s="1">
        <v>64</v>
      </c>
      <c r="I145" s="1"/>
      <c r="J145" s="1"/>
      <c r="K145" s="1" t="s">
        <v>16</v>
      </c>
      <c r="L145" s="1"/>
      <c r="M145" s="1" t="s">
        <v>158</v>
      </c>
      <c r="N145" s="1"/>
      <c r="O145" s="1"/>
      <c r="P145" s="1"/>
      <c r="Q145" s="1"/>
      <c r="R145" s="1"/>
    </row>
    <row r="146" spans="1:18" x14ac:dyDescent="0.4">
      <c r="A146" s="3" t="s">
        <v>164</v>
      </c>
      <c r="B146" s="4">
        <f t="shared" si="14"/>
        <v>145</v>
      </c>
      <c r="C146" s="1" t="str">
        <f t="shared" si="17"/>
        <v>language</v>
      </c>
      <c r="D146" s="1" t="str">
        <f t="shared" si="17"/>
        <v>表示言語</v>
      </c>
      <c r="E146" s="1" t="s">
        <v>152</v>
      </c>
      <c r="F146" s="1" t="s">
        <v>88</v>
      </c>
      <c r="G146" s="1" t="s">
        <v>160</v>
      </c>
      <c r="H146" s="1">
        <f>32*8</f>
        <v>256</v>
      </c>
      <c r="I146" s="1"/>
      <c r="J146" s="1"/>
      <c r="K146" s="1" t="s">
        <v>16</v>
      </c>
      <c r="L146" s="1"/>
      <c r="M146" s="1" t="s">
        <v>159</v>
      </c>
      <c r="N146" s="1"/>
      <c r="O146" s="1"/>
      <c r="P146" s="1"/>
      <c r="Q146" s="1"/>
      <c r="R146" s="1" t="s">
        <v>161</v>
      </c>
    </row>
    <row r="147" spans="1:18" x14ac:dyDescent="0.4">
      <c r="A147" s="3" t="s">
        <v>164</v>
      </c>
      <c r="B147" s="4">
        <f t="shared" si="14"/>
        <v>146</v>
      </c>
      <c r="C147" s="1" t="str">
        <f t="shared" si="17"/>
        <v>language</v>
      </c>
      <c r="D147" s="1" t="str">
        <f t="shared" si="17"/>
        <v>表示言語</v>
      </c>
      <c r="E147" s="1" t="s">
        <v>153</v>
      </c>
      <c r="F147" s="1" t="s">
        <v>89</v>
      </c>
      <c r="G147" s="1" t="s">
        <v>356</v>
      </c>
      <c r="H147" s="1">
        <v>64</v>
      </c>
      <c r="I147" s="1"/>
      <c r="J147" s="1"/>
      <c r="K147" s="1" t="s">
        <v>16</v>
      </c>
      <c r="L147" s="1"/>
      <c r="M147" s="1" t="s">
        <v>158</v>
      </c>
      <c r="N147" s="1"/>
      <c r="O147" s="1"/>
      <c r="P147" s="1"/>
      <c r="Q147" s="1"/>
      <c r="R147" s="1"/>
    </row>
    <row r="148" spans="1:18" x14ac:dyDescent="0.4">
      <c r="A148" s="3" t="s">
        <v>164</v>
      </c>
      <c r="B148" s="4">
        <f t="shared" si="14"/>
        <v>147</v>
      </c>
      <c r="C148" s="1" t="str">
        <f t="shared" si="17"/>
        <v>language</v>
      </c>
      <c r="D148" s="1" t="str">
        <f t="shared" si="17"/>
        <v>表示言語</v>
      </c>
      <c r="E148" s="1" t="s">
        <v>154</v>
      </c>
      <c r="F148" s="1" t="s">
        <v>90</v>
      </c>
      <c r="G148" s="1" t="s">
        <v>160</v>
      </c>
      <c r="H148" s="1">
        <f>32*8</f>
        <v>256</v>
      </c>
      <c r="I148" s="1"/>
      <c r="J148" s="1"/>
      <c r="K148" s="1" t="s">
        <v>16</v>
      </c>
      <c r="L148" s="1"/>
      <c r="M148" s="1" t="s">
        <v>159</v>
      </c>
      <c r="N148" s="1"/>
      <c r="O148" s="1"/>
      <c r="P148" s="1"/>
      <c r="Q148" s="1"/>
      <c r="R148" s="1" t="s">
        <v>161</v>
      </c>
    </row>
    <row r="149" spans="1:18" x14ac:dyDescent="0.4">
      <c r="A149" s="3" t="s">
        <v>164</v>
      </c>
      <c r="B149" s="4">
        <f t="shared" si="14"/>
        <v>148</v>
      </c>
      <c r="C149" s="1" t="str">
        <f t="shared" si="17"/>
        <v>language</v>
      </c>
      <c r="D149" s="1" t="str">
        <f t="shared" si="17"/>
        <v>表示言語</v>
      </c>
      <c r="E149" s="1" t="s">
        <v>155</v>
      </c>
      <c r="F149" s="1" t="s">
        <v>91</v>
      </c>
      <c r="G149" s="1" t="s">
        <v>358</v>
      </c>
      <c r="H149" s="1">
        <v>1</v>
      </c>
      <c r="I149" s="1"/>
      <c r="J149" s="1"/>
      <c r="K149" s="1" t="s">
        <v>16</v>
      </c>
      <c r="L149" s="1"/>
      <c r="M149" s="1">
        <v>0</v>
      </c>
      <c r="N149" s="1"/>
      <c r="O149" s="1"/>
      <c r="P149" s="1"/>
      <c r="Q149" s="1"/>
      <c r="R149" s="1"/>
    </row>
    <row r="150" spans="1:18" x14ac:dyDescent="0.4">
      <c r="A150" s="3" t="s">
        <v>164</v>
      </c>
      <c r="B150" s="4">
        <f t="shared" si="14"/>
        <v>149</v>
      </c>
      <c r="C150" s="1" t="str">
        <f t="shared" si="17"/>
        <v>language</v>
      </c>
      <c r="D150" s="1" t="str">
        <f t="shared" si="17"/>
        <v>表示言語</v>
      </c>
      <c r="E150" s="1" t="s">
        <v>156</v>
      </c>
      <c r="F150" s="1" t="s">
        <v>92</v>
      </c>
      <c r="G150" s="1" t="s">
        <v>358</v>
      </c>
      <c r="H150" s="1">
        <v>1</v>
      </c>
      <c r="I150" s="1"/>
      <c r="J150" s="1"/>
      <c r="K150" s="1" t="s">
        <v>16</v>
      </c>
      <c r="L150" s="1"/>
      <c r="M150" s="1">
        <v>0</v>
      </c>
      <c r="N150" s="1"/>
      <c r="O150" s="1"/>
      <c r="P150" s="1"/>
      <c r="Q150" s="1"/>
      <c r="R150" s="1"/>
    </row>
    <row r="151" spans="1:18" x14ac:dyDescent="0.4">
      <c r="A151" s="3" t="s">
        <v>164</v>
      </c>
      <c r="B151" s="4">
        <f t="shared" si="14"/>
        <v>150</v>
      </c>
      <c r="C151" s="1" t="s">
        <v>127</v>
      </c>
      <c r="D151" s="1" t="s">
        <v>82</v>
      </c>
      <c r="E151" s="1" t="s">
        <v>146</v>
      </c>
      <c r="F151" s="1" t="s">
        <v>19</v>
      </c>
      <c r="G151" s="1" t="s">
        <v>146</v>
      </c>
      <c r="H151" s="1">
        <v>128</v>
      </c>
      <c r="I151" s="1" t="s">
        <v>16</v>
      </c>
      <c r="J151" s="1"/>
      <c r="K151" s="1" t="s">
        <v>16</v>
      </c>
      <c r="L151" s="1" t="s">
        <v>16</v>
      </c>
      <c r="M151" s="1" t="s">
        <v>157</v>
      </c>
      <c r="N151" s="1"/>
      <c r="O151" s="1"/>
      <c r="P151" s="1"/>
      <c r="Q151" s="1"/>
      <c r="R151" s="1"/>
    </row>
    <row r="152" spans="1:18" x14ac:dyDescent="0.4">
      <c r="A152" s="3" t="s">
        <v>164</v>
      </c>
      <c r="B152" s="4">
        <f t="shared" si="14"/>
        <v>151</v>
      </c>
      <c r="C152" s="1" t="str">
        <f>C151</f>
        <v>screen_word</v>
      </c>
      <c r="D152" s="1" t="str">
        <f>D151</f>
        <v>画面文言</v>
      </c>
      <c r="E152" s="1" t="s">
        <v>403</v>
      </c>
      <c r="F152" s="1" t="s">
        <v>77</v>
      </c>
      <c r="G152" s="1" t="s">
        <v>381</v>
      </c>
      <c r="H152" s="1">
        <f>16*8</f>
        <v>128</v>
      </c>
      <c r="I152" s="1"/>
      <c r="J152" s="1" t="s">
        <v>16</v>
      </c>
      <c r="K152" s="1"/>
      <c r="L152" s="1"/>
      <c r="M152" s="1"/>
      <c r="N152" s="1"/>
      <c r="O152" s="1"/>
      <c r="P152" s="1"/>
      <c r="Q152" s="2"/>
      <c r="R152" s="1"/>
    </row>
    <row r="153" spans="1:18" x14ac:dyDescent="0.4">
      <c r="A153" s="3" t="s">
        <v>164</v>
      </c>
      <c r="B153" s="4">
        <f t="shared" si="14"/>
        <v>152</v>
      </c>
      <c r="C153" s="1" t="str">
        <f t="shared" ref="C153:D160" si="18">C152</f>
        <v>screen_word</v>
      </c>
      <c r="D153" s="1" t="str">
        <f t="shared" si="18"/>
        <v>画面文言</v>
      </c>
      <c r="E153" s="1" t="s">
        <v>401</v>
      </c>
      <c r="F153" s="1" t="s">
        <v>400</v>
      </c>
      <c r="G153" s="1" t="s">
        <v>381</v>
      </c>
      <c r="H153" s="1">
        <f>8*16</f>
        <v>128</v>
      </c>
      <c r="I153" s="1"/>
      <c r="J153" s="1"/>
      <c r="K153" s="1"/>
      <c r="L153" s="1"/>
      <c r="M153" s="1"/>
      <c r="N153" s="1" t="s">
        <v>399</v>
      </c>
      <c r="O153" s="1"/>
      <c r="P153" s="1"/>
      <c r="Q153" s="1"/>
      <c r="R153" s="1"/>
    </row>
    <row r="154" spans="1:18" x14ac:dyDescent="0.4">
      <c r="A154" s="3" t="s">
        <v>164</v>
      </c>
      <c r="B154" s="4">
        <f t="shared" si="14"/>
        <v>153</v>
      </c>
      <c r="C154" s="1" t="str">
        <f t="shared" si="18"/>
        <v>screen_word</v>
      </c>
      <c r="D154" s="1" t="str">
        <f t="shared" si="18"/>
        <v>画面文言</v>
      </c>
      <c r="E154" s="1" t="s">
        <v>402</v>
      </c>
      <c r="F154" s="1" t="s">
        <v>83</v>
      </c>
      <c r="G154" s="1" t="s">
        <v>397</v>
      </c>
      <c r="H154" s="1" t="str">
        <f>_xlfn.XLOOKUP($G154,型とバイト数!$B$3:$B$52,型とバイト数!$E$3:$E$52,"???")</f>
        <v>-</v>
      </c>
      <c r="I154" s="1"/>
      <c r="J154" s="1"/>
      <c r="K154" s="1"/>
      <c r="L154" s="1"/>
      <c r="M154" s="1"/>
      <c r="N154" s="1" t="s">
        <v>398</v>
      </c>
      <c r="O154" s="1"/>
      <c r="P154" s="1"/>
      <c r="Q154" s="1"/>
      <c r="R154" s="1"/>
    </row>
    <row r="155" spans="1:18" x14ac:dyDescent="0.4">
      <c r="A155" s="3" t="s">
        <v>164</v>
      </c>
      <c r="B155" s="4">
        <f t="shared" si="14"/>
        <v>154</v>
      </c>
      <c r="C155" s="1" t="str">
        <f t="shared" si="18"/>
        <v>screen_word</v>
      </c>
      <c r="D155" s="1" t="str">
        <f t="shared" si="18"/>
        <v>画面文言</v>
      </c>
      <c r="E155" s="1" t="s">
        <v>149</v>
      </c>
      <c r="F155" s="1" t="s">
        <v>87</v>
      </c>
      <c r="G155" s="1" t="s">
        <v>356</v>
      </c>
      <c r="H155" s="1">
        <v>64</v>
      </c>
      <c r="I155" s="1"/>
      <c r="J155" s="1"/>
      <c r="K155" s="1" t="s">
        <v>16</v>
      </c>
      <c r="L155" s="1"/>
      <c r="M155" s="1" t="s">
        <v>158</v>
      </c>
      <c r="N155" s="1"/>
      <c r="O155" s="1"/>
      <c r="P155" s="1"/>
      <c r="Q155" s="1"/>
      <c r="R155" s="1"/>
    </row>
    <row r="156" spans="1:18" x14ac:dyDescent="0.4">
      <c r="A156" s="3" t="s">
        <v>164</v>
      </c>
      <c r="B156" s="4">
        <f t="shared" si="14"/>
        <v>155</v>
      </c>
      <c r="C156" s="1" t="str">
        <f t="shared" si="18"/>
        <v>screen_word</v>
      </c>
      <c r="D156" s="1" t="str">
        <f t="shared" si="18"/>
        <v>画面文言</v>
      </c>
      <c r="E156" s="1" t="s">
        <v>152</v>
      </c>
      <c r="F156" s="1" t="s">
        <v>88</v>
      </c>
      <c r="G156" s="1" t="s">
        <v>160</v>
      </c>
      <c r="H156" s="1">
        <f>32*8</f>
        <v>256</v>
      </c>
      <c r="I156" s="1"/>
      <c r="J156" s="1"/>
      <c r="K156" s="1" t="s">
        <v>16</v>
      </c>
      <c r="L156" s="1"/>
      <c r="M156" s="1" t="s">
        <v>159</v>
      </c>
      <c r="N156" s="1"/>
      <c r="O156" s="1"/>
      <c r="P156" s="1"/>
      <c r="Q156" s="1"/>
      <c r="R156" s="1" t="s">
        <v>161</v>
      </c>
    </row>
    <row r="157" spans="1:18" x14ac:dyDescent="0.4">
      <c r="A157" s="3" t="s">
        <v>164</v>
      </c>
      <c r="B157" s="4">
        <f t="shared" si="14"/>
        <v>156</v>
      </c>
      <c r="C157" s="1" t="str">
        <f t="shared" si="18"/>
        <v>screen_word</v>
      </c>
      <c r="D157" s="1" t="str">
        <f t="shared" si="18"/>
        <v>画面文言</v>
      </c>
      <c r="E157" s="1" t="s">
        <v>153</v>
      </c>
      <c r="F157" s="1" t="s">
        <v>89</v>
      </c>
      <c r="G157" s="1" t="s">
        <v>356</v>
      </c>
      <c r="H157" s="1">
        <v>64</v>
      </c>
      <c r="I157" s="1"/>
      <c r="J157" s="1"/>
      <c r="K157" s="1" t="s">
        <v>16</v>
      </c>
      <c r="L157" s="1"/>
      <c r="M157" s="1" t="s">
        <v>158</v>
      </c>
      <c r="N157" s="1"/>
      <c r="O157" s="1"/>
      <c r="P157" s="1"/>
      <c r="Q157" s="1"/>
      <c r="R157" s="1"/>
    </row>
    <row r="158" spans="1:18" x14ac:dyDescent="0.4">
      <c r="A158" s="3" t="s">
        <v>164</v>
      </c>
      <c r="B158" s="4">
        <f t="shared" si="14"/>
        <v>157</v>
      </c>
      <c r="C158" s="1" t="str">
        <f t="shared" si="18"/>
        <v>screen_word</v>
      </c>
      <c r="D158" s="1" t="str">
        <f t="shared" si="18"/>
        <v>画面文言</v>
      </c>
      <c r="E158" s="1" t="s">
        <v>154</v>
      </c>
      <c r="F158" s="1" t="s">
        <v>90</v>
      </c>
      <c r="G158" s="1" t="s">
        <v>160</v>
      </c>
      <c r="H158" s="1">
        <f>32*8</f>
        <v>256</v>
      </c>
      <c r="I158" s="1"/>
      <c r="J158" s="1"/>
      <c r="K158" s="1" t="s">
        <v>16</v>
      </c>
      <c r="L158" s="1"/>
      <c r="M158" s="1" t="s">
        <v>159</v>
      </c>
      <c r="N158" s="1"/>
      <c r="O158" s="1"/>
      <c r="P158" s="1"/>
      <c r="Q158" s="1"/>
      <c r="R158" s="1" t="s">
        <v>161</v>
      </c>
    </row>
    <row r="159" spans="1:18" x14ac:dyDescent="0.4">
      <c r="A159" s="3" t="s">
        <v>164</v>
      </c>
      <c r="B159" s="4">
        <f t="shared" si="14"/>
        <v>158</v>
      </c>
      <c r="C159" s="1" t="str">
        <f t="shared" si="18"/>
        <v>screen_word</v>
      </c>
      <c r="D159" s="1" t="str">
        <f t="shared" si="18"/>
        <v>画面文言</v>
      </c>
      <c r="E159" s="1" t="s">
        <v>155</v>
      </c>
      <c r="F159" s="1" t="s">
        <v>91</v>
      </c>
      <c r="G159" s="1" t="s">
        <v>358</v>
      </c>
      <c r="H159" s="1">
        <v>1</v>
      </c>
      <c r="I159" s="1"/>
      <c r="J159" s="1"/>
      <c r="K159" s="1" t="s">
        <v>16</v>
      </c>
      <c r="L159" s="1"/>
      <c r="M159" s="1">
        <v>0</v>
      </c>
      <c r="N159" s="1"/>
      <c r="O159" s="1"/>
      <c r="P159" s="1"/>
      <c r="Q159" s="1"/>
      <c r="R159" s="1"/>
    </row>
    <row r="160" spans="1:18" x14ac:dyDescent="0.4">
      <c r="A160" s="3" t="s">
        <v>164</v>
      </c>
      <c r="B160" s="4">
        <f t="shared" si="14"/>
        <v>159</v>
      </c>
      <c r="C160" s="1" t="str">
        <f t="shared" si="18"/>
        <v>screen_word</v>
      </c>
      <c r="D160" s="1" t="str">
        <f t="shared" si="18"/>
        <v>画面文言</v>
      </c>
      <c r="E160" s="1" t="s">
        <v>156</v>
      </c>
      <c r="F160" s="1" t="s">
        <v>92</v>
      </c>
      <c r="G160" s="1" t="s">
        <v>358</v>
      </c>
      <c r="H160" s="1">
        <v>1</v>
      </c>
      <c r="I160" s="1"/>
      <c r="J160" s="1"/>
      <c r="K160" s="1" t="s">
        <v>16</v>
      </c>
      <c r="L160" s="1"/>
      <c r="M160" s="1">
        <v>0</v>
      </c>
      <c r="N160" s="1"/>
      <c r="O160" s="1"/>
      <c r="P160" s="1"/>
      <c r="Q160" s="1"/>
      <c r="R160" s="1"/>
    </row>
    <row r="161" spans="1:18" x14ac:dyDescent="0.4">
      <c r="A161" s="3" t="s">
        <v>164</v>
      </c>
      <c r="B161" s="4">
        <f t="shared" si="14"/>
        <v>160</v>
      </c>
      <c r="C161" s="1" t="s">
        <v>455</v>
      </c>
      <c r="D161" s="1" t="s">
        <v>456</v>
      </c>
      <c r="E161" s="1" t="s">
        <v>146</v>
      </c>
      <c r="F161" s="1" t="s">
        <v>19</v>
      </c>
      <c r="G161" s="1" t="s">
        <v>146</v>
      </c>
      <c r="H161" s="1">
        <v>128</v>
      </c>
      <c r="I161" s="1" t="s">
        <v>16</v>
      </c>
      <c r="J161" s="1"/>
      <c r="K161" s="1" t="s">
        <v>16</v>
      </c>
      <c r="L161" s="1" t="s">
        <v>16</v>
      </c>
      <c r="M161" s="1" t="s">
        <v>157</v>
      </c>
      <c r="N161" s="1"/>
      <c r="O161" s="1"/>
      <c r="P161" s="1"/>
      <c r="Q161" s="1"/>
      <c r="R161" s="1"/>
    </row>
    <row r="162" spans="1:18" x14ac:dyDescent="0.4">
      <c r="A162" s="3" t="s">
        <v>164</v>
      </c>
      <c r="B162" s="4">
        <f t="shared" si="14"/>
        <v>161</v>
      </c>
      <c r="C162" s="1" t="str">
        <f>C161</f>
        <v>sns_support</v>
      </c>
      <c r="D162" s="1" t="str">
        <f>D161</f>
        <v>サポートするSNS</v>
      </c>
      <c r="E162" s="1" t="s">
        <v>463</v>
      </c>
      <c r="F162" s="1" t="s">
        <v>86</v>
      </c>
      <c r="G162" s="1" t="s">
        <v>460</v>
      </c>
      <c r="H162" s="1">
        <f>8*6</f>
        <v>48</v>
      </c>
      <c r="I162" s="1" t="s">
        <v>16</v>
      </c>
      <c r="J162" s="1"/>
      <c r="K162" s="1" t="s">
        <v>386</v>
      </c>
      <c r="L162" s="1" t="s">
        <v>386</v>
      </c>
      <c r="M162" s="1"/>
      <c r="N162" s="1"/>
      <c r="O162" s="1"/>
      <c r="P162" s="1"/>
      <c r="Q162" s="1"/>
      <c r="R162" s="1"/>
    </row>
    <row r="163" spans="1:18" x14ac:dyDescent="0.4">
      <c r="A163" s="3" t="s">
        <v>164</v>
      </c>
      <c r="B163" s="4">
        <f t="shared" si="14"/>
        <v>162</v>
      </c>
      <c r="C163" s="1" t="str">
        <f t="shared" ref="C163:C172" si="19">C162</f>
        <v>sns_support</v>
      </c>
      <c r="D163" s="1" t="str">
        <f t="shared" ref="D163:D172" si="20">D162</f>
        <v>サポートするSNS</v>
      </c>
      <c r="E163" s="1" t="s">
        <v>464</v>
      </c>
      <c r="F163" s="1" t="s">
        <v>85</v>
      </c>
      <c r="G163" s="1" t="s">
        <v>461</v>
      </c>
      <c r="H163" s="1">
        <f>8*14</f>
        <v>112</v>
      </c>
      <c r="I163" s="1"/>
      <c r="J163" s="1"/>
      <c r="K163" s="1"/>
      <c r="L163" s="1"/>
      <c r="M163" s="1"/>
      <c r="N163" s="1"/>
      <c r="O163" s="1"/>
      <c r="P163" s="1"/>
      <c r="Q163" s="1"/>
      <c r="R163" s="1" t="s">
        <v>462</v>
      </c>
    </row>
    <row r="164" spans="1:18" x14ac:dyDescent="0.4">
      <c r="A164" s="3" t="s">
        <v>163</v>
      </c>
      <c r="B164" s="4">
        <f t="shared" si="14"/>
        <v>163</v>
      </c>
      <c r="C164" s="1" t="str">
        <f t="shared" si="19"/>
        <v>sns_support</v>
      </c>
      <c r="D164" s="1" t="str">
        <f t="shared" si="20"/>
        <v>サポートするSNS</v>
      </c>
      <c r="E164" s="14" t="s">
        <v>465</v>
      </c>
      <c r="F164" s="14" t="s">
        <v>409</v>
      </c>
      <c r="G164" s="14" t="s">
        <v>418</v>
      </c>
      <c r="H164" s="14">
        <v>64</v>
      </c>
      <c r="I164" s="1"/>
      <c r="J164" s="1" t="s">
        <v>386</v>
      </c>
      <c r="K164" s="1" t="s">
        <v>386</v>
      </c>
      <c r="L164" s="1"/>
      <c r="M164" s="1"/>
      <c r="N164" s="1" t="s">
        <v>457</v>
      </c>
      <c r="O164" s="1"/>
      <c r="P164" s="1"/>
      <c r="Q164" s="1"/>
      <c r="R164" s="1" t="s">
        <v>57</v>
      </c>
    </row>
    <row r="165" spans="1:18" x14ac:dyDescent="0.4">
      <c r="A165" s="3" t="s">
        <v>163</v>
      </c>
      <c r="B165" s="4">
        <f t="shared" si="14"/>
        <v>164</v>
      </c>
      <c r="C165" s="1" t="str">
        <f t="shared" si="19"/>
        <v>sns_support</v>
      </c>
      <c r="D165" s="1" t="str">
        <f t="shared" si="20"/>
        <v>サポートするSNS</v>
      </c>
      <c r="E165" s="1" t="s">
        <v>458</v>
      </c>
      <c r="F165" s="1" t="s">
        <v>452</v>
      </c>
      <c r="G165" s="1" t="s">
        <v>358</v>
      </c>
      <c r="H165" s="1">
        <v>1</v>
      </c>
      <c r="I165" s="1"/>
      <c r="J165" s="1"/>
      <c r="K165" s="1"/>
      <c r="L165" s="1"/>
      <c r="M165" s="1">
        <v>1</v>
      </c>
      <c r="N165" s="1"/>
      <c r="O165" s="1"/>
      <c r="P165" s="1"/>
      <c r="Q165" s="1"/>
      <c r="R165" s="1"/>
    </row>
    <row r="166" spans="1:18" x14ac:dyDescent="0.4">
      <c r="A166" s="3" t="s">
        <v>163</v>
      </c>
      <c r="B166" s="4">
        <f t="shared" si="14"/>
        <v>165</v>
      </c>
      <c r="C166" s="1" t="str">
        <f t="shared" si="19"/>
        <v>sns_support</v>
      </c>
      <c r="D166" s="1" t="str">
        <f t="shared" si="20"/>
        <v>サポートするSNS</v>
      </c>
      <c r="E166" s="1" t="s">
        <v>459</v>
      </c>
      <c r="F166" s="1" t="s">
        <v>453</v>
      </c>
      <c r="G166" s="1" t="s">
        <v>358</v>
      </c>
      <c r="H166" s="1">
        <v>1</v>
      </c>
      <c r="I166" s="1"/>
      <c r="J166" s="1"/>
      <c r="K166" s="1"/>
      <c r="L166" s="1"/>
      <c r="M166" s="1">
        <v>1</v>
      </c>
      <c r="N166" s="1"/>
      <c r="O166" s="1"/>
      <c r="P166" s="1"/>
      <c r="Q166" s="1"/>
      <c r="R166" s="1"/>
    </row>
    <row r="167" spans="1:18" x14ac:dyDescent="0.4">
      <c r="A167" s="3" t="s">
        <v>164</v>
      </c>
      <c r="B167" s="4">
        <f t="shared" si="14"/>
        <v>166</v>
      </c>
      <c r="C167" s="1" t="str">
        <f t="shared" si="19"/>
        <v>sns_support</v>
      </c>
      <c r="D167" s="1" t="str">
        <f t="shared" si="20"/>
        <v>サポートするSNS</v>
      </c>
      <c r="E167" s="1" t="s">
        <v>149</v>
      </c>
      <c r="F167" s="1" t="s">
        <v>87</v>
      </c>
      <c r="G167" s="1" t="s">
        <v>356</v>
      </c>
      <c r="H167" s="1">
        <v>64</v>
      </c>
      <c r="I167" s="1"/>
      <c r="J167" s="1"/>
      <c r="K167" s="1" t="s">
        <v>16</v>
      </c>
      <c r="L167" s="1"/>
      <c r="M167" s="1" t="s">
        <v>158</v>
      </c>
      <c r="N167" s="1"/>
      <c r="O167" s="1"/>
      <c r="P167" s="1"/>
      <c r="Q167" s="1"/>
      <c r="R167" s="1"/>
    </row>
    <row r="168" spans="1:18" x14ac:dyDescent="0.4">
      <c r="A168" s="3" t="s">
        <v>164</v>
      </c>
      <c r="B168" s="4">
        <f t="shared" si="14"/>
        <v>167</v>
      </c>
      <c r="C168" s="1" t="str">
        <f t="shared" si="19"/>
        <v>sns_support</v>
      </c>
      <c r="D168" s="1" t="str">
        <f t="shared" si="20"/>
        <v>サポートするSNS</v>
      </c>
      <c r="E168" s="1" t="s">
        <v>152</v>
      </c>
      <c r="F168" s="1" t="s">
        <v>88</v>
      </c>
      <c r="G168" s="1" t="s">
        <v>160</v>
      </c>
      <c r="H168" s="1">
        <f>32*8</f>
        <v>256</v>
      </c>
      <c r="I168" s="1"/>
      <c r="J168" s="1"/>
      <c r="K168" s="1" t="s">
        <v>16</v>
      </c>
      <c r="L168" s="1"/>
      <c r="M168" s="1" t="s">
        <v>159</v>
      </c>
      <c r="N168" s="1"/>
      <c r="O168" s="1"/>
      <c r="P168" s="1"/>
      <c r="Q168" s="1"/>
      <c r="R168" s="1" t="s">
        <v>161</v>
      </c>
    </row>
    <row r="169" spans="1:18" x14ac:dyDescent="0.4">
      <c r="A169" s="3" t="s">
        <v>164</v>
      </c>
      <c r="B169" s="4">
        <f t="shared" si="14"/>
        <v>168</v>
      </c>
      <c r="C169" s="1" t="str">
        <f t="shared" si="19"/>
        <v>sns_support</v>
      </c>
      <c r="D169" s="1" t="str">
        <f t="shared" si="20"/>
        <v>サポートするSNS</v>
      </c>
      <c r="E169" s="1" t="s">
        <v>153</v>
      </c>
      <c r="F169" s="1" t="s">
        <v>89</v>
      </c>
      <c r="G169" s="1" t="s">
        <v>356</v>
      </c>
      <c r="H169" s="1">
        <v>64</v>
      </c>
      <c r="I169" s="1"/>
      <c r="J169" s="1"/>
      <c r="K169" s="1" t="s">
        <v>16</v>
      </c>
      <c r="L169" s="1"/>
      <c r="M169" s="1" t="s">
        <v>158</v>
      </c>
      <c r="N169" s="1"/>
      <c r="O169" s="1"/>
      <c r="P169" s="1"/>
      <c r="Q169" s="1"/>
      <c r="R169" s="1"/>
    </row>
    <row r="170" spans="1:18" x14ac:dyDescent="0.4">
      <c r="A170" s="3" t="s">
        <v>164</v>
      </c>
      <c r="B170" s="4">
        <f t="shared" si="14"/>
        <v>169</v>
      </c>
      <c r="C170" s="1" t="str">
        <f t="shared" si="19"/>
        <v>sns_support</v>
      </c>
      <c r="D170" s="1" t="str">
        <f t="shared" si="20"/>
        <v>サポートするSNS</v>
      </c>
      <c r="E170" s="1" t="s">
        <v>154</v>
      </c>
      <c r="F170" s="1" t="s">
        <v>90</v>
      </c>
      <c r="G170" s="1" t="s">
        <v>160</v>
      </c>
      <c r="H170" s="1">
        <f>32*8</f>
        <v>256</v>
      </c>
      <c r="I170" s="1"/>
      <c r="J170" s="1"/>
      <c r="K170" s="1" t="s">
        <v>16</v>
      </c>
      <c r="L170" s="1"/>
      <c r="M170" s="1" t="s">
        <v>159</v>
      </c>
      <c r="N170" s="1"/>
      <c r="O170" s="1"/>
      <c r="P170" s="1"/>
      <c r="Q170" s="1"/>
      <c r="R170" s="1" t="s">
        <v>161</v>
      </c>
    </row>
    <row r="171" spans="1:18" x14ac:dyDescent="0.4">
      <c r="A171" s="3" t="s">
        <v>164</v>
      </c>
      <c r="B171" s="4">
        <f t="shared" si="14"/>
        <v>170</v>
      </c>
      <c r="C171" s="1" t="str">
        <f t="shared" si="19"/>
        <v>sns_support</v>
      </c>
      <c r="D171" s="1" t="str">
        <f t="shared" si="20"/>
        <v>サポートするSNS</v>
      </c>
      <c r="E171" s="1" t="s">
        <v>155</v>
      </c>
      <c r="F171" s="1" t="s">
        <v>91</v>
      </c>
      <c r="G171" s="1" t="s">
        <v>358</v>
      </c>
      <c r="H171" s="1">
        <v>1</v>
      </c>
      <c r="I171" s="1"/>
      <c r="J171" s="1"/>
      <c r="K171" s="1" t="s">
        <v>16</v>
      </c>
      <c r="L171" s="1"/>
      <c r="M171" s="1">
        <v>0</v>
      </c>
      <c r="N171" s="1"/>
      <c r="O171" s="1"/>
      <c r="P171" s="1"/>
      <c r="Q171" s="1"/>
      <c r="R171" s="1"/>
    </row>
    <row r="172" spans="1:18" x14ac:dyDescent="0.4">
      <c r="A172" s="3" t="s">
        <v>164</v>
      </c>
      <c r="B172" s="4">
        <f t="shared" si="14"/>
        <v>171</v>
      </c>
      <c r="C172" s="1" t="str">
        <f t="shared" si="19"/>
        <v>sns_support</v>
      </c>
      <c r="D172" s="1" t="str">
        <f t="shared" si="20"/>
        <v>サポートするSNS</v>
      </c>
      <c r="E172" s="1" t="s">
        <v>156</v>
      </c>
      <c r="F172" s="1" t="s">
        <v>92</v>
      </c>
      <c r="G172" s="1" t="s">
        <v>358</v>
      </c>
      <c r="H172" s="1">
        <v>1</v>
      </c>
      <c r="I172" s="1"/>
      <c r="J172" s="1"/>
      <c r="K172" s="1" t="s">
        <v>16</v>
      </c>
      <c r="L172" s="1"/>
      <c r="M172" s="1">
        <v>0</v>
      </c>
      <c r="N172" s="1"/>
      <c r="O172" s="1"/>
      <c r="P172" s="1"/>
      <c r="Q172" s="1"/>
      <c r="R172" s="1"/>
    </row>
    <row r="173" spans="1:18" x14ac:dyDescent="0.4">
      <c r="A173" s="3" t="s">
        <v>164</v>
      </c>
      <c r="B173" s="4">
        <f t="shared" si="14"/>
        <v>172</v>
      </c>
      <c r="C173" s="1" t="s">
        <v>128</v>
      </c>
      <c r="D173" s="1" t="s">
        <v>94</v>
      </c>
      <c r="E173" s="1" t="s">
        <v>146</v>
      </c>
      <c r="F173" s="1" t="s">
        <v>19</v>
      </c>
      <c r="G173" s="1" t="s">
        <v>146</v>
      </c>
      <c r="H173" s="1">
        <v>128</v>
      </c>
      <c r="I173" s="1" t="s">
        <v>16</v>
      </c>
      <c r="J173" s="1"/>
      <c r="K173" s="1" t="s">
        <v>16</v>
      </c>
      <c r="L173" s="1" t="s">
        <v>16</v>
      </c>
      <c r="M173" s="1" t="s">
        <v>157</v>
      </c>
      <c r="N173" s="1"/>
      <c r="O173" s="1"/>
      <c r="P173" s="1"/>
      <c r="Q173" s="1"/>
      <c r="R173" s="1"/>
    </row>
    <row r="174" spans="1:18" x14ac:dyDescent="0.4">
      <c r="A174" s="3"/>
      <c r="B174" s="4">
        <f t="shared" si="14"/>
        <v>173</v>
      </c>
      <c r="C174" s="1" t="str">
        <f>C173</f>
        <v>profile_report</v>
      </c>
      <c r="D174" s="1" t="str">
        <f>D173</f>
        <v>プロフィール通報</v>
      </c>
      <c r="E174" s="1" t="s">
        <v>20</v>
      </c>
      <c r="F174" s="1" t="s">
        <v>20</v>
      </c>
      <c r="G174" s="1" t="s">
        <v>19</v>
      </c>
      <c r="H174" s="1">
        <f>_xlfn.XLOOKUP($G174,型とバイト数!$B$3:$B$52,型とバイト数!$E$3:$E$52,"???")</f>
        <v>128</v>
      </c>
      <c r="I174" s="1"/>
      <c r="J174" s="1" t="s">
        <v>16</v>
      </c>
      <c r="K174" s="1"/>
      <c r="L174" s="1"/>
      <c r="M174" s="1"/>
      <c r="N174" s="1"/>
      <c r="O174" s="1"/>
      <c r="P174" s="1"/>
      <c r="Q174" s="1"/>
      <c r="R174" s="1"/>
    </row>
    <row r="175" spans="1:18" x14ac:dyDescent="0.4">
      <c r="A175" s="3" t="s">
        <v>163</v>
      </c>
      <c r="B175" s="4">
        <f t="shared" si="14"/>
        <v>174</v>
      </c>
      <c r="C175" s="1" t="str">
        <f t="shared" ref="C175:D184" si="21">C174</f>
        <v>profile_report</v>
      </c>
      <c r="D175" s="1" t="str">
        <f t="shared" si="21"/>
        <v>プロフィール通報</v>
      </c>
      <c r="E175" s="1" t="s">
        <v>450</v>
      </c>
      <c r="F175" s="1" t="s">
        <v>451</v>
      </c>
      <c r="G175" s="1" t="s">
        <v>175</v>
      </c>
      <c r="H175" s="1">
        <v>64</v>
      </c>
      <c r="I175" s="1"/>
      <c r="J175" s="1" t="s">
        <v>16</v>
      </c>
      <c r="K175" s="1" t="s">
        <v>386</v>
      </c>
      <c r="L175" s="1"/>
      <c r="M175" s="1"/>
      <c r="N175" s="1"/>
      <c r="O175" s="1"/>
      <c r="P175" s="1"/>
      <c r="Q175" s="1"/>
      <c r="R175" s="1"/>
    </row>
    <row r="176" spans="1:18" x14ac:dyDescent="0.4">
      <c r="A176" s="3"/>
      <c r="B176" s="4">
        <f t="shared" si="14"/>
        <v>175</v>
      </c>
      <c r="C176" s="1" t="str">
        <f t="shared" si="21"/>
        <v>profile_report</v>
      </c>
      <c r="D176" s="1" t="str">
        <f t="shared" si="21"/>
        <v>プロフィール通報</v>
      </c>
      <c r="E176" s="1" t="s">
        <v>95</v>
      </c>
      <c r="F176" s="1" t="s">
        <v>95</v>
      </c>
      <c r="G176" s="1" t="s">
        <v>15</v>
      </c>
      <c r="H176" s="1" t="str">
        <f>_xlfn.XLOOKUP($G176,型とバイト数!$B$3:$B$52,型とバイト数!$E$3:$E$52,"???")</f>
        <v>???</v>
      </c>
      <c r="I176" s="1"/>
      <c r="J176" s="1"/>
      <c r="K176" s="1"/>
      <c r="L176" s="1"/>
      <c r="M176" s="1"/>
      <c r="N176" s="1"/>
      <c r="O176" s="1" t="s">
        <v>16</v>
      </c>
      <c r="P176" s="1"/>
      <c r="Q176" s="1"/>
      <c r="R176" s="1"/>
    </row>
    <row r="177" spans="1:18" x14ac:dyDescent="0.4">
      <c r="A177" s="3"/>
      <c r="B177" s="4">
        <f t="shared" si="14"/>
        <v>176</v>
      </c>
      <c r="C177" s="1" t="str">
        <f t="shared" si="21"/>
        <v>profile_report</v>
      </c>
      <c r="D177" s="1" t="str">
        <f t="shared" si="21"/>
        <v>プロフィール通報</v>
      </c>
      <c r="E177" s="1" t="s">
        <v>96</v>
      </c>
      <c r="F177" s="1" t="s">
        <v>96</v>
      </c>
      <c r="G177" s="1" t="s">
        <v>15</v>
      </c>
      <c r="H177" s="1" t="str">
        <f>_xlfn.XLOOKUP($G177,型とバイト数!$B$3:$B$52,型とバイト数!$E$3:$E$52,"???")</f>
        <v>???</v>
      </c>
      <c r="I177" s="1"/>
      <c r="J177" s="1"/>
      <c r="K177" s="1"/>
      <c r="L177" s="1"/>
      <c r="M177" s="1"/>
      <c r="N177" s="1"/>
      <c r="O177" s="1" t="s">
        <v>16</v>
      </c>
      <c r="P177" s="1"/>
      <c r="Q177" s="1"/>
      <c r="R177" s="1"/>
    </row>
    <row r="178" spans="1:18" x14ac:dyDescent="0.4">
      <c r="A178" s="3"/>
      <c r="B178" s="4">
        <f t="shared" si="14"/>
        <v>177</v>
      </c>
      <c r="C178" s="1" t="str">
        <f t="shared" si="21"/>
        <v>profile_report</v>
      </c>
      <c r="D178" s="1" t="str">
        <f t="shared" si="21"/>
        <v>プロフィール通報</v>
      </c>
      <c r="E178" s="1" t="s">
        <v>97</v>
      </c>
      <c r="F178" s="1" t="s">
        <v>97</v>
      </c>
      <c r="G178" s="1" t="s">
        <v>150</v>
      </c>
      <c r="H178" s="1" t="str">
        <f>_xlfn.XLOOKUP($G178,型とバイト数!$B$3:$B$52,型とバイト数!$E$3:$E$52,"???")</f>
        <v>???</v>
      </c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x14ac:dyDescent="0.4">
      <c r="A179" s="3" t="s">
        <v>164</v>
      </c>
      <c r="B179" s="4">
        <f t="shared" si="14"/>
        <v>178</v>
      </c>
      <c r="C179" s="1" t="str">
        <f t="shared" si="21"/>
        <v>profile_report</v>
      </c>
      <c r="D179" s="1" t="str">
        <f t="shared" si="21"/>
        <v>プロフィール通報</v>
      </c>
      <c r="E179" s="1" t="s">
        <v>149</v>
      </c>
      <c r="F179" s="1" t="s">
        <v>87</v>
      </c>
      <c r="G179" s="1" t="s">
        <v>356</v>
      </c>
      <c r="H179" s="1">
        <v>64</v>
      </c>
      <c r="I179" s="1"/>
      <c r="J179" s="1"/>
      <c r="K179" s="1" t="s">
        <v>16</v>
      </c>
      <c r="L179" s="1"/>
      <c r="M179" s="1" t="s">
        <v>158</v>
      </c>
      <c r="N179" s="1"/>
      <c r="O179" s="1"/>
      <c r="P179" s="1"/>
      <c r="Q179" s="1"/>
      <c r="R179" s="1"/>
    </row>
    <row r="180" spans="1:18" x14ac:dyDescent="0.4">
      <c r="A180" s="3" t="s">
        <v>164</v>
      </c>
      <c r="B180" s="4">
        <f t="shared" si="14"/>
        <v>179</v>
      </c>
      <c r="C180" s="1" t="str">
        <f t="shared" si="21"/>
        <v>profile_report</v>
      </c>
      <c r="D180" s="1" t="str">
        <f t="shared" si="21"/>
        <v>プロフィール通報</v>
      </c>
      <c r="E180" s="1" t="s">
        <v>152</v>
      </c>
      <c r="F180" s="1" t="s">
        <v>88</v>
      </c>
      <c r="G180" s="1" t="s">
        <v>160</v>
      </c>
      <c r="H180" s="1">
        <f>32*8</f>
        <v>256</v>
      </c>
      <c r="I180" s="1"/>
      <c r="J180" s="1"/>
      <c r="K180" s="1" t="s">
        <v>16</v>
      </c>
      <c r="L180" s="1"/>
      <c r="M180" s="1" t="s">
        <v>159</v>
      </c>
      <c r="N180" s="1"/>
      <c r="O180" s="1"/>
      <c r="P180" s="1"/>
      <c r="Q180" s="1"/>
      <c r="R180" s="1" t="s">
        <v>161</v>
      </c>
    </row>
    <row r="181" spans="1:18" x14ac:dyDescent="0.4">
      <c r="A181" s="3" t="s">
        <v>164</v>
      </c>
      <c r="B181" s="4">
        <f t="shared" si="14"/>
        <v>180</v>
      </c>
      <c r="C181" s="1" t="str">
        <f t="shared" si="21"/>
        <v>profile_report</v>
      </c>
      <c r="D181" s="1" t="str">
        <f t="shared" si="21"/>
        <v>プロフィール通報</v>
      </c>
      <c r="E181" s="1" t="s">
        <v>153</v>
      </c>
      <c r="F181" s="1" t="s">
        <v>89</v>
      </c>
      <c r="G181" s="1" t="s">
        <v>356</v>
      </c>
      <c r="H181" s="1">
        <v>64</v>
      </c>
      <c r="I181" s="1"/>
      <c r="J181" s="1"/>
      <c r="K181" s="1" t="s">
        <v>16</v>
      </c>
      <c r="L181" s="1"/>
      <c r="M181" s="1" t="s">
        <v>158</v>
      </c>
      <c r="N181" s="1"/>
      <c r="O181" s="1"/>
      <c r="P181" s="1"/>
      <c r="Q181" s="1"/>
      <c r="R181" s="1"/>
    </row>
    <row r="182" spans="1:18" x14ac:dyDescent="0.4">
      <c r="A182" s="3" t="s">
        <v>164</v>
      </c>
      <c r="B182" s="4">
        <f t="shared" si="14"/>
        <v>181</v>
      </c>
      <c r="C182" s="1" t="str">
        <f t="shared" si="21"/>
        <v>profile_report</v>
      </c>
      <c r="D182" s="1" t="str">
        <f t="shared" si="21"/>
        <v>プロフィール通報</v>
      </c>
      <c r="E182" s="1" t="s">
        <v>154</v>
      </c>
      <c r="F182" s="1" t="s">
        <v>90</v>
      </c>
      <c r="G182" s="1" t="s">
        <v>160</v>
      </c>
      <c r="H182" s="1">
        <f>32*8</f>
        <v>256</v>
      </c>
      <c r="I182" s="1"/>
      <c r="J182" s="1"/>
      <c r="K182" s="1" t="s">
        <v>16</v>
      </c>
      <c r="L182" s="1"/>
      <c r="M182" s="1" t="s">
        <v>159</v>
      </c>
      <c r="N182" s="1"/>
      <c r="O182" s="1"/>
      <c r="P182" s="1"/>
      <c r="Q182" s="1"/>
      <c r="R182" s="1" t="s">
        <v>161</v>
      </c>
    </row>
    <row r="183" spans="1:18" x14ac:dyDescent="0.4">
      <c r="A183" s="3" t="s">
        <v>164</v>
      </c>
      <c r="B183" s="4">
        <f t="shared" si="14"/>
        <v>182</v>
      </c>
      <c r="C183" s="1" t="str">
        <f t="shared" si="21"/>
        <v>profile_report</v>
      </c>
      <c r="D183" s="1" t="str">
        <f t="shared" si="21"/>
        <v>プロフィール通報</v>
      </c>
      <c r="E183" s="1" t="s">
        <v>155</v>
      </c>
      <c r="F183" s="1" t="s">
        <v>91</v>
      </c>
      <c r="G183" s="1" t="s">
        <v>358</v>
      </c>
      <c r="H183" s="1">
        <v>1</v>
      </c>
      <c r="I183" s="1"/>
      <c r="J183" s="1"/>
      <c r="K183" s="1" t="s">
        <v>16</v>
      </c>
      <c r="L183" s="1"/>
      <c r="M183" s="1">
        <v>0</v>
      </c>
      <c r="N183" s="1"/>
      <c r="O183" s="1"/>
      <c r="P183" s="1"/>
      <c r="Q183" s="1"/>
      <c r="R183" s="1"/>
    </row>
    <row r="184" spans="1:18" x14ac:dyDescent="0.4">
      <c r="A184" s="3" t="s">
        <v>164</v>
      </c>
      <c r="B184" s="4">
        <f t="shared" si="14"/>
        <v>183</v>
      </c>
      <c r="C184" s="1" t="str">
        <f t="shared" si="21"/>
        <v>profile_report</v>
      </c>
      <c r="D184" s="1" t="str">
        <f t="shared" si="21"/>
        <v>プロフィール通報</v>
      </c>
      <c r="E184" s="1" t="s">
        <v>156</v>
      </c>
      <c r="F184" s="1" t="s">
        <v>92</v>
      </c>
      <c r="G184" s="1" t="s">
        <v>358</v>
      </c>
      <c r="H184" s="1">
        <v>1</v>
      </c>
      <c r="I184" s="1"/>
      <c r="J184" s="1"/>
      <c r="K184" s="1" t="s">
        <v>16</v>
      </c>
      <c r="L184" s="1"/>
      <c r="M184" s="1">
        <v>0</v>
      </c>
      <c r="N184" s="1"/>
      <c r="O184" s="1"/>
      <c r="P184" s="1"/>
      <c r="Q184" s="1"/>
      <c r="R184" s="1"/>
    </row>
    <row r="185" spans="1:18" x14ac:dyDescent="0.4">
      <c r="A185" s="3" t="s">
        <v>164</v>
      </c>
      <c r="B185" s="4">
        <f t="shared" si="14"/>
        <v>184</v>
      </c>
      <c r="C185" s="1" t="s">
        <v>129</v>
      </c>
      <c r="D185" s="1" t="s">
        <v>98</v>
      </c>
      <c r="E185" s="1" t="s">
        <v>146</v>
      </c>
      <c r="F185" s="1" t="s">
        <v>19</v>
      </c>
      <c r="G185" s="1" t="s">
        <v>146</v>
      </c>
      <c r="H185" s="1">
        <v>128</v>
      </c>
      <c r="I185" s="1" t="s">
        <v>16</v>
      </c>
      <c r="J185" s="1"/>
      <c r="K185" s="1" t="s">
        <v>16</v>
      </c>
      <c r="L185" s="1" t="s">
        <v>16</v>
      </c>
      <c r="M185" s="1" t="s">
        <v>157</v>
      </c>
      <c r="N185" s="1"/>
      <c r="O185" s="1"/>
      <c r="P185" s="1"/>
      <c r="Q185" s="1"/>
      <c r="R185" s="1"/>
    </row>
    <row r="186" spans="1:18" x14ac:dyDescent="0.4">
      <c r="A186" s="3" t="s">
        <v>163</v>
      </c>
      <c r="B186" s="4">
        <f t="shared" si="14"/>
        <v>185</v>
      </c>
      <c r="C186" s="1" t="str">
        <f>C185</f>
        <v>report_reason</v>
      </c>
      <c r="D186" s="1" t="str">
        <f>D185</f>
        <v>通報理由</v>
      </c>
      <c r="E186" s="1" t="s">
        <v>385</v>
      </c>
      <c r="F186" s="1" t="s">
        <v>99</v>
      </c>
      <c r="G186" s="1" t="s">
        <v>381</v>
      </c>
      <c r="H186" s="1">
        <f>8*16</f>
        <v>128</v>
      </c>
      <c r="I186" s="1" t="s">
        <v>16</v>
      </c>
      <c r="J186" s="1"/>
      <c r="K186" s="1"/>
      <c r="L186" s="1" t="s">
        <v>386</v>
      </c>
      <c r="M186" s="1"/>
      <c r="N186" s="1"/>
      <c r="O186" s="1"/>
      <c r="P186" s="1"/>
      <c r="Q186" s="1"/>
      <c r="R186" s="1"/>
    </row>
    <row r="187" spans="1:18" x14ac:dyDescent="0.4">
      <c r="A187" s="3" t="s">
        <v>163</v>
      </c>
      <c r="B187" s="4">
        <f t="shared" si="14"/>
        <v>186</v>
      </c>
      <c r="C187" s="1" t="str">
        <f t="shared" ref="C187:D193" si="22">C186</f>
        <v>report_reason</v>
      </c>
      <c r="D187" s="1" t="str">
        <f t="shared" si="22"/>
        <v>通報理由</v>
      </c>
      <c r="E187" s="1" t="s">
        <v>384</v>
      </c>
      <c r="F187" s="1" t="s">
        <v>100</v>
      </c>
      <c r="G187" s="1" t="s">
        <v>381</v>
      </c>
      <c r="H187" s="1">
        <f>8*16</f>
        <v>128</v>
      </c>
      <c r="I187" s="1"/>
      <c r="J187" s="1"/>
      <c r="K187" s="1"/>
      <c r="L187" s="1"/>
      <c r="M187" s="1"/>
      <c r="N187" s="1"/>
      <c r="O187" s="1"/>
      <c r="P187" s="1"/>
      <c r="Q187" s="1"/>
      <c r="R187" s="1" t="s">
        <v>364</v>
      </c>
    </row>
    <row r="188" spans="1:18" x14ac:dyDescent="0.4">
      <c r="A188" s="3" t="s">
        <v>164</v>
      </c>
      <c r="B188" s="4">
        <f t="shared" si="14"/>
        <v>187</v>
      </c>
      <c r="C188" s="1" t="str">
        <f t="shared" si="22"/>
        <v>report_reason</v>
      </c>
      <c r="D188" s="1" t="str">
        <f t="shared" si="22"/>
        <v>通報理由</v>
      </c>
      <c r="E188" s="1" t="s">
        <v>149</v>
      </c>
      <c r="F188" s="1" t="s">
        <v>87</v>
      </c>
      <c r="G188" s="1" t="s">
        <v>356</v>
      </c>
      <c r="H188" s="1">
        <v>64</v>
      </c>
      <c r="I188" s="1"/>
      <c r="J188" s="1"/>
      <c r="K188" s="1" t="s">
        <v>16</v>
      </c>
      <c r="L188" s="1"/>
      <c r="M188" s="1" t="s">
        <v>158</v>
      </c>
      <c r="N188" s="1"/>
      <c r="O188" s="1"/>
      <c r="P188" s="1"/>
      <c r="Q188" s="1"/>
      <c r="R188" s="1"/>
    </row>
    <row r="189" spans="1:18" x14ac:dyDescent="0.4">
      <c r="A189" s="3" t="s">
        <v>164</v>
      </c>
      <c r="B189" s="4">
        <f t="shared" si="14"/>
        <v>188</v>
      </c>
      <c r="C189" s="1" t="str">
        <f t="shared" si="22"/>
        <v>report_reason</v>
      </c>
      <c r="D189" s="1" t="str">
        <f t="shared" si="22"/>
        <v>通報理由</v>
      </c>
      <c r="E189" s="1" t="s">
        <v>152</v>
      </c>
      <c r="F189" s="1" t="s">
        <v>88</v>
      </c>
      <c r="G189" s="1" t="s">
        <v>160</v>
      </c>
      <c r="H189" s="1">
        <f>32*8</f>
        <v>256</v>
      </c>
      <c r="I189" s="1"/>
      <c r="J189" s="1"/>
      <c r="K189" s="1" t="s">
        <v>16</v>
      </c>
      <c r="L189" s="1"/>
      <c r="M189" s="1" t="s">
        <v>159</v>
      </c>
      <c r="N189" s="1"/>
      <c r="O189" s="1"/>
      <c r="P189" s="1"/>
      <c r="Q189" s="1"/>
      <c r="R189" s="1" t="s">
        <v>161</v>
      </c>
    </row>
    <row r="190" spans="1:18" x14ac:dyDescent="0.4">
      <c r="A190" s="3" t="s">
        <v>164</v>
      </c>
      <c r="B190" s="4">
        <f t="shared" si="14"/>
        <v>189</v>
      </c>
      <c r="C190" s="1" t="str">
        <f t="shared" si="22"/>
        <v>report_reason</v>
      </c>
      <c r="D190" s="1" t="str">
        <f t="shared" si="22"/>
        <v>通報理由</v>
      </c>
      <c r="E190" s="1" t="s">
        <v>153</v>
      </c>
      <c r="F190" s="1" t="s">
        <v>89</v>
      </c>
      <c r="G190" s="1" t="s">
        <v>356</v>
      </c>
      <c r="H190" s="1">
        <v>64</v>
      </c>
      <c r="I190" s="1"/>
      <c r="J190" s="1"/>
      <c r="K190" s="1" t="s">
        <v>16</v>
      </c>
      <c r="L190" s="1"/>
      <c r="M190" s="1" t="s">
        <v>158</v>
      </c>
      <c r="N190" s="1"/>
      <c r="O190" s="1"/>
      <c r="P190" s="1"/>
      <c r="Q190" s="1"/>
      <c r="R190" s="1"/>
    </row>
    <row r="191" spans="1:18" x14ac:dyDescent="0.4">
      <c r="A191" s="3" t="s">
        <v>164</v>
      </c>
      <c r="B191" s="4">
        <f t="shared" si="14"/>
        <v>190</v>
      </c>
      <c r="C191" s="1" t="str">
        <f t="shared" si="22"/>
        <v>report_reason</v>
      </c>
      <c r="D191" s="1" t="str">
        <f t="shared" si="22"/>
        <v>通報理由</v>
      </c>
      <c r="E191" s="1" t="s">
        <v>154</v>
      </c>
      <c r="F191" s="1" t="s">
        <v>90</v>
      </c>
      <c r="G191" s="1" t="s">
        <v>160</v>
      </c>
      <c r="H191" s="1">
        <f>32*8</f>
        <v>256</v>
      </c>
      <c r="I191" s="1"/>
      <c r="J191" s="1"/>
      <c r="K191" s="1" t="s">
        <v>16</v>
      </c>
      <c r="L191" s="1"/>
      <c r="M191" s="1" t="s">
        <v>159</v>
      </c>
      <c r="N191" s="1"/>
      <c r="O191" s="1"/>
      <c r="P191" s="1"/>
      <c r="Q191" s="1"/>
      <c r="R191" s="1" t="s">
        <v>161</v>
      </c>
    </row>
    <row r="192" spans="1:18" x14ac:dyDescent="0.4">
      <c r="A192" s="3" t="s">
        <v>164</v>
      </c>
      <c r="B192" s="4">
        <f t="shared" ref="B192:B193" si="23">ROW()-1</f>
        <v>191</v>
      </c>
      <c r="C192" s="1" t="str">
        <f t="shared" si="22"/>
        <v>report_reason</v>
      </c>
      <c r="D192" s="1" t="str">
        <f t="shared" si="22"/>
        <v>通報理由</v>
      </c>
      <c r="E192" s="1" t="s">
        <v>155</v>
      </c>
      <c r="F192" s="1" t="s">
        <v>91</v>
      </c>
      <c r="G192" s="1" t="s">
        <v>358</v>
      </c>
      <c r="H192" s="1">
        <v>1</v>
      </c>
      <c r="I192" s="1"/>
      <c r="J192" s="1"/>
      <c r="K192" s="1" t="s">
        <v>16</v>
      </c>
      <c r="L192" s="1"/>
      <c r="M192" s="1">
        <v>0</v>
      </c>
      <c r="N192" s="1"/>
      <c r="O192" s="1"/>
      <c r="P192" s="1"/>
      <c r="Q192" s="1"/>
      <c r="R192" s="1"/>
    </row>
    <row r="193" spans="1:18" x14ac:dyDescent="0.4">
      <c r="A193" s="3" t="s">
        <v>164</v>
      </c>
      <c r="B193" s="4">
        <f t="shared" si="23"/>
        <v>192</v>
      </c>
      <c r="C193" s="1" t="str">
        <f t="shared" si="22"/>
        <v>report_reason</v>
      </c>
      <c r="D193" s="1" t="str">
        <f t="shared" si="22"/>
        <v>通報理由</v>
      </c>
      <c r="E193" s="1" t="s">
        <v>156</v>
      </c>
      <c r="F193" s="1" t="s">
        <v>92</v>
      </c>
      <c r="G193" s="1" t="s">
        <v>358</v>
      </c>
      <c r="H193" s="1">
        <v>1</v>
      </c>
      <c r="I193" s="1"/>
      <c r="J193" s="1"/>
      <c r="K193" s="1" t="s">
        <v>16</v>
      </c>
      <c r="L193" s="1"/>
      <c r="M193" s="1">
        <v>0</v>
      </c>
      <c r="N193" s="1"/>
      <c r="O193" s="1"/>
      <c r="P193" s="1"/>
      <c r="Q193" s="1"/>
      <c r="R193" s="1"/>
    </row>
    <row r="194" spans="1:18" x14ac:dyDescent="0.4">
      <c r="A194" s="3" t="s">
        <v>164</v>
      </c>
      <c r="B194" s="4">
        <f t="shared" ref="B194:B267" si="24">ROW()-1</f>
        <v>193</v>
      </c>
      <c r="C194" s="1" t="s">
        <v>130</v>
      </c>
      <c r="D194" s="1" t="s">
        <v>39</v>
      </c>
      <c r="E194" s="1" t="s">
        <v>146</v>
      </c>
      <c r="F194" s="1" t="s">
        <v>19</v>
      </c>
      <c r="G194" s="1" t="s">
        <v>146</v>
      </c>
      <c r="H194" s="1">
        <v>128</v>
      </c>
      <c r="I194" s="1" t="s">
        <v>16</v>
      </c>
      <c r="J194" s="1"/>
      <c r="K194" s="1" t="s">
        <v>16</v>
      </c>
      <c r="L194" s="1" t="s">
        <v>16</v>
      </c>
      <c r="M194" s="1" t="s">
        <v>157</v>
      </c>
      <c r="N194" s="1"/>
      <c r="O194" s="1"/>
      <c r="P194" s="1"/>
      <c r="Q194" s="1"/>
      <c r="R194" s="1"/>
    </row>
    <row r="195" spans="1:18" x14ac:dyDescent="0.4">
      <c r="A195" s="3" t="s">
        <v>444</v>
      </c>
      <c r="B195" s="4">
        <f t="shared" si="24"/>
        <v>194</v>
      </c>
      <c r="C195" s="1" t="str">
        <f>C194</f>
        <v>user</v>
      </c>
      <c r="D195" s="1" t="str">
        <f>D194</f>
        <v>ユーザー</v>
      </c>
      <c r="E195" s="1" t="s">
        <v>437</v>
      </c>
      <c r="F195" s="1" t="s">
        <v>20</v>
      </c>
      <c r="G195" s="1" t="s">
        <v>175</v>
      </c>
      <c r="H195" s="1">
        <f>8*8</f>
        <v>64</v>
      </c>
      <c r="I195" s="1" t="s">
        <v>16</v>
      </c>
      <c r="J195" s="1"/>
      <c r="K195" s="1"/>
      <c r="L195" s="1" t="s">
        <v>16</v>
      </c>
      <c r="M195" s="1" t="s">
        <v>438</v>
      </c>
      <c r="N195" s="1"/>
      <c r="O195" s="1"/>
      <c r="P195" s="1"/>
      <c r="Q195" s="1"/>
      <c r="R195" s="1"/>
    </row>
    <row r="196" spans="1:18" x14ac:dyDescent="0.4">
      <c r="A196" s="3" t="s">
        <v>444</v>
      </c>
      <c r="B196" s="4">
        <f t="shared" si="24"/>
        <v>195</v>
      </c>
      <c r="C196" s="1" t="str">
        <f t="shared" ref="C196:C216" si="25">C195</f>
        <v>user</v>
      </c>
      <c r="D196" s="1" t="str">
        <f t="shared" ref="D196:D216" si="26">D195</f>
        <v>ユーザー</v>
      </c>
      <c r="E196" s="1" t="s">
        <v>436</v>
      </c>
      <c r="F196" s="1" t="s">
        <v>64</v>
      </c>
      <c r="G196" s="1" t="s">
        <v>405</v>
      </c>
      <c r="H196" s="1">
        <v>512</v>
      </c>
      <c r="I196" s="1"/>
      <c r="J196" s="1"/>
      <c r="K196" s="1"/>
      <c r="L196" s="1"/>
      <c r="M196" s="1"/>
      <c r="N196" s="1"/>
      <c r="O196" s="1"/>
      <c r="P196" s="1"/>
      <c r="Q196" s="1"/>
      <c r="R196" s="1"/>
    </row>
    <row r="197" spans="1:18" x14ac:dyDescent="0.4">
      <c r="A197" s="3" t="s">
        <v>444</v>
      </c>
      <c r="B197" s="4">
        <f t="shared" si="24"/>
        <v>196</v>
      </c>
      <c r="C197" s="1" t="str">
        <f t="shared" si="25"/>
        <v>user</v>
      </c>
      <c r="D197" s="1" t="str">
        <f t="shared" si="26"/>
        <v>ユーザー</v>
      </c>
      <c r="E197" s="1" t="s">
        <v>378</v>
      </c>
      <c r="F197" s="1" t="s">
        <v>173</v>
      </c>
      <c r="G197" s="1" t="s">
        <v>175</v>
      </c>
      <c r="H197" s="1">
        <f>8*8</f>
        <v>64</v>
      </c>
      <c r="I197" s="1"/>
      <c r="J197" s="1" t="s">
        <v>16</v>
      </c>
      <c r="K197" s="1"/>
      <c r="L197" s="1"/>
      <c r="M197" s="1"/>
      <c r="N197" s="1"/>
      <c r="O197" s="1"/>
      <c r="P197" s="1"/>
      <c r="Q197" s="1"/>
      <c r="R197" s="1"/>
    </row>
    <row r="198" spans="1:18" x14ac:dyDescent="0.4">
      <c r="A198" s="3"/>
      <c r="B198" s="4">
        <f t="shared" si="24"/>
        <v>197</v>
      </c>
      <c r="C198" s="1" t="str">
        <f t="shared" si="25"/>
        <v>user</v>
      </c>
      <c r="D198" s="1" t="str">
        <f t="shared" si="26"/>
        <v>ユーザー</v>
      </c>
      <c r="E198" s="1" t="s">
        <v>101</v>
      </c>
      <c r="F198" s="1" t="s">
        <v>101</v>
      </c>
      <c r="G198" s="1" t="s">
        <v>81</v>
      </c>
      <c r="H198" s="1" t="str">
        <f>_xlfn.XLOOKUP($G198,型とバイト数!$B$3:$B$52,型とバイト数!$E$3:$E$52,"???")</f>
        <v>???</v>
      </c>
      <c r="I198" s="1"/>
      <c r="J198" s="1"/>
      <c r="K198" s="1"/>
      <c r="L198" s="1"/>
      <c r="M198" s="1"/>
      <c r="N198" s="1"/>
      <c r="O198" s="1"/>
      <c r="P198" s="1"/>
      <c r="Q198" s="1"/>
      <c r="R198" s="1"/>
    </row>
    <row r="199" spans="1:18" x14ac:dyDescent="0.4">
      <c r="A199" s="3"/>
      <c r="B199" s="4">
        <f t="shared" si="24"/>
        <v>198</v>
      </c>
      <c r="C199" s="1" t="str">
        <f t="shared" si="25"/>
        <v>user</v>
      </c>
      <c r="D199" s="1" t="str">
        <f t="shared" si="26"/>
        <v>ユーザー</v>
      </c>
      <c r="E199" s="1" t="s">
        <v>84</v>
      </c>
      <c r="F199" s="1" t="s">
        <v>84</v>
      </c>
      <c r="G199" s="1"/>
      <c r="H199" s="1" t="str">
        <f>_xlfn.XLOOKUP($G199,型とバイト数!$B$3:$B$52,型とバイト数!$E$3:$E$52,"???")</f>
        <v>???</v>
      </c>
      <c r="I199" s="1"/>
      <c r="J199" s="1" t="s">
        <v>16</v>
      </c>
      <c r="K199" s="1"/>
      <c r="L199" s="1"/>
      <c r="M199" s="1"/>
      <c r="N199" s="1"/>
      <c r="O199" s="1"/>
      <c r="P199" s="1"/>
      <c r="Q199" s="1"/>
      <c r="R199" s="1"/>
    </row>
    <row r="200" spans="1:18" x14ac:dyDescent="0.4">
      <c r="A200" s="3"/>
      <c r="B200" s="4">
        <f t="shared" si="24"/>
        <v>199</v>
      </c>
      <c r="C200" s="1" t="str">
        <f t="shared" si="25"/>
        <v>user</v>
      </c>
      <c r="D200" s="1" t="str">
        <f t="shared" si="26"/>
        <v>ユーザー</v>
      </c>
      <c r="E200" s="1" t="s">
        <v>102</v>
      </c>
      <c r="F200" s="1" t="s">
        <v>102</v>
      </c>
      <c r="G200" s="1" t="s">
        <v>150</v>
      </c>
      <c r="H200" s="1" t="str">
        <f>_xlfn.XLOOKUP($G200,型とバイト数!$B$3:$B$52,型とバイト数!$E$3:$E$52,"???")</f>
        <v>???</v>
      </c>
      <c r="I200" s="1"/>
      <c r="J200" s="1"/>
      <c r="K200" s="1"/>
      <c r="L200" s="1"/>
      <c r="M200" s="1"/>
      <c r="N200" s="1"/>
      <c r="O200" s="1"/>
      <c r="P200" s="1"/>
      <c r="Q200" s="1"/>
      <c r="R200" s="1"/>
    </row>
    <row r="201" spans="1:18" x14ac:dyDescent="0.4">
      <c r="A201" s="3"/>
      <c r="B201" s="4">
        <f t="shared" si="24"/>
        <v>200</v>
      </c>
      <c r="C201" s="1" t="str">
        <f t="shared" si="25"/>
        <v>user</v>
      </c>
      <c r="D201" s="1" t="str">
        <f t="shared" si="26"/>
        <v>ユーザー</v>
      </c>
      <c r="E201" s="1" t="s">
        <v>103</v>
      </c>
      <c r="F201" s="1" t="s">
        <v>103</v>
      </c>
      <c r="G201" s="1"/>
      <c r="H201" s="1" t="str">
        <f>_xlfn.XLOOKUP($G201,型とバイト数!$B$3:$B$52,型とバイト数!$E$3:$E$52,"???")</f>
        <v>???</v>
      </c>
      <c r="I201" s="1"/>
      <c r="J201" s="1"/>
      <c r="K201" s="1"/>
      <c r="L201" s="1"/>
      <c r="M201" s="1"/>
      <c r="N201" s="1"/>
      <c r="O201" s="1"/>
      <c r="P201" s="1"/>
      <c r="Q201" s="1"/>
      <c r="R201" s="1"/>
    </row>
    <row r="202" spans="1:18" x14ac:dyDescent="0.4">
      <c r="A202" s="3"/>
      <c r="B202" s="4">
        <f t="shared" si="24"/>
        <v>201</v>
      </c>
      <c r="C202" s="1" t="str">
        <f t="shared" si="25"/>
        <v>user</v>
      </c>
      <c r="D202" s="1" t="str">
        <f t="shared" si="26"/>
        <v>ユーザー</v>
      </c>
      <c r="E202" s="1" t="s">
        <v>104</v>
      </c>
      <c r="F202" s="1" t="s">
        <v>104</v>
      </c>
      <c r="G202" s="1"/>
      <c r="H202" s="1" t="str">
        <f>_xlfn.XLOOKUP($G202,型とバイト数!$B$3:$B$52,型とバイト数!$E$3:$E$52,"???")</f>
        <v>???</v>
      </c>
      <c r="I202" s="1"/>
      <c r="J202" s="1"/>
      <c r="K202" s="1"/>
      <c r="L202" s="1"/>
      <c r="M202" s="1"/>
      <c r="N202" s="1"/>
      <c r="O202" s="1"/>
      <c r="P202" s="1"/>
      <c r="Q202" s="1"/>
      <c r="R202" s="1"/>
    </row>
    <row r="203" spans="1:18" x14ac:dyDescent="0.4">
      <c r="A203" s="3"/>
      <c r="B203" s="4">
        <f t="shared" si="24"/>
        <v>202</v>
      </c>
      <c r="C203" s="1" t="str">
        <f t="shared" si="25"/>
        <v>user</v>
      </c>
      <c r="D203" s="1" t="str">
        <f t="shared" si="26"/>
        <v>ユーザー</v>
      </c>
      <c r="E203" s="1" t="s">
        <v>105</v>
      </c>
      <c r="F203" s="1" t="s">
        <v>105</v>
      </c>
      <c r="G203" s="1"/>
      <c r="H203" s="1" t="str">
        <f>_xlfn.XLOOKUP($G203,型とバイト数!$B$3:$B$52,型とバイト数!$E$3:$E$52,"???")</f>
        <v>???</v>
      </c>
      <c r="I203" s="1"/>
      <c r="J203" s="1"/>
      <c r="K203" s="1"/>
      <c r="L203" s="1"/>
      <c r="M203" s="1"/>
      <c r="N203" s="1"/>
      <c r="O203" s="1"/>
      <c r="P203" s="1"/>
      <c r="Q203" s="1"/>
      <c r="R203" s="1"/>
    </row>
    <row r="204" spans="1:18" x14ac:dyDescent="0.4">
      <c r="A204" s="3"/>
      <c r="B204" s="4">
        <f t="shared" si="24"/>
        <v>203</v>
      </c>
      <c r="C204" s="1" t="str">
        <f t="shared" si="25"/>
        <v>user</v>
      </c>
      <c r="D204" s="1" t="str">
        <f t="shared" si="26"/>
        <v>ユーザー</v>
      </c>
      <c r="E204" s="1" t="s">
        <v>106</v>
      </c>
      <c r="F204" s="1" t="s">
        <v>106</v>
      </c>
      <c r="G204" s="1"/>
      <c r="H204" s="1" t="str">
        <f>_xlfn.XLOOKUP($G204,型とバイト数!$B$3:$B$52,型とバイト数!$E$3:$E$52,"???")</f>
        <v>???</v>
      </c>
      <c r="I204" s="1"/>
      <c r="J204" s="1"/>
      <c r="K204" s="1"/>
      <c r="L204" s="1"/>
      <c r="M204" s="1"/>
      <c r="N204" s="1"/>
      <c r="O204" s="1"/>
      <c r="P204" s="1"/>
      <c r="Q204" s="1"/>
      <c r="R204" s="1"/>
    </row>
    <row r="205" spans="1:18" x14ac:dyDescent="0.4">
      <c r="A205" s="3"/>
      <c r="B205" s="4">
        <f t="shared" si="24"/>
        <v>204</v>
      </c>
      <c r="C205" s="1" t="str">
        <f t="shared" si="25"/>
        <v>user</v>
      </c>
      <c r="D205" s="1" t="str">
        <f t="shared" si="26"/>
        <v>ユーザー</v>
      </c>
      <c r="E205" s="1" t="s">
        <v>107</v>
      </c>
      <c r="F205" s="1" t="s">
        <v>107</v>
      </c>
      <c r="G205" s="1"/>
      <c r="H205" s="1" t="str">
        <f>_xlfn.XLOOKUP($G205,型とバイト数!$B$3:$B$52,型とバイト数!$E$3:$E$52,"???")</f>
        <v>???</v>
      </c>
      <c r="I205" s="1"/>
      <c r="J205" s="1" t="s">
        <v>16</v>
      </c>
      <c r="K205" s="1"/>
      <c r="L205" s="1"/>
      <c r="M205" s="1"/>
      <c r="N205" s="1"/>
      <c r="O205" s="1"/>
      <c r="P205" s="1" t="s">
        <v>16</v>
      </c>
      <c r="Q205" s="1"/>
      <c r="R205" s="1"/>
    </row>
    <row r="206" spans="1:18" x14ac:dyDescent="0.4">
      <c r="A206" s="3"/>
      <c r="B206" s="4">
        <f t="shared" si="24"/>
        <v>205</v>
      </c>
      <c r="C206" s="1" t="str">
        <f t="shared" si="25"/>
        <v>user</v>
      </c>
      <c r="D206" s="1" t="str">
        <f t="shared" si="26"/>
        <v>ユーザー</v>
      </c>
      <c r="E206" s="1" t="s">
        <v>108</v>
      </c>
      <c r="F206" s="1" t="s">
        <v>108</v>
      </c>
      <c r="G206" s="1"/>
      <c r="H206" s="1" t="str">
        <f>_xlfn.XLOOKUP($G206,型とバイト数!$B$3:$B$52,型とバイト数!$E$3:$E$52,"???")</f>
        <v>???</v>
      </c>
      <c r="I206" s="1"/>
      <c r="J206" s="1" t="s">
        <v>16</v>
      </c>
      <c r="K206" s="1"/>
      <c r="L206" s="1"/>
      <c r="M206" s="1"/>
      <c r="N206" s="1"/>
      <c r="O206" s="1"/>
      <c r="P206" s="1" t="s">
        <v>16</v>
      </c>
      <c r="Q206" s="1"/>
      <c r="R206" s="1"/>
    </row>
    <row r="207" spans="1:18" x14ac:dyDescent="0.4">
      <c r="A207" s="3"/>
      <c r="B207" s="4">
        <f t="shared" si="24"/>
        <v>206</v>
      </c>
      <c r="C207" s="1" t="str">
        <f t="shared" si="25"/>
        <v>user</v>
      </c>
      <c r="D207" s="1" t="str">
        <f t="shared" si="26"/>
        <v>ユーザー</v>
      </c>
      <c r="E207" s="1" t="s">
        <v>109</v>
      </c>
      <c r="F207" s="1" t="s">
        <v>109</v>
      </c>
      <c r="G207" s="1"/>
      <c r="H207" s="1" t="str">
        <f>_xlfn.XLOOKUP($G207,型とバイト数!$B$3:$B$52,型とバイト数!$E$3:$E$52,"???")</f>
        <v>???</v>
      </c>
      <c r="I207" s="1"/>
      <c r="J207" s="1" t="s">
        <v>16</v>
      </c>
      <c r="K207" s="1"/>
      <c r="L207" s="1"/>
      <c r="M207" s="1"/>
      <c r="N207" s="1"/>
      <c r="O207" s="1"/>
      <c r="P207" s="1" t="s">
        <v>16</v>
      </c>
      <c r="Q207" s="1"/>
      <c r="R207" s="1"/>
    </row>
    <row r="208" spans="1:18" x14ac:dyDescent="0.4">
      <c r="A208" s="3"/>
      <c r="B208" s="4">
        <f t="shared" si="24"/>
        <v>207</v>
      </c>
      <c r="C208" s="1" t="str">
        <f t="shared" si="25"/>
        <v>user</v>
      </c>
      <c r="D208" s="1" t="str">
        <f t="shared" si="26"/>
        <v>ユーザー</v>
      </c>
      <c r="E208" s="1" t="s">
        <v>110</v>
      </c>
      <c r="F208" s="1" t="s">
        <v>110</v>
      </c>
      <c r="G208" s="1"/>
      <c r="H208" s="1" t="str">
        <f>_xlfn.XLOOKUP($G208,型とバイト数!$B$3:$B$52,型とバイト数!$E$3:$E$52,"???")</f>
        <v>???</v>
      </c>
      <c r="I208" s="1"/>
      <c r="J208" s="1" t="s">
        <v>16</v>
      </c>
      <c r="K208" s="1"/>
      <c r="L208" s="1"/>
      <c r="M208" s="1"/>
      <c r="N208" s="1"/>
      <c r="O208" s="1"/>
      <c r="P208" s="1" t="s">
        <v>16</v>
      </c>
      <c r="Q208" s="1"/>
      <c r="R208" s="1"/>
    </row>
    <row r="209" spans="1:18" x14ac:dyDescent="0.4">
      <c r="A209" s="3"/>
      <c r="B209" s="4">
        <f t="shared" si="24"/>
        <v>208</v>
      </c>
      <c r="C209" s="1" t="str">
        <f t="shared" si="25"/>
        <v>user</v>
      </c>
      <c r="D209" s="1" t="str">
        <f t="shared" si="26"/>
        <v>ユーザー</v>
      </c>
      <c r="E209" s="1" t="s">
        <v>111</v>
      </c>
      <c r="F209" s="1" t="s">
        <v>111</v>
      </c>
      <c r="G209" s="1" t="s">
        <v>52</v>
      </c>
      <c r="H209" s="1" t="str">
        <f>_xlfn.XLOOKUP($G209,型とバイト数!$B$3:$B$52,型とバイト数!$E$3:$E$52,"???")</f>
        <v>???</v>
      </c>
      <c r="I209" s="1"/>
      <c r="J209" s="1" t="s">
        <v>16</v>
      </c>
      <c r="K209" s="1"/>
      <c r="L209" s="1"/>
      <c r="M209" s="1"/>
      <c r="N209" s="1"/>
      <c r="O209" s="1"/>
      <c r="P209" s="1"/>
      <c r="Q209" s="1"/>
      <c r="R209" s="1"/>
    </row>
    <row r="210" spans="1:18" x14ac:dyDescent="0.4">
      <c r="A210" s="3"/>
      <c r="B210" s="4">
        <f t="shared" si="24"/>
        <v>209</v>
      </c>
      <c r="C210" s="1" t="str">
        <f t="shared" si="25"/>
        <v>user</v>
      </c>
      <c r="D210" s="1" t="str">
        <f t="shared" si="26"/>
        <v>ユーザー</v>
      </c>
      <c r="E210" s="1" t="s">
        <v>112</v>
      </c>
      <c r="F210" s="1" t="s">
        <v>112</v>
      </c>
      <c r="G210" s="1" t="s">
        <v>15</v>
      </c>
      <c r="H210" s="1" t="str">
        <f>_xlfn.XLOOKUP($G210,型とバイト数!$B$3:$B$52,型とバイト数!$E$3:$E$52,"???")</f>
        <v>???</v>
      </c>
      <c r="I210" s="1"/>
      <c r="J210" s="1" t="s">
        <v>16</v>
      </c>
      <c r="K210" s="1"/>
      <c r="L210" s="1"/>
      <c r="M210" s="1"/>
      <c r="N210" s="1"/>
      <c r="O210" s="1"/>
      <c r="P210" s="1"/>
      <c r="Q210" s="1"/>
      <c r="R210" s="1"/>
    </row>
    <row r="211" spans="1:18" x14ac:dyDescent="0.4">
      <c r="A211" s="3" t="s">
        <v>164</v>
      </c>
      <c r="B211" s="4">
        <f t="shared" si="24"/>
        <v>210</v>
      </c>
      <c r="C211" s="1" t="str">
        <f t="shared" si="25"/>
        <v>user</v>
      </c>
      <c r="D211" s="1" t="str">
        <f t="shared" si="26"/>
        <v>ユーザー</v>
      </c>
      <c r="E211" s="1" t="s">
        <v>149</v>
      </c>
      <c r="F211" s="1" t="s">
        <v>87</v>
      </c>
      <c r="G211" s="1" t="s">
        <v>356</v>
      </c>
      <c r="H211" s="1">
        <v>64</v>
      </c>
      <c r="I211" s="1"/>
      <c r="J211" s="1"/>
      <c r="K211" s="1" t="s">
        <v>16</v>
      </c>
      <c r="L211" s="1"/>
      <c r="M211" s="1" t="s">
        <v>158</v>
      </c>
      <c r="N211" s="1"/>
      <c r="O211" s="1"/>
      <c r="P211" s="1"/>
      <c r="Q211" s="1"/>
      <c r="R211" s="1"/>
    </row>
    <row r="212" spans="1:18" x14ac:dyDescent="0.4">
      <c r="A212" s="3" t="s">
        <v>164</v>
      </c>
      <c r="B212" s="4">
        <f t="shared" si="24"/>
        <v>211</v>
      </c>
      <c r="C212" s="1" t="str">
        <f t="shared" si="25"/>
        <v>user</v>
      </c>
      <c r="D212" s="1" t="str">
        <f t="shared" si="26"/>
        <v>ユーザー</v>
      </c>
      <c r="E212" s="1" t="s">
        <v>152</v>
      </c>
      <c r="F212" s="1" t="s">
        <v>88</v>
      </c>
      <c r="G212" s="1" t="s">
        <v>160</v>
      </c>
      <c r="H212" s="1">
        <f>32*8</f>
        <v>256</v>
      </c>
      <c r="I212" s="1"/>
      <c r="J212" s="1"/>
      <c r="K212" s="1" t="s">
        <v>16</v>
      </c>
      <c r="L212" s="1"/>
      <c r="M212" s="1" t="s">
        <v>159</v>
      </c>
      <c r="N212" s="1"/>
      <c r="O212" s="1"/>
      <c r="P212" s="1"/>
      <c r="Q212" s="1"/>
      <c r="R212" s="1" t="s">
        <v>161</v>
      </c>
    </row>
    <row r="213" spans="1:18" x14ac:dyDescent="0.4">
      <c r="A213" s="3" t="s">
        <v>164</v>
      </c>
      <c r="B213" s="4">
        <f t="shared" si="24"/>
        <v>212</v>
      </c>
      <c r="C213" s="1" t="str">
        <f t="shared" si="25"/>
        <v>user</v>
      </c>
      <c r="D213" s="1" t="str">
        <f t="shared" si="26"/>
        <v>ユーザー</v>
      </c>
      <c r="E213" s="1" t="s">
        <v>153</v>
      </c>
      <c r="F213" s="1" t="s">
        <v>89</v>
      </c>
      <c r="G213" s="1" t="s">
        <v>356</v>
      </c>
      <c r="H213" s="1">
        <v>64</v>
      </c>
      <c r="I213" s="1"/>
      <c r="J213" s="1"/>
      <c r="K213" s="1" t="s">
        <v>16</v>
      </c>
      <c r="L213" s="1"/>
      <c r="M213" s="1" t="s">
        <v>158</v>
      </c>
      <c r="N213" s="1"/>
      <c r="O213" s="1"/>
      <c r="P213" s="1"/>
      <c r="Q213" s="1"/>
      <c r="R213" s="1"/>
    </row>
    <row r="214" spans="1:18" x14ac:dyDescent="0.4">
      <c r="A214" s="3" t="s">
        <v>164</v>
      </c>
      <c r="B214" s="4">
        <f t="shared" si="24"/>
        <v>213</v>
      </c>
      <c r="C214" s="1" t="str">
        <f t="shared" si="25"/>
        <v>user</v>
      </c>
      <c r="D214" s="1" t="str">
        <f t="shared" si="26"/>
        <v>ユーザー</v>
      </c>
      <c r="E214" s="1" t="s">
        <v>154</v>
      </c>
      <c r="F214" s="1" t="s">
        <v>90</v>
      </c>
      <c r="G214" s="1" t="s">
        <v>160</v>
      </c>
      <c r="H214" s="1">
        <f>32*8</f>
        <v>256</v>
      </c>
      <c r="I214" s="1"/>
      <c r="J214" s="1"/>
      <c r="K214" s="1" t="s">
        <v>16</v>
      </c>
      <c r="L214" s="1"/>
      <c r="M214" s="1" t="s">
        <v>159</v>
      </c>
      <c r="N214" s="1"/>
      <c r="O214" s="1"/>
      <c r="P214" s="1"/>
      <c r="Q214" s="1"/>
      <c r="R214" s="1" t="s">
        <v>161</v>
      </c>
    </row>
    <row r="215" spans="1:18" x14ac:dyDescent="0.4">
      <c r="A215" s="3" t="s">
        <v>164</v>
      </c>
      <c r="B215" s="4">
        <f t="shared" si="24"/>
        <v>214</v>
      </c>
      <c r="C215" s="1" t="str">
        <f t="shared" si="25"/>
        <v>user</v>
      </c>
      <c r="D215" s="1" t="str">
        <f t="shared" si="26"/>
        <v>ユーザー</v>
      </c>
      <c r="E215" s="1" t="s">
        <v>155</v>
      </c>
      <c r="F215" s="1" t="s">
        <v>91</v>
      </c>
      <c r="G215" s="1" t="s">
        <v>358</v>
      </c>
      <c r="H215" s="1">
        <v>1</v>
      </c>
      <c r="I215" s="1"/>
      <c r="J215" s="1"/>
      <c r="K215" s="1" t="s">
        <v>16</v>
      </c>
      <c r="L215" s="1"/>
      <c r="M215" s="1">
        <v>0</v>
      </c>
      <c r="N215" s="1"/>
      <c r="O215" s="1"/>
      <c r="P215" s="1"/>
      <c r="Q215" s="1"/>
      <c r="R215" s="1"/>
    </row>
    <row r="216" spans="1:18" x14ac:dyDescent="0.4">
      <c r="A216" s="3" t="s">
        <v>164</v>
      </c>
      <c r="B216" s="4">
        <f t="shared" si="24"/>
        <v>215</v>
      </c>
      <c r="C216" s="1" t="str">
        <f t="shared" si="25"/>
        <v>user</v>
      </c>
      <c r="D216" s="1" t="str">
        <f t="shared" si="26"/>
        <v>ユーザー</v>
      </c>
      <c r="E216" s="1" t="s">
        <v>156</v>
      </c>
      <c r="F216" s="1" t="s">
        <v>92</v>
      </c>
      <c r="G216" s="1" t="s">
        <v>358</v>
      </c>
      <c r="H216" s="1">
        <v>1</v>
      </c>
      <c r="I216" s="1"/>
      <c r="J216" s="1"/>
      <c r="K216" s="1" t="s">
        <v>16</v>
      </c>
      <c r="L216" s="1"/>
      <c r="M216" s="1">
        <v>0</v>
      </c>
      <c r="N216" s="1"/>
      <c r="O216" s="1"/>
      <c r="P216" s="1"/>
      <c r="Q216" s="1"/>
      <c r="R216" s="1"/>
    </row>
    <row r="217" spans="1:18" x14ac:dyDescent="0.4">
      <c r="A217" s="3" t="s">
        <v>164</v>
      </c>
      <c r="B217" s="4">
        <f t="shared" si="24"/>
        <v>216</v>
      </c>
      <c r="C217" s="1" t="s">
        <v>131</v>
      </c>
      <c r="D217" s="1" t="s">
        <v>113</v>
      </c>
      <c r="E217" s="1" t="s">
        <v>146</v>
      </c>
      <c r="F217" s="1" t="s">
        <v>19</v>
      </c>
      <c r="G217" s="1" t="s">
        <v>146</v>
      </c>
      <c r="H217" s="1">
        <v>128</v>
      </c>
      <c r="I217" s="1" t="s">
        <v>16</v>
      </c>
      <c r="J217" s="1"/>
      <c r="K217" s="1" t="s">
        <v>16</v>
      </c>
      <c r="L217" s="1" t="s">
        <v>16</v>
      </c>
      <c r="M217" s="1" t="s">
        <v>157</v>
      </c>
      <c r="N217" s="1"/>
      <c r="O217" s="1"/>
      <c r="P217" s="1"/>
      <c r="Q217" s="1"/>
      <c r="R217" s="1"/>
    </row>
    <row r="218" spans="1:18" x14ac:dyDescent="0.4">
      <c r="A218" s="3" t="s">
        <v>163</v>
      </c>
      <c r="B218" s="4">
        <f t="shared" si="24"/>
        <v>217</v>
      </c>
      <c r="C218" s="1" t="str">
        <f>C217</f>
        <v>theme</v>
      </c>
      <c r="D218" s="1" t="str">
        <f>D217</f>
        <v>画面テーマ</v>
      </c>
      <c r="E218" s="1" t="s">
        <v>382</v>
      </c>
      <c r="F218" s="1" t="s">
        <v>114</v>
      </c>
      <c r="G218" s="1" t="s">
        <v>381</v>
      </c>
      <c r="H218" s="1">
        <f>16*8</f>
        <v>128</v>
      </c>
      <c r="I218" s="1" t="s">
        <v>16</v>
      </c>
      <c r="J218" s="1"/>
      <c r="K218" s="1" t="s">
        <v>16</v>
      </c>
      <c r="L218" s="1" t="s">
        <v>16</v>
      </c>
      <c r="M218" s="1"/>
      <c r="N218" s="1"/>
      <c r="O218" s="1"/>
      <c r="P218" s="1"/>
      <c r="Q218" s="1"/>
      <c r="R218" s="1"/>
    </row>
    <row r="219" spans="1:18" x14ac:dyDescent="0.4">
      <c r="A219" s="3" t="s">
        <v>163</v>
      </c>
      <c r="B219" s="4">
        <f t="shared" si="24"/>
        <v>218</v>
      </c>
      <c r="C219" s="1" t="str">
        <f t="shared" ref="C219:C225" si="27">C218</f>
        <v>theme</v>
      </c>
      <c r="D219" s="1" t="str">
        <f t="shared" ref="D219:D225" si="28">D218</f>
        <v>画面テーマ</v>
      </c>
      <c r="E219" s="1" t="s">
        <v>383</v>
      </c>
      <c r="F219" s="1" t="s">
        <v>115</v>
      </c>
      <c r="G219" s="1" t="s">
        <v>381</v>
      </c>
      <c r="H219" s="1">
        <f>16*8</f>
        <v>128</v>
      </c>
      <c r="I219" s="1"/>
      <c r="J219" s="1"/>
      <c r="K219" s="1" t="s">
        <v>16</v>
      </c>
      <c r="L219" s="1"/>
      <c r="M219" s="1"/>
      <c r="N219" s="1"/>
      <c r="O219" s="1"/>
      <c r="P219" s="1"/>
      <c r="Q219" s="1"/>
      <c r="R219" s="1" t="s">
        <v>380</v>
      </c>
    </row>
    <row r="220" spans="1:18" x14ac:dyDescent="0.4">
      <c r="A220" s="3" t="s">
        <v>164</v>
      </c>
      <c r="B220" s="4">
        <f t="shared" si="24"/>
        <v>219</v>
      </c>
      <c r="C220" s="1" t="str">
        <f t="shared" si="27"/>
        <v>theme</v>
      </c>
      <c r="D220" s="1" t="str">
        <f t="shared" si="28"/>
        <v>画面テーマ</v>
      </c>
      <c r="E220" s="1" t="s">
        <v>149</v>
      </c>
      <c r="F220" s="1" t="s">
        <v>87</v>
      </c>
      <c r="G220" s="1" t="s">
        <v>356</v>
      </c>
      <c r="H220" s="1">
        <v>64</v>
      </c>
      <c r="I220" s="1"/>
      <c r="J220" s="1"/>
      <c r="K220" s="1" t="s">
        <v>16</v>
      </c>
      <c r="L220" s="1"/>
      <c r="M220" s="1" t="s">
        <v>158</v>
      </c>
      <c r="N220" s="1"/>
      <c r="O220" s="1"/>
      <c r="P220" s="1"/>
      <c r="Q220" s="1"/>
      <c r="R220" s="1"/>
    </row>
    <row r="221" spans="1:18" x14ac:dyDescent="0.4">
      <c r="A221" s="3" t="s">
        <v>164</v>
      </c>
      <c r="B221" s="4">
        <f t="shared" si="24"/>
        <v>220</v>
      </c>
      <c r="C221" s="1" t="str">
        <f t="shared" si="27"/>
        <v>theme</v>
      </c>
      <c r="D221" s="1" t="str">
        <f t="shared" si="28"/>
        <v>画面テーマ</v>
      </c>
      <c r="E221" s="1" t="s">
        <v>152</v>
      </c>
      <c r="F221" s="1" t="s">
        <v>88</v>
      </c>
      <c r="G221" s="1" t="s">
        <v>160</v>
      </c>
      <c r="H221" s="1">
        <f>32*8</f>
        <v>256</v>
      </c>
      <c r="I221" s="1"/>
      <c r="J221" s="1"/>
      <c r="K221" s="1" t="s">
        <v>16</v>
      </c>
      <c r="L221" s="1"/>
      <c r="M221" s="1" t="s">
        <v>159</v>
      </c>
      <c r="N221" s="1"/>
      <c r="O221" s="1"/>
      <c r="P221" s="1"/>
      <c r="Q221" s="1"/>
      <c r="R221" s="1" t="s">
        <v>161</v>
      </c>
    </row>
    <row r="222" spans="1:18" x14ac:dyDescent="0.4">
      <c r="A222" s="3" t="s">
        <v>164</v>
      </c>
      <c r="B222" s="4">
        <f t="shared" si="24"/>
        <v>221</v>
      </c>
      <c r="C222" s="1" t="str">
        <f t="shared" si="27"/>
        <v>theme</v>
      </c>
      <c r="D222" s="1" t="str">
        <f t="shared" si="28"/>
        <v>画面テーマ</v>
      </c>
      <c r="E222" s="1" t="s">
        <v>153</v>
      </c>
      <c r="F222" s="1" t="s">
        <v>89</v>
      </c>
      <c r="G222" s="1" t="s">
        <v>356</v>
      </c>
      <c r="H222" s="1">
        <v>64</v>
      </c>
      <c r="I222" s="1"/>
      <c r="J222" s="1"/>
      <c r="K222" s="1" t="s">
        <v>16</v>
      </c>
      <c r="L222" s="1"/>
      <c r="M222" s="1" t="s">
        <v>158</v>
      </c>
      <c r="N222" s="1"/>
      <c r="O222" s="1"/>
      <c r="P222" s="1"/>
      <c r="Q222" s="1"/>
      <c r="R222" s="1"/>
    </row>
    <row r="223" spans="1:18" x14ac:dyDescent="0.4">
      <c r="A223" s="3" t="s">
        <v>164</v>
      </c>
      <c r="B223" s="4">
        <f t="shared" si="24"/>
        <v>222</v>
      </c>
      <c r="C223" s="1" t="str">
        <f t="shared" si="27"/>
        <v>theme</v>
      </c>
      <c r="D223" s="1" t="str">
        <f t="shared" si="28"/>
        <v>画面テーマ</v>
      </c>
      <c r="E223" s="1" t="s">
        <v>154</v>
      </c>
      <c r="F223" s="1" t="s">
        <v>90</v>
      </c>
      <c r="G223" s="1" t="s">
        <v>160</v>
      </c>
      <c r="H223" s="1">
        <f>32*8</f>
        <v>256</v>
      </c>
      <c r="I223" s="1"/>
      <c r="J223" s="1"/>
      <c r="K223" s="1" t="s">
        <v>16</v>
      </c>
      <c r="L223" s="1"/>
      <c r="M223" s="1" t="s">
        <v>159</v>
      </c>
      <c r="N223" s="1"/>
      <c r="O223" s="1"/>
      <c r="P223" s="1"/>
      <c r="Q223" s="1"/>
      <c r="R223" s="1" t="s">
        <v>161</v>
      </c>
    </row>
    <row r="224" spans="1:18" x14ac:dyDescent="0.4">
      <c r="A224" s="3" t="s">
        <v>164</v>
      </c>
      <c r="B224" s="4">
        <f t="shared" si="24"/>
        <v>223</v>
      </c>
      <c r="C224" s="1" t="str">
        <f t="shared" si="27"/>
        <v>theme</v>
      </c>
      <c r="D224" s="1" t="str">
        <f t="shared" si="28"/>
        <v>画面テーマ</v>
      </c>
      <c r="E224" s="1" t="s">
        <v>155</v>
      </c>
      <c r="F224" s="1" t="s">
        <v>91</v>
      </c>
      <c r="G224" s="1" t="s">
        <v>358</v>
      </c>
      <c r="H224" s="1">
        <v>1</v>
      </c>
      <c r="I224" s="1"/>
      <c r="J224" s="1"/>
      <c r="K224" s="1" t="s">
        <v>16</v>
      </c>
      <c r="L224" s="1"/>
      <c r="M224" s="1">
        <v>0</v>
      </c>
      <c r="N224" s="1"/>
      <c r="O224" s="1"/>
      <c r="P224" s="1"/>
      <c r="Q224" s="1"/>
      <c r="R224" s="1"/>
    </row>
    <row r="225" spans="1:18" x14ac:dyDescent="0.4">
      <c r="A225" s="3" t="s">
        <v>164</v>
      </c>
      <c r="B225" s="4">
        <f t="shared" si="24"/>
        <v>224</v>
      </c>
      <c r="C225" s="1" t="str">
        <f t="shared" si="27"/>
        <v>theme</v>
      </c>
      <c r="D225" s="1" t="str">
        <f t="shared" si="28"/>
        <v>画面テーマ</v>
      </c>
      <c r="E225" s="1" t="s">
        <v>156</v>
      </c>
      <c r="F225" s="1" t="s">
        <v>92</v>
      </c>
      <c r="G225" s="1" t="s">
        <v>358</v>
      </c>
      <c r="H225" s="1">
        <v>1</v>
      </c>
      <c r="I225" s="1"/>
      <c r="J225" s="1"/>
      <c r="K225" s="1" t="s">
        <v>16</v>
      </c>
      <c r="L225" s="1"/>
      <c r="M225" s="1">
        <v>0</v>
      </c>
      <c r="N225" s="1"/>
      <c r="O225" s="1"/>
      <c r="P225" s="1"/>
      <c r="Q225" s="1"/>
      <c r="R225" s="1"/>
    </row>
    <row r="226" spans="1:18" x14ac:dyDescent="0.4">
      <c r="A226" s="3" t="s">
        <v>164</v>
      </c>
      <c r="B226" s="4">
        <f t="shared" si="24"/>
        <v>225</v>
      </c>
      <c r="C226" s="1" t="s">
        <v>171</v>
      </c>
      <c r="D226" s="1" t="s">
        <v>172</v>
      </c>
      <c r="E226" s="1" t="s">
        <v>146</v>
      </c>
      <c r="F226" s="1" t="s">
        <v>19</v>
      </c>
      <c r="G226" s="1" t="s">
        <v>146</v>
      </c>
      <c r="H226" s="1">
        <v>128</v>
      </c>
      <c r="I226" s="1" t="s">
        <v>16</v>
      </c>
      <c r="J226" s="1"/>
      <c r="K226" s="1" t="s">
        <v>16</v>
      </c>
      <c r="L226" s="1" t="s">
        <v>16</v>
      </c>
      <c r="M226" s="1" t="s">
        <v>157</v>
      </c>
      <c r="N226" s="1"/>
      <c r="O226" s="1"/>
      <c r="P226" s="1"/>
      <c r="Q226" s="1"/>
      <c r="R226" s="1"/>
    </row>
    <row r="227" spans="1:18" x14ac:dyDescent="0.4">
      <c r="A227" s="3" t="s">
        <v>164</v>
      </c>
      <c r="B227" s="4">
        <f t="shared" si="24"/>
        <v>226</v>
      </c>
      <c r="C227" s="1" t="str">
        <f>C226</f>
        <v>user_role</v>
      </c>
      <c r="D227" s="1" t="str">
        <f>D226</f>
        <v>ユーザー権限</v>
      </c>
      <c r="E227" s="1" t="s">
        <v>378</v>
      </c>
      <c r="F227" s="1" t="s">
        <v>173</v>
      </c>
      <c r="G227" s="1" t="s">
        <v>175</v>
      </c>
      <c r="H227" s="1">
        <f>8*8</f>
        <v>64</v>
      </c>
      <c r="I227" s="1" t="s">
        <v>16</v>
      </c>
      <c r="J227" s="1"/>
      <c r="K227" s="1" t="s">
        <v>16</v>
      </c>
      <c r="L227" s="1" t="s">
        <v>16</v>
      </c>
      <c r="M227" s="1"/>
      <c r="N227" s="1"/>
      <c r="O227" s="1"/>
      <c r="P227" s="1"/>
      <c r="Q227" s="1"/>
      <c r="R227" s="1"/>
    </row>
    <row r="228" spans="1:18" x14ac:dyDescent="0.4">
      <c r="A228" s="3" t="s">
        <v>164</v>
      </c>
      <c r="B228" s="4">
        <f t="shared" si="24"/>
        <v>227</v>
      </c>
      <c r="C228" s="1" t="str">
        <f t="shared" ref="C228:D253" si="29">C227</f>
        <v>user_role</v>
      </c>
      <c r="D228" s="1" t="str">
        <f t="shared" si="29"/>
        <v>ユーザー権限</v>
      </c>
      <c r="E228" s="1" t="s">
        <v>379</v>
      </c>
      <c r="F228" s="1" t="s">
        <v>174</v>
      </c>
      <c r="G228" s="1" t="s">
        <v>175</v>
      </c>
      <c r="H228" s="1">
        <f>8*8</f>
        <v>64</v>
      </c>
      <c r="I228" s="1"/>
      <c r="J228" s="1"/>
      <c r="K228" s="1" t="s">
        <v>16</v>
      </c>
      <c r="L228" s="1"/>
      <c r="M228" s="1"/>
      <c r="N228" s="1"/>
      <c r="O228" s="1"/>
      <c r="P228" s="1"/>
      <c r="Q228" s="1"/>
      <c r="R228" s="1" t="s">
        <v>380</v>
      </c>
    </row>
    <row r="229" spans="1:18" x14ac:dyDescent="0.4">
      <c r="A229" s="3" t="s">
        <v>164</v>
      </c>
      <c r="B229" s="4">
        <f t="shared" si="24"/>
        <v>228</v>
      </c>
      <c r="C229" s="1" t="str">
        <f t="shared" si="29"/>
        <v>user_role</v>
      </c>
      <c r="D229" s="1" t="str">
        <f t="shared" si="29"/>
        <v>ユーザー権限</v>
      </c>
      <c r="E229" s="1" t="s">
        <v>149</v>
      </c>
      <c r="F229" s="1" t="s">
        <v>87</v>
      </c>
      <c r="G229" s="1" t="s">
        <v>356</v>
      </c>
      <c r="H229" s="1">
        <v>64</v>
      </c>
      <c r="I229" s="1"/>
      <c r="J229" s="1"/>
      <c r="K229" s="1" t="s">
        <v>16</v>
      </c>
      <c r="L229" s="1"/>
      <c r="M229" s="1" t="s">
        <v>158</v>
      </c>
      <c r="N229" s="1"/>
      <c r="O229" s="1"/>
      <c r="P229" s="1"/>
      <c r="Q229" s="1"/>
      <c r="R229" s="1"/>
    </row>
    <row r="230" spans="1:18" x14ac:dyDescent="0.4">
      <c r="A230" s="3" t="s">
        <v>164</v>
      </c>
      <c r="B230" s="4">
        <f t="shared" si="24"/>
        <v>229</v>
      </c>
      <c r="C230" s="1" t="str">
        <f t="shared" si="29"/>
        <v>user_role</v>
      </c>
      <c r="D230" s="1" t="str">
        <f t="shared" si="29"/>
        <v>ユーザー権限</v>
      </c>
      <c r="E230" s="1" t="s">
        <v>152</v>
      </c>
      <c r="F230" s="1" t="s">
        <v>88</v>
      </c>
      <c r="G230" s="1" t="s">
        <v>160</v>
      </c>
      <c r="H230" s="1">
        <f>32*8</f>
        <v>256</v>
      </c>
      <c r="I230" s="1"/>
      <c r="J230" s="1"/>
      <c r="K230" s="1" t="s">
        <v>16</v>
      </c>
      <c r="L230" s="1"/>
      <c r="M230" s="1" t="s">
        <v>159</v>
      </c>
      <c r="N230" s="1"/>
      <c r="O230" s="1"/>
      <c r="P230" s="1"/>
      <c r="Q230" s="1"/>
      <c r="R230" s="1" t="s">
        <v>161</v>
      </c>
    </row>
    <row r="231" spans="1:18" x14ac:dyDescent="0.4">
      <c r="A231" s="3" t="s">
        <v>164</v>
      </c>
      <c r="B231" s="4">
        <f t="shared" si="24"/>
        <v>230</v>
      </c>
      <c r="C231" s="1" t="str">
        <f t="shared" si="29"/>
        <v>user_role</v>
      </c>
      <c r="D231" s="1" t="str">
        <f t="shared" si="29"/>
        <v>ユーザー権限</v>
      </c>
      <c r="E231" s="1" t="s">
        <v>153</v>
      </c>
      <c r="F231" s="1" t="s">
        <v>89</v>
      </c>
      <c r="G231" s="1" t="s">
        <v>356</v>
      </c>
      <c r="H231" s="1">
        <v>64</v>
      </c>
      <c r="I231" s="1"/>
      <c r="J231" s="1"/>
      <c r="K231" s="1" t="s">
        <v>16</v>
      </c>
      <c r="L231" s="1"/>
      <c r="M231" s="1" t="s">
        <v>158</v>
      </c>
      <c r="N231" s="1"/>
      <c r="O231" s="1"/>
      <c r="P231" s="1"/>
      <c r="Q231" s="1"/>
      <c r="R231" s="1"/>
    </row>
    <row r="232" spans="1:18" x14ac:dyDescent="0.4">
      <c r="A232" s="3" t="s">
        <v>164</v>
      </c>
      <c r="B232" s="4">
        <f t="shared" si="24"/>
        <v>231</v>
      </c>
      <c r="C232" s="1" t="str">
        <f t="shared" si="29"/>
        <v>user_role</v>
      </c>
      <c r="D232" s="1" t="str">
        <f t="shared" si="29"/>
        <v>ユーザー権限</v>
      </c>
      <c r="E232" s="1" t="s">
        <v>154</v>
      </c>
      <c r="F232" s="1" t="s">
        <v>90</v>
      </c>
      <c r="G232" s="1" t="s">
        <v>160</v>
      </c>
      <c r="H232" s="1">
        <f>32*8</f>
        <v>256</v>
      </c>
      <c r="I232" s="1"/>
      <c r="J232" s="1"/>
      <c r="K232" s="1" t="s">
        <v>16</v>
      </c>
      <c r="L232" s="1"/>
      <c r="M232" s="1" t="s">
        <v>159</v>
      </c>
      <c r="N232" s="1"/>
      <c r="O232" s="1"/>
      <c r="P232" s="1"/>
      <c r="Q232" s="1"/>
      <c r="R232" s="1" t="s">
        <v>161</v>
      </c>
    </row>
    <row r="233" spans="1:18" x14ac:dyDescent="0.4">
      <c r="A233" s="3" t="s">
        <v>164</v>
      </c>
      <c r="B233" s="4">
        <f t="shared" si="24"/>
        <v>232</v>
      </c>
      <c r="C233" s="1" t="str">
        <f t="shared" si="29"/>
        <v>user_role</v>
      </c>
      <c r="D233" s="1" t="str">
        <f t="shared" si="29"/>
        <v>ユーザー権限</v>
      </c>
      <c r="E233" s="1" t="s">
        <v>155</v>
      </c>
      <c r="F233" s="1" t="s">
        <v>91</v>
      </c>
      <c r="G233" s="1" t="s">
        <v>358</v>
      </c>
      <c r="H233" s="1">
        <v>1</v>
      </c>
      <c r="I233" s="1"/>
      <c r="J233" s="1"/>
      <c r="K233" s="1" t="s">
        <v>16</v>
      </c>
      <c r="L233" s="1"/>
      <c r="M233" s="1">
        <v>0</v>
      </c>
      <c r="N233" s="1"/>
      <c r="O233" s="1"/>
      <c r="P233" s="1"/>
      <c r="Q233" s="1"/>
      <c r="R233" s="1"/>
    </row>
    <row r="234" spans="1:18" x14ac:dyDescent="0.4">
      <c r="A234" s="3" t="s">
        <v>164</v>
      </c>
      <c r="B234" s="4">
        <f t="shared" si="24"/>
        <v>233</v>
      </c>
      <c r="C234" s="1" t="str">
        <f t="shared" si="29"/>
        <v>user_role</v>
      </c>
      <c r="D234" s="1" t="str">
        <f t="shared" si="29"/>
        <v>ユーザー権限</v>
      </c>
      <c r="E234" s="1" t="s">
        <v>156</v>
      </c>
      <c r="F234" s="1" t="s">
        <v>92</v>
      </c>
      <c r="G234" s="1" t="s">
        <v>358</v>
      </c>
      <c r="H234" s="1">
        <v>1</v>
      </c>
      <c r="I234" s="1"/>
      <c r="J234" s="1"/>
      <c r="K234" s="1" t="s">
        <v>16</v>
      </c>
      <c r="L234" s="1"/>
      <c r="M234" s="1">
        <v>0</v>
      </c>
      <c r="N234" s="1"/>
      <c r="O234" s="1"/>
      <c r="P234" s="1"/>
      <c r="Q234" s="1"/>
      <c r="R234" s="1"/>
    </row>
    <row r="235" spans="1:18" x14ac:dyDescent="0.4">
      <c r="A235" s="3" t="s">
        <v>164</v>
      </c>
      <c r="B235" s="4">
        <f t="shared" si="24"/>
        <v>234</v>
      </c>
      <c r="C235" s="1" t="s">
        <v>435</v>
      </c>
      <c r="D235" s="1" t="s">
        <v>441</v>
      </c>
      <c r="E235" s="14" t="s">
        <v>407</v>
      </c>
      <c r="F235" s="14" t="s">
        <v>408</v>
      </c>
      <c r="G235" s="1" t="s">
        <v>146</v>
      </c>
      <c r="H235" s="1">
        <v>128</v>
      </c>
      <c r="I235" s="14" t="s">
        <v>386</v>
      </c>
      <c r="J235" s="1"/>
      <c r="K235" s="1"/>
      <c r="L235" s="1"/>
      <c r="M235" s="1"/>
      <c r="N235" s="1"/>
      <c r="O235" s="1"/>
      <c r="P235" s="1"/>
      <c r="Q235" s="1"/>
      <c r="R235" s="1"/>
    </row>
    <row r="236" spans="1:18" x14ac:dyDescent="0.4">
      <c r="A236" s="3" t="s">
        <v>164</v>
      </c>
      <c r="B236" s="4">
        <f t="shared" si="24"/>
        <v>235</v>
      </c>
      <c r="C236" s="1" t="str">
        <f t="shared" ref="C236:D236" si="30">C235</f>
        <v>imagse_contents</v>
      </c>
      <c r="D236" s="1" t="str">
        <f t="shared" si="30"/>
        <v>画像(ユーザー投稿)</v>
      </c>
      <c r="E236" s="14" t="s">
        <v>465</v>
      </c>
      <c r="F236" s="14" t="s">
        <v>409</v>
      </c>
      <c r="G236" s="14" t="s">
        <v>418</v>
      </c>
      <c r="H236" s="14">
        <v>64</v>
      </c>
      <c r="I236" s="1" t="s">
        <v>386</v>
      </c>
      <c r="J236" s="1"/>
      <c r="K236" s="1"/>
      <c r="L236" s="1"/>
      <c r="M236" s="1"/>
      <c r="N236" s="1"/>
      <c r="O236" s="1"/>
      <c r="P236" s="1"/>
      <c r="Q236" s="1"/>
      <c r="R236" s="1"/>
    </row>
    <row r="237" spans="1:18" x14ac:dyDescent="0.4">
      <c r="A237" s="3" t="s">
        <v>164</v>
      </c>
      <c r="B237" s="4">
        <f t="shared" si="24"/>
        <v>236</v>
      </c>
      <c r="C237" s="1" t="str">
        <f t="shared" ref="C237:D237" si="31">C236</f>
        <v>imagse_contents</v>
      </c>
      <c r="D237" s="1" t="str">
        <f t="shared" si="31"/>
        <v>画像(ユーザー投稿)</v>
      </c>
      <c r="E237" s="1" t="s">
        <v>437</v>
      </c>
      <c r="F237" s="1" t="s">
        <v>20</v>
      </c>
      <c r="G237" s="1" t="s">
        <v>175</v>
      </c>
      <c r="H237" s="1">
        <f>8*8</f>
        <v>64</v>
      </c>
      <c r="I237" s="1"/>
      <c r="J237" s="1" t="s">
        <v>386</v>
      </c>
      <c r="K237" s="1" t="s">
        <v>386</v>
      </c>
      <c r="L237" s="1"/>
      <c r="M237" s="1"/>
      <c r="N237" s="1"/>
      <c r="O237" s="1"/>
      <c r="P237" s="1"/>
      <c r="Q237" s="1"/>
      <c r="R237" s="1"/>
    </row>
    <row r="238" spans="1:18" x14ac:dyDescent="0.4">
      <c r="A238" s="3" t="s">
        <v>164</v>
      </c>
      <c r="B238" s="4">
        <f t="shared" si="24"/>
        <v>237</v>
      </c>
      <c r="C238" s="1" t="str">
        <f t="shared" ref="C238:D238" si="32">C237</f>
        <v>imagse_contents</v>
      </c>
      <c r="D238" s="1" t="str">
        <f t="shared" si="32"/>
        <v>画像(ユーザー投稿)</v>
      </c>
      <c r="E238" s="14" t="s">
        <v>410</v>
      </c>
      <c r="F238" s="1" t="s">
        <v>424</v>
      </c>
      <c r="G238" s="1" t="s">
        <v>420</v>
      </c>
      <c r="H238" s="1">
        <f>8*100</f>
        <v>800</v>
      </c>
      <c r="I238" s="1"/>
      <c r="J238" s="1"/>
      <c r="K238" s="1" t="s">
        <v>386</v>
      </c>
      <c r="L238" s="1"/>
      <c r="M238" s="1"/>
      <c r="N238" s="1"/>
      <c r="O238" s="1"/>
      <c r="P238" s="1"/>
      <c r="Q238" s="1"/>
      <c r="R238" s="1"/>
    </row>
    <row r="239" spans="1:18" x14ac:dyDescent="0.4">
      <c r="A239" s="3" t="s">
        <v>164</v>
      </c>
      <c r="B239" s="4">
        <f t="shared" si="24"/>
        <v>238</v>
      </c>
      <c r="C239" s="1" t="str">
        <f t="shared" ref="C239:D239" si="33">C238</f>
        <v>imagse_contents</v>
      </c>
      <c r="D239" s="1" t="str">
        <f t="shared" si="33"/>
        <v>画像(ユーザー投稿)</v>
      </c>
      <c r="E239" s="14" t="s">
        <v>411</v>
      </c>
      <c r="F239" s="1" t="s">
        <v>425</v>
      </c>
      <c r="G239" s="1" t="s">
        <v>421</v>
      </c>
      <c r="H239" s="1">
        <f>8*512</f>
        <v>4096</v>
      </c>
      <c r="I239" s="1"/>
      <c r="J239" s="1"/>
      <c r="K239" s="1" t="s">
        <v>386</v>
      </c>
      <c r="L239" s="1"/>
      <c r="M239" s="1"/>
      <c r="N239" s="1" t="s">
        <v>426</v>
      </c>
      <c r="O239" s="1"/>
      <c r="P239" s="1"/>
      <c r="Q239" s="1"/>
      <c r="R239" s="1"/>
    </row>
    <row r="240" spans="1:18" x14ac:dyDescent="0.4">
      <c r="A240" s="3" t="s">
        <v>164</v>
      </c>
      <c r="B240" s="4">
        <f t="shared" si="24"/>
        <v>239</v>
      </c>
      <c r="C240" s="1" t="str">
        <f t="shared" ref="C240:D240" si="34">C239</f>
        <v>imagse_contents</v>
      </c>
      <c r="D240" s="1" t="str">
        <f t="shared" si="34"/>
        <v>画像(ユーザー投稿)</v>
      </c>
      <c r="E240" s="14" t="s">
        <v>412</v>
      </c>
      <c r="F240" s="1" t="s">
        <v>430</v>
      </c>
      <c r="G240" s="1" t="s">
        <v>421</v>
      </c>
      <c r="H240" s="1">
        <f>8*512</f>
        <v>4096</v>
      </c>
      <c r="I240" s="1"/>
      <c r="J240" s="1"/>
      <c r="K240" s="1"/>
      <c r="L240" s="1"/>
      <c r="M240" s="1"/>
      <c r="N240" s="1" t="s">
        <v>427</v>
      </c>
      <c r="O240" s="1"/>
      <c r="P240" s="1"/>
      <c r="Q240" s="1"/>
      <c r="R240" s="1"/>
    </row>
    <row r="241" spans="1:18" x14ac:dyDescent="0.4">
      <c r="A241" s="3" t="s">
        <v>164</v>
      </c>
      <c r="B241" s="4">
        <f t="shared" si="24"/>
        <v>240</v>
      </c>
      <c r="C241" s="1" t="str">
        <f t="shared" ref="C241:D241" si="35">C240</f>
        <v>imagse_contents</v>
      </c>
      <c r="D241" s="1" t="str">
        <f t="shared" si="35"/>
        <v>画像(ユーザー投稿)</v>
      </c>
      <c r="E241" s="14" t="s">
        <v>413</v>
      </c>
      <c r="F241" s="1" t="s">
        <v>429</v>
      </c>
      <c r="G241" s="1" t="s">
        <v>422</v>
      </c>
      <c r="H241" s="1">
        <f>8*50</f>
        <v>400</v>
      </c>
      <c r="I241" s="1"/>
      <c r="J241" s="1"/>
      <c r="K241" s="1"/>
      <c r="L241" s="1"/>
      <c r="M241" s="1"/>
      <c r="N241" s="1" t="s">
        <v>428</v>
      </c>
      <c r="O241" s="1"/>
      <c r="P241" s="1"/>
      <c r="Q241" s="1"/>
      <c r="R241" s="1"/>
    </row>
    <row r="242" spans="1:18" x14ac:dyDescent="0.4">
      <c r="A242" s="3" t="s">
        <v>164</v>
      </c>
      <c r="B242" s="4">
        <f t="shared" si="24"/>
        <v>241</v>
      </c>
      <c r="C242" s="1" t="str">
        <f t="shared" ref="C242:D242" si="36">C241</f>
        <v>imagse_contents</v>
      </c>
      <c r="D242" s="1" t="str">
        <f t="shared" si="36"/>
        <v>画像(ユーザー投稿)</v>
      </c>
      <c r="E242" s="14" t="s">
        <v>414</v>
      </c>
      <c r="F242" s="1" t="s">
        <v>431</v>
      </c>
      <c r="G242" s="1" t="s">
        <v>419</v>
      </c>
      <c r="H242" s="1">
        <v>32</v>
      </c>
      <c r="I242" s="1"/>
      <c r="J242" s="1"/>
      <c r="K242" s="1"/>
      <c r="L242" s="1"/>
      <c r="M242" s="1"/>
      <c r="N242" s="1"/>
      <c r="O242" s="1"/>
      <c r="P242" s="1"/>
      <c r="Q242" s="1"/>
      <c r="R242" s="1"/>
    </row>
    <row r="243" spans="1:18" x14ac:dyDescent="0.4">
      <c r="A243" s="3" t="s">
        <v>164</v>
      </c>
      <c r="B243" s="4">
        <f t="shared" si="24"/>
        <v>242</v>
      </c>
      <c r="C243" s="1" t="str">
        <f t="shared" ref="C243:D243" si="37">C242</f>
        <v>imagse_contents</v>
      </c>
      <c r="D243" s="1" t="str">
        <f t="shared" si="37"/>
        <v>画像(ユーザー投稿)</v>
      </c>
      <c r="E243" s="14" t="s">
        <v>415</v>
      </c>
      <c r="F243" s="1" t="s">
        <v>432</v>
      </c>
      <c r="G243" s="1" t="s">
        <v>419</v>
      </c>
      <c r="H243" s="1">
        <v>32</v>
      </c>
      <c r="I243" s="1"/>
      <c r="J243" s="1"/>
      <c r="K243" s="1"/>
      <c r="L243" s="1"/>
      <c r="M243" s="1"/>
      <c r="N243" s="1"/>
      <c r="O243" s="1"/>
      <c r="P243" s="1"/>
      <c r="Q243" s="1"/>
      <c r="R243" s="1"/>
    </row>
    <row r="244" spans="1:18" x14ac:dyDescent="0.4">
      <c r="A244" s="3" t="s">
        <v>164</v>
      </c>
      <c r="B244" s="4">
        <f t="shared" si="24"/>
        <v>243</v>
      </c>
      <c r="C244" s="1" t="str">
        <f t="shared" ref="C244:D244" si="38">C243</f>
        <v>imagse_contents</v>
      </c>
      <c r="D244" s="1" t="str">
        <f t="shared" si="38"/>
        <v>画像(ユーザー投稿)</v>
      </c>
      <c r="E244" s="14" t="s">
        <v>416</v>
      </c>
      <c r="F244" s="1" t="s">
        <v>433</v>
      </c>
      <c r="G244" s="1" t="s">
        <v>419</v>
      </c>
      <c r="H244" s="1">
        <v>32</v>
      </c>
      <c r="I244" s="1"/>
      <c r="J244" s="1"/>
      <c r="K244" s="1"/>
      <c r="L244" s="1"/>
      <c r="M244" s="1"/>
      <c r="N244" s="1"/>
      <c r="O244" s="1"/>
      <c r="P244" s="1"/>
      <c r="Q244" s="1"/>
      <c r="R244" s="1"/>
    </row>
    <row r="245" spans="1:18" x14ac:dyDescent="0.4">
      <c r="A245" s="3" t="s">
        <v>164</v>
      </c>
      <c r="B245" s="4">
        <f t="shared" si="24"/>
        <v>244</v>
      </c>
      <c r="C245" s="1" t="str">
        <f t="shared" ref="C245:D245" si="39">C244</f>
        <v>imagse_contents</v>
      </c>
      <c r="D245" s="1" t="str">
        <f t="shared" si="39"/>
        <v>画像(ユーザー投稿)</v>
      </c>
      <c r="E245" s="14" t="s">
        <v>417</v>
      </c>
      <c r="F245" s="1" t="s">
        <v>434</v>
      </c>
      <c r="G245" s="1" t="s">
        <v>423</v>
      </c>
      <c r="H245" s="1">
        <f>8*255</f>
        <v>2040</v>
      </c>
      <c r="I245" s="1"/>
      <c r="J245" s="1"/>
      <c r="K245" s="1"/>
      <c r="L245" s="1"/>
      <c r="M245" s="1"/>
      <c r="N245" s="1"/>
      <c r="O245" s="1"/>
      <c r="P245" s="1"/>
      <c r="Q245" s="1"/>
      <c r="R245" s="1"/>
    </row>
    <row r="246" spans="1:18" x14ac:dyDescent="0.4">
      <c r="A246" s="3" t="s">
        <v>164</v>
      </c>
      <c r="B246" s="4">
        <f t="shared" si="24"/>
        <v>245</v>
      </c>
      <c r="C246" s="1" t="str">
        <f t="shared" ref="C246:D246" si="40">C245</f>
        <v>imagse_contents</v>
      </c>
      <c r="D246" s="1" t="str">
        <f t="shared" si="40"/>
        <v>画像(ユーザー投稿)</v>
      </c>
      <c r="E246" s="1" t="s">
        <v>149</v>
      </c>
      <c r="F246" s="1" t="s">
        <v>87</v>
      </c>
      <c r="G246" s="1" t="s">
        <v>356</v>
      </c>
      <c r="H246" s="1">
        <v>64</v>
      </c>
      <c r="I246" s="1"/>
      <c r="J246" s="1"/>
      <c r="K246" s="1" t="s">
        <v>16</v>
      </c>
      <c r="L246" s="1"/>
      <c r="M246" s="1" t="s">
        <v>158</v>
      </c>
      <c r="N246" s="1"/>
      <c r="O246" s="1"/>
      <c r="P246" s="1"/>
      <c r="Q246" s="1"/>
      <c r="R246" s="1"/>
    </row>
    <row r="247" spans="1:18" x14ac:dyDescent="0.4">
      <c r="A247" s="3" t="s">
        <v>164</v>
      </c>
      <c r="B247" s="4">
        <f t="shared" si="24"/>
        <v>246</v>
      </c>
      <c r="C247" s="1" t="str">
        <f t="shared" ref="C247:D247" si="41">C246</f>
        <v>imagse_contents</v>
      </c>
      <c r="D247" s="1" t="str">
        <f t="shared" si="41"/>
        <v>画像(ユーザー投稿)</v>
      </c>
      <c r="E247" s="1" t="s">
        <v>152</v>
      </c>
      <c r="F247" s="1" t="s">
        <v>88</v>
      </c>
      <c r="G247" s="1" t="s">
        <v>160</v>
      </c>
      <c r="H247" s="1">
        <f>32*8</f>
        <v>256</v>
      </c>
      <c r="I247" s="1"/>
      <c r="J247" s="1"/>
      <c r="K247" s="1" t="s">
        <v>16</v>
      </c>
      <c r="L247" s="1"/>
      <c r="M247" s="1" t="s">
        <v>159</v>
      </c>
      <c r="N247" s="1"/>
      <c r="O247" s="1"/>
      <c r="P247" s="1"/>
      <c r="Q247" s="1"/>
      <c r="R247" s="1" t="s">
        <v>161</v>
      </c>
    </row>
    <row r="248" spans="1:18" x14ac:dyDescent="0.4">
      <c r="A248" s="3" t="s">
        <v>164</v>
      </c>
      <c r="B248" s="4">
        <f t="shared" si="24"/>
        <v>247</v>
      </c>
      <c r="C248" s="1" t="str">
        <f t="shared" ref="C248:D248" si="42">C247</f>
        <v>imagse_contents</v>
      </c>
      <c r="D248" s="1" t="str">
        <f t="shared" si="42"/>
        <v>画像(ユーザー投稿)</v>
      </c>
      <c r="E248" s="1" t="s">
        <v>153</v>
      </c>
      <c r="F248" s="1" t="s">
        <v>89</v>
      </c>
      <c r="G248" s="1" t="s">
        <v>356</v>
      </c>
      <c r="H248" s="1">
        <v>64</v>
      </c>
      <c r="I248" s="1"/>
      <c r="J248" s="1"/>
      <c r="K248" s="1" t="s">
        <v>16</v>
      </c>
      <c r="L248" s="1"/>
      <c r="M248" s="1" t="s">
        <v>158</v>
      </c>
      <c r="N248" s="1"/>
      <c r="O248" s="1"/>
      <c r="P248" s="1"/>
      <c r="Q248" s="1"/>
      <c r="R248" s="1"/>
    </row>
    <row r="249" spans="1:18" x14ac:dyDescent="0.4">
      <c r="A249" s="3" t="s">
        <v>164</v>
      </c>
      <c r="B249" s="4">
        <f t="shared" si="24"/>
        <v>248</v>
      </c>
      <c r="C249" s="1" t="str">
        <f t="shared" ref="C249:D249" si="43">C248</f>
        <v>imagse_contents</v>
      </c>
      <c r="D249" s="1" t="str">
        <f t="shared" si="43"/>
        <v>画像(ユーザー投稿)</v>
      </c>
      <c r="E249" s="1" t="s">
        <v>154</v>
      </c>
      <c r="F249" s="1" t="s">
        <v>90</v>
      </c>
      <c r="G249" s="1" t="s">
        <v>160</v>
      </c>
      <c r="H249" s="1">
        <f>32*8</f>
        <v>256</v>
      </c>
      <c r="I249" s="1"/>
      <c r="J249" s="1"/>
      <c r="K249" s="1" t="s">
        <v>16</v>
      </c>
      <c r="L249" s="1"/>
      <c r="M249" s="1" t="s">
        <v>159</v>
      </c>
      <c r="N249" s="1"/>
      <c r="O249" s="1"/>
      <c r="P249" s="1"/>
      <c r="Q249" s="1"/>
      <c r="R249" s="1" t="s">
        <v>161</v>
      </c>
    </row>
    <row r="250" spans="1:18" x14ac:dyDescent="0.4">
      <c r="A250" s="3" t="s">
        <v>164</v>
      </c>
      <c r="B250" s="4">
        <f t="shared" si="24"/>
        <v>249</v>
      </c>
      <c r="C250" s="1" t="str">
        <f t="shared" ref="C250:D250" si="44">C249</f>
        <v>imagse_contents</v>
      </c>
      <c r="D250" s="1" t="str">
        <f t="shared" si="44"/>
        <v>画像(ユーザー投稿)</v>
      </c>
      <c r="E250" s="1" t="s">
        <v>155</v>
      </c>
      <c r="F250" s="1" t="s">
        <v>91</v>
      </c>
      <c r="G250" s="1" t="s">
        <v>358</v>
      </c>
      <c r="H250" s="1">
        <v>1</v>
      </c>
      <c r="I250" s="1"/>
      <c r="J250" s="1"/>
      <c r="K250" s="1" t="s">
        <v>16</v>
      </c>
      <c r="L250" s="1"/>
      <c r="M250" s="1">
        <v>0</v>
      </c>
      <c r="N250" s="1"/>
      <c r="O250" s="1"/>
      <c r="P250" s="1"/>
      <c r="Q250" s="1"/>
      <c r="R250" s="1"/>
    </row>
    <row r="251" spans="1:18" x14ac:dyDescent="0.4">
      <c r="A251" s="3" t="s">
        <v>164</v>
      </c>
      <c r="B251" s="4">
        <f t="shared" si="24"/>
        <v>250</v>
      </c>
      <c r="C251" s="1" t="str">
        <f t="shared" ref="C251:D251" si="45">C250</f>
        <v>imagse_contents</v>
      </c>
      <c r="D251" s="1" t="str">
        <f t="shared" si="45"/>
        <v>画像(ユーザー投稿)</v>
      </c>
      <c r="E251" s="1" t="s">
        <v>156</v>
      </c>
      <c r="F251" s="1" t="s">
        <v>92</v>
      </c>
      <c r="G251" s="1" t="s">
        <v>358</v>
      </c>
      <c r="H251" s="1">
        <v>1</v>
      </c>
      <c r="I251" s="1"/>
      <c r="J251" s="1"/>
      <c r="K251" s="1" t="s">
        <v>16</v>
      </c>
      <c r="L251" s="1"/>
      <c r="M251" s="1">
        <v>0</v>
      </c>
      <c r="N251" s="1"/>
      <c r="O251" s="1"/>
      <c r="P251" s="1"/>
      <c r="Q251" s="1"/>
      <c r="R251" s="1"/>
    </row>
    <row r="252" spans="1:18" x14ac:dyDescent="0.4">
      <c r="A252" s="3" t="s">
        <v>164</v>
      </c>
      <c r="B252" s="4">
        <f t="shared" si="24"/>
        <v>251</v>
      </c>
      <c r="C252" s="1" t="s">
        <v>439</v>
      </c>
      <c r="D252" s="1" t="s">
        <v>440</v>
      </c>
      <c r="E252" s="14" t="s">
        <v>407</v>
      </c>
      <c r="F252" s="14" t="s">
        <v>408</v>
      </c>
      <c r="G252" s="1" t="s">
        <v>146</v>
      </c>
      <c r="H252" s="1">
        <v>128</v>
      </c>
      <c r="I252" s="14" t="s">
        <v>386</v>
      </c>
      <c r="J252" s="1"/>
      <c r="K252" s="1"/>
      <c r="L252" s="1"/>
      <c r="M252" s="1"/>
      <c r="N252" s="1"/>
      <c r="O252" s="1"/>
      <c r="P252" s="1"/>
      <c r="Q252" s="1"/>
      <c r="R252" s="1"/>
    </row>
    <row r="253" spans="1:18" x14ac:dyDescent="0.4">
      <c r="A253" s="3" t="s">
        <v>164</v>
      </c>
      <c r="B253" s="4">
        <f t="shared" si="24"/>
        <v>252</v>
      </c>
      <c r="C253" s="1" t="str">
        <f t="shared" si="29"/>
        <v>imagse_system</v>
      </c>
      <c r="D253" s="1" t="str">
        <f t="shared" si="29"/>
        <v>画像(システム管理)</v>
      </c>
      <c r="E253" s="14" t="s">
        <v>465</v>
      </c>
      <c r="F253" s="14" t="s">
        <v>409</v>
      </c>
      <c r="G253" s="14" t="s">
        <v>418</v>
      </c>
      <c r="H253" s="14">
        <v>64</v>
      </c>
      <c r="I253" s="1" t="s">
        <v>386</v>
      </c>
      <c r="J253" s="1"/>
      <c r="K253" s="1"/>
      <c r="L253" s="1"/>
      <c r="M253" s="1"/>
      <c r="N253" s="1"/>
      <c r="O253" s="1"/>
      <c r="P253" s="1"/>
      <c r="Q253" s="1"/>
      <c r="R253" s="1"/>
    </row>
    <row r="254" spans="1:18" x14ac:dyDescent="0.4">
      <c r="A254" s="3" t="s">
        <v>164</v>
      </c>
      <c r="B254" s="4">
        <f t="shared" si="24"/>
        <v>253</v>
      </c>
      <c r="C254" s="1" t="str">
        <f t="shared" ref="C254:D254" si="46">C253</f>
        <v>imagse_system</v>
      </c>
      <c r="D254" s="1" t="str">
        <f t="shared" si="46"/>
        <v>画像(システム管理)</v>
      </c>
      <c r="E254" s="14" t="s">
        <v>410</v>
      </c>
      <c r="F254" s="1" t="s">
        <v>424</v>
      </c>
      <c r="G254" s="1" t="s">
        <v>420</v>
      </c>
      <c r="H254" s="1">
        <f>8*100</f>
        <v>800</v>
      </c>
      <c r="I254" s="1"/>
      <c r="J254" s="1"/>
      <c r="K254" s="1" t="s">
        <v>386</v>
      </c>
      <c r="L254" s="1"/>
      <c r="M254" s="1"/>
      <c r="N254" s="1"/>
      <c r="O254" s="1"/>
      <c r="P254" s="1"/>
      <c r="Q254" s="1"/>
      <c r="R254" s="1"/>
    </row>
    <row r="255" spans="1:18" x14ac:dyDescent="0.4">
      <c r="A255" s="3" t="s">
        <v>164</v>
      </c>
      <c r="B255" s="4">
        <f t="shared" si="24"/>
        <v>254</v>
      </c>
      <c r="C255" s="1" t="str">
        <f t="shared" ref="C255:D255" si="47">C254</f>
        <v>imagse_system</v>
      </c>
      <c r="D255" s="1" t="str">
        <f t="shared" si="47"/>
        <v>画像(システム管理)</v>
      </c>
      <c r="E255" s="14" t="s">
        <v>411</v>
      </c>
      <c r="F255" s="1" t="s">
        <v>425</v>
      </c>
      <c r="G255" s="1" t="s">
        <v>421</v>
      </c>
      <c r="H255" s="1">
        <f>8*512</f>
        <v>4096</v>
      </c>
      <c r="I255" s="1"/>
      <c r="J255" s="1"/>
      <c r="K255" s="1" t="s">
        <v>386</v>
      </c>
      <c r="L255" s="1"/>
      <c r="M255" s="1"/>
      <c r="N255" s="1" t="s">
        <v>426</v>
      </c>
      <c r="O255" s="1"/>
      <c r="P255" s="1"/>
      <c r="Q255" s="1"/>
      <c r="R255" s="1"/>
    </row>
    <row r="256" spans="1:18" x14ac:dyDescent="0.4">
      <c r="A256" s="3" t="s">
        <v>164</v>
      </c>
      <c r="B256" s="4">
        <f t="shared" si="24"/>
        <v>255</v>
      </c>
      <c r="C256" s="1" t="str">
        <f t="shared" ref="C256:D256" si="48">C255</f>
        <v>imagse_system</v>
      </c>
      <c r="D256" s="1" t="str">
        <f t="shared" si="48"/>
        <v>画像(システム管理)</v>
      </c>
      <c r="E256" s="14" t="s">
        <v>412</v>
      </c>
      <c r="F256" s="1" t="s">
        <v>430</v>
      </c>
      <c r="G256" s="1" t="s">
        <v>421</v>
      </c>
      <c r="H256" s="1">
        <f>8*512</f>
        <v>4096</v>
      </c>
      <c r="I256" s="1"/>
      <c r="J256" s="1"/>
      <c r="K256" s="1"/>
      <c r="L256" s="1"/>
      <c r="M256" s="1"/>
      <c r="N256" s="1" t="s">
        <v>427</v>
      </c>
      <c r="O256" s="1"/>
      <c r="P256" s="1"/>
      <c r="Q256" s="1"/>
      <c r="R256" s="1"/>
    </row>
    <row r="257" spans="1:18" x14ac:dyDescent="0.4">
      <c r="A257" s="3" t="s">
        <v>164</v>
      </c>
      <c r="B257" s="4">
        <f t="shared" si="24"/>
        <v>256</v>
      </c>
      <c r="C257" s="1" t="str">
        <f t="shared" ref="C257:D257" si="49">C256</f>
        <v>imagse_system</v>
      </c>
      <c r="D257" s="1" t="str">
        <f t="shared" si="49"/>
        <v>画像(システム管理)</v>
      </c>
      <c r="E257" s="14" t="s">
        <v>413</v>
      </c>
      <c r="F257" s="1" t="s">
        <v>429</v>
      </c>
      <c r="G257" s="1" t="s">
        <v>422</v>
      </c>
      <c r="H257" s="1">
        <f>8*50</f>
        <v>400</v>
      </c>
      <c r="I257" s="1"/>
      <c r="J257" s="1"/>
      <c r="K257" s="1"/>
      <c r="L257" s="1"/>
      <c r="M257" s="1"/>
      <c r="N257" s="1" t="s">
        <v>428</v>
      </c>
      <c r="O257" s="1"/>
      <c r="P257" s="1"/>
      <c r="Q257" s="1"/>
      <c r="R257" s="1"/>
    </row>
    <row r="258" spans="1:18" x14ac:dyDescent="0.4">
      <c r="A258" s="3" t="s">
        <v>164</v>
      </c>
      <c r="B258" s="4">
        <f t="shared" si="24"/>
        <v>257</v>
      </c>
      <c r="C258" s="1" t="str">
        <f t="shared" ref="C258:D258" si="50">C257</f>
        <v>imagse_system</v>
      </c>
      <c r="D258" s="1" t="str">
        <f t="shared" si="50"/>
        <v>画像(システム管理)</v>
      </c>
      <c r="E258" s="14" t="s">
        <v>414</v>
      </c>
      <c r="F258" s="1" t="s">
        <v>431</v>
      </c>
      <c r="G258" s="1" t="s">
        <v>419</v>
      </c>
      <c r="H258" s="1">
        <v>32</v>
      </c>
      <c r="I258" s="1"/>
      <c r="J258" s="1"/>
      <c r="K258" s="1"/>
      <c r="L258" s="1"/>
      <c r="M258" s="1"/>
      <c r="N258" s="1"/>
      <c r="O258" s="1"/>
      <c r="P258" s="1"/>
      <c r="Q258" s="1"/>
      <c r="R258" s="1"/>
    </row>
    <row r="259" spans="1:18" x14ac:dyDescent="0.4">
      <c r="A259" s="3" t="s">
        <v>164</v>
      </c>
      <c r="B259" s="4">
        <f t="shared" si="24"/>
        <v>258</v>
      </c>
      <c r="C259" s="1" t="str">
        <f t="shared" ref="C259:D259" si="51">C258</f>
        <v>imagse_system</v>
      </c>
      <c r="D259" s="1" t="str">
        <f t="shared" si="51"/>
        <v>画像(システム管理)</v>
      </c>
      <c r="E259" s="14" t="s">
        <v>415</v>
      </c>
      <c r="F259" s="1" t="s">
        <v>432</v>
      </c>
      <c r="G259" s="1" t="s">
        <v>419</v>
      </c>
      <c r="H259" s="1">
        <v>32</v>
      </c>
      <c r="I259" s="1"/>
      <c r="J259" s="1"/>
      <c r="K259" s="1"/>
      <c r="L259" s="1"/>
      <c r="M259" s="1"/>
      <c r="N259" s="1"/>
      <c r="O259" s="1"/>
      <c r="P259" s="1"/>
      <c r="Q259" s="1"/>
      <c r="R259" s="1"/>
    </row>
    <row r="260" spans="1:18" x14ac:dyDescent="0.4">
      <c r="A260" s="3" t="s">
        <v>164</v>
      </c>
      <c r="B260" s="4">
        <f t="shared" si="24"/>
        <v>259</v>
      </c>
      <c r="C260" s="1" t="str">
        <f t="shared" ref="C260:D260" si="52">C259</f>
        <v>imagse_system</v>
      </c>
      <c r="D260" s="1" t="str">
        <f t="shared" si="52"/>
        <v>画像(システム管理)</v>
      </c>
      <c r="E260" s="14" t="s">
        <v>416</v>
      </c>
      <c r="F260" s="1" t="s">
        <v>433</v>
      </c>
      <c r="G260" s="1" t="s">
        <v>419</v>
      </c>
      <c r="H260" s="1">
        <v>32</v>
      </c>
      <c r="I260" s="1"/>
      <c r="J260" s="1"/>
      <c r="K260" s="1"/>
      <c r="L260" s="1"/>
      <c r="M260" s="1"/>
      <c r="N260" s="1"/>
      <c r="O260" s="1"/>
      <c r="P260" s="1"/>
      <c r="Q260" s="1"/>
      <c r="R260" s="1"/>
    </row>
    <row r="261" spans="1:18" x14ac:dyDescent="0.4">
      <c r="A261" s="3" t="s">
        <v>164</v>
      </c>
      <c r="B261" s="4">
        <f t="shared" si="24"/>
        <v>260</v>
      </c>
      <c r="C261" s="1" t="str">
        <f t="shared" ref="C261:D261" si="53">C260</f>
        <v>imagse_system</v>
      </c>
      <c r="D261" s="1" t="str">
        <f t="shared" si="53"/>
        <v>画像(システム管理)</v>
      </c>
      <c r="E261" s="14" t="s">
        <v>417</v>
      </c>
      <c r="F261" s="1" t="s">
        <v>434</v>
      </c>
      <c r="G261" s="1" t="s">
        <v>423</v>
      </c>
      <c r="H261" s="1">
        <f>8*255</f>
        <v>2040</v>
      </c>
      <c r="I261" s="1"/>
      <c r="J261" s="1"/>
      <c r="K261" s="1"/>
      <c r="L261" s="1"/>
      <c r="M261" s="1"/>
      <c r="N261" s="1"/>
      <c r="O261" s="1"/>
      <c r="P261" s="1"/>
      <c r="Q261" s="1"/>
      <c r="R261" s="1"/>
    </row>
    <row r="262" spans="1:18" x14ac:dyDescent="0.4">
      <c r="A262" s="3" t="s">
        <v>164</v>
      </c>
      <c r="B262" s="4">
        <f t="shared" si="24"/>
        <v>261</v>
      </c>
      <c r="C262" s="1" t="str">
        <f t="shared" ref="C262:D262" si="54">C261</f>
        <v>imagse_system</v>
      </c>
      <c r="D262" s="1" t="str">
        <f t="shared" si="54"/>
        <v>画像(システム管理)</v>
      </c>
      <c r="E262" s="1" t="s">
        <v>149</v>
      </c>
      <c r="F262" s="1" t="s">
        <v>87</v>
      </c>
      <c r="G262" s="1" t="s">
        <v>356</v>
      </c>
      <c r="H262" s="1">
        <v>64</v>
      </c>
      <c r="I262" s="1"/>
      <c r="J262" s="1"/>
      <c r="K262" s="1" t="s">
        <v>16</v>
      </c>
      <c r="L262" s="1"/>
      <c r="M262" s="1" t="s">
        <v>158</v>
      </c>
      <c r="N262" s="1"/>
      <c r="O262" s="1"/>
      <c r="P262" s="1"/>
      <c r="Q262" s="1"/>
      <c r="R262" s="1"/>
    </row>
    <row r="263" spans="1:18" x14ac:dyDescent="0.4">
      <c r="A263" s="3" t="s">
        <v>164</v>
      </c>
      <c r="B263" s="4">
        <f t="shared" si="24"/>
        <v>262</v>
      </c>
      <c r="C263" s="1" t="str">
        <f t="shared" ref="C263:D263" si="55">C262</f>
        <v>imagse_system</v>
      </c>
      <c r="D263" s="1" t="str">
        <f t="shared" si="55"/>
        <v>画像(システム管理)</v>
      </c>
      <c r="E263" s="1" t="s">
        <v>152</v>
      </c>
      <c r="F263" s="1" t="s">
        <v>88</v>
      </c>
      <c r="G263" s="1" t="s">
        <v>160</v>
      </c>
      <c r="H263" s="1">
        <f>32*8</f>
        <v>256</v>
      </c>
      <c r="I263" s="1"/>
      <c r="J263" s="1"/>
      <c r="K263" s="1" t="s">
        <v>16</v>
      </c>
      <c r="L263" s="1"/>
      <c r="M263" s="1" t="s">
        <v>159</v>
      </c>
      <c r="N263" s="1"/>
      <c r="O263" s="1"/>
      <c r="P263" s="1"/>
      <c r="Q263" s="1"/>
      <c r="R263" s="1" t="s">
        <v>161</v>
      </c>
    </row>
    <row r="264" spans="1:18" x14ac:dyDescent="0.4">
      <c r="A264" s="3" t="s">
        <v>164</v>
      </c>
      <c r="B264" s="4">
        <f t="shared" si="24"/>
        <v>263</v>
      </c>
      <c r="C264" s="1" t="str">
        <f t="shared" ref="C264:D264" si="56">C263</f>
        <v>imagse_system</v>
      </c>
      <c r="D264" s="1" t="str">
        <f t="shared" si="56"/>
        <v>画像(システム管理)</v>
      </c>
      <c r="E264" s="1" t="s">
        <v>153</v>
      </c>
      <c r="F264" s="1" t="s">
        <v>89</v>
      </c>
      <c r="G264" s="1" t="s">
        <v>356</v>
      </c>
      <c r="H264" s="1">
        <v>64</v>
      </c>
      <c r="I264" s="1"/>
      <c r="J264" s="1"/>
      <c r="K264" s="1" t="s">
        <v>16</v>
      </c>
      <c r="L264" s="1"/>
      <c r="M264" s="1" t="s">
        <v>158</v>
      </c>
      <c r="N264" s="1"/>
      <c r="O264" s="1"/>
      <c r="P264" s="1"/>
      <c r="Q264" s="1"/>
      <c r="R264" s="1"/>
    </row>
    <row r="265" spans="1:18" x14ac:dyDescent="0.4">
      <c r="A265" s="3" t="s">
        <v>164</v>
      </c>
      <c r="B265" s="4">
        <f t="shared" si="24"/>
        <v>264</v>
      </c>
      <c r="C265" s="1" t="str">
        <f t="shared" ref="C265:D265" si="57">C264</f>
        <v>imagse_system</v>
      </c>
      <c r="D265" s="1" t="str">
        <f t="shared" si="57"/>
        <v>画像(システム管理)</v>
      </c>
      <c r="E265" s="1" t="s">
        <v>154</v>
      </c>
      <c r="F265" s="1" t="s">
        <v>90</v>
      </c>
      <c r="G265" s="1" t="s">
        <v>160</v>
      </c>
      <c r="H265" s="1">
        <f>32*8</f>
        <v>256</v>
      </c>
      <c r="I265" s="1"/>
      <c r="J265" s="1"/>
      <c r="K265" s="1" t="s">
        <v>16</v>
      </c>
      <c r="L265" s="1"/>
      <c r="M265" s="1" t="s">
        <v>159</v>
      </c>
      <c r="N265" s="1"/>
      <c r="O265" s="1"/>
      <c r="P265" s="1"/>
      <c r="Q265" s="1"/>
      <c r="R265" s="1" t="s">
        <v>161</v>
      </c>
    </row>
    <row r="266" spans="1:18" x14ac:dyDescent="0.4">
      <c r="A266" s="3" t="s">
        <v>164</v>
      </c>
      <c r="B266" s="4">
        <f t="shared" si="24"/>
        <v>265</v>
      </c>
      <c r="C266" s="1" t="str">
        <f t="shared" ref="C266:D266" si="58">C265</f>
        <v>imagse_system</v>
      </c>
      <c r="D266" s="1" t="str">
        <f t="shared" si="58"/>
        <v>画像(システム管理)</v>
      </c>
      <c r="E266" s="1" t="s">
        <v>155</v>
      </c>
      <c r="F266" s="1" t="s">
        <v>91</v>
      </c>
      <c r="G266" s="1" t="s">
        <v>358</v>
      </c>
      <c r="H266" s="1">
        <v>1</v>
      </c>
      <c r="I266" s="1"/>
      <c r="J266" s="1"/>
      <c r="K266" s="1" t="s">
        <v>16</v>
      </c>
      <c r="L266" s="1"/>
      <c r="M266" s="1">
        <v>0</v>
      </c>
      <c r="N266" s="1"/>
      <c r="O266" s="1"/>
      <c r="P266" s="1"/>
      <c r="Q266" s="1"/>
      <c r="R266" s="1"/>
    </row>
    <row r="267" spans="1:18" x14ac:dyDescent="0.4">
      <c r="A267" s="3" t="s">
        <v>164</v>
      </c>
      <c r="B267" s="4">
        <f t="shared" si="24"/>
        <v>266</v>
      </c>
      <c r="C267" s="1" t="str">
        <f t="shared" ref="C267:D267" si="59">C266</f>
        <v>imagse_system</v>
      </c>
      <c r="D267" s="1" t="str">
        <f t="shared" si="59"/>
        <v>画像(システム管理)</v>
      </c>
      <c r="E267" s="1" t="s">
        <v>156</v>
      </c>
      <c r="F267" s="1" t="s">
        <v>92</v>
      </c>
      <c r="G267" s="1" t="s">
        <v>358</v>
      </c>
      <c r="H267" s="1">
        <v>1</v>
      </c>
      <c r="I267" s="1"/>
      <c r="J267" s="1"/>
      <c r="K267" s="1" t="s">
        <v>16</v>
      </c>
      <c r="L267" s="1"/>
      <c r="M267" s="1">
        <v>0</v>
      </c>
      <c r="N267" s="1"/>
      <c r="O267" s="1"/>
      <c r="P267" s="1"/>
      <c r="Q267" s="1"/>
      <c r="R267" s="1"/>
    </row>
  </sheetData>
  <autoFilter ref="A1:R267" xr:uid="{FFEAC8A9-1734-420B-8636-06432886C818}"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582EF-C5C7-4A95-AE0B-B44C2AB9177A}">
  <dimension ref="A1:G52"/>
  <sheetViews>
    <sheetView workbookViewId="0">
      <pane ySplit="2" topLeftCell="A3" activePane="bottomLeft" state="frozen"/>
      <selection pane="bottomLeft" activeCell="F5" sqref="F5"/>
    </sheetView>
  </sheetViews>
  <sheetFormatPr defaultRowHeight="18.75" x14ac:dyDescent="0.4"/>
  <cols>
    <col min="1" max="1" width="20" bestFit="1" customWidth="1"/>
    <col min="2" max="2" width="40.125" bestFit="1" customWidth="1"/>
    <col min="3" max="3" width="23.75" bestFit="1" customWidth="1"/>
    <col min="4" max="4" width="23.75" hidden="1" customWidth="1"/>
    <col min="5" max="5" width="23.75" bestFit="1" customWidth="1"/>
    <col min="6" max="6" width="63.875" bestFit="1" customWidth="1"/>
    <col min="7" max="7" width="74.875" bestFit="1" customWidth="1"/>
  </cols>
  <sheetData>
    <row r="1" spans="1:7" x14ac:dyDescent="0.4">
      <c r="A1" s="13" t="s">
        <v>176</v>
      </c>
      <c r="B1" s="13"/>
      <c r="C1" s="13"/>
      <c r="D1" s="13"/>
      <c r="E1" s="13"/>
      <c r="F1" s="13"/>
      <c r="G1" s="13"/>
    </row>
    <row r="2" spans="1:7" x14ac:dyDescent="0.4">
      <c r="A2" s="9" t="s">
        <v>177</v>
      </c>
      <c r="B2" s="9" t="s">
        <v>178</v>
      </c>
      <c r="C2" s="9" t="s">
        <v>179</v>
      </c>
      <c r="D2" s="10" t="s">
        <v>353</v>
      </c>
      <c r="E2" s="10" t="s">
        <v>352</v>
      </c>
      <c r="F2" s="9" t="s">
        <v>180</v>
      </c>
      <c r="G2" s="9" t="s">
        <v>181</v>
      </c>
    </row>
    <row r="3" spans="1:7" x14ac:dyDescent="0.4">
      <c r="A3" s="5" t="s">
        <v>182</v>
      </c>
      <c r="B3" s="6" t="s">
        <v>183</v>
      </c>
      <c r="C3" s="5" t="s">
        <v>184</v>
      </c>
      <c r="D3" s="5">
        <v>2</v>
      </c>
      <c r="E3" s="5">
        <f>IF(D3&lt;&gt;"-",D3*8,"-")</f>
        <v>16</v>
      </c>
      <c r="F3" s="5" t="s">
        <v>185</v>
      </c>
      <c r="G3" s="5" t="s">
        <v>186</v>
      </c>
    </row>
    <row r="4" spans="1:7" x14ac:dyDescent="0.4">
      <c r="A4" s="7" t="s">
        <v>182</v>
      </c>
      <c r="B4" s="8" t="s">
        <v>187</v>
      </c>
      <c r="C4" s="7" t="s">
        <v>188</v>
      </c>
      <c r="D4" s="7">
        <v>4</v>
      </c>
      <c r="E4" s="7">
        <f>IF(D4&lt;&gt;"-",D4*8,"-")</f>
        <v>32</v>
      </c>
      <c r="F4" s="7" t="s">
        <v>189</v>
      </c>
      <c r="G4" s="7" t="s">
        <v>190</v>
      </c>
    </row>
    <row r="5" spans="1:7" x14ac:dyDescent="0.4">
      <c r="A5" s="5" t="s">
        <v>182</v>
      </c>
      <c r="B5" s="6" t="s">
        <v>351</v>
      </c>
      <c r="C5" s="5" t="s">
        <v>191</v>
      </c>
      <c r="D5" s="5">
        <v>8</v>
      </c>
      <c r="E5" s="5">
        <f t="shared" ref="E5:E52" si="0">IF(D5&lt;&gt;"-",D5*8,"-")</f>
        <v>64</v>
      </c>
      <c r="F5" s="5" t="s">
        <v>192</v>
      </c>
      <c r="G5" s="5" t="s">
        <v>193</v>
      </c>
    </row>
    <row r="6" spans="1:7" x14ac:dyDescent="0.4">
      <c r="A6" s="7" t="s">
        <v>182</v>
      </c>
      <c r="B6" s="8" t="s">
        <v>194</v>
      </c>
      <c r="C6" s="7" t="s">
        <v>195</v>
      </c>
      <c r="D6" s="11" t="s">
        <v>18</v>
      </c>
      <c r="E6" s="7" t="str">
        <f t="shared" si="0"/>
        <v>-</v>
      </c>
      <c r="F6" s="7" t="s">
        <v>196</v>
      </c>
      <c r="G6" s="7" t="s">
        <v>197</v>
      </c>
    </row>
    <row r="7" spans="1:7" x14ac:dyDescent="0.4">
      <c r="A7" s="5" t="s">
        <v>182</v>
      </c>
      <c r="B7" s="6" t="s">
        <v>198</v>
      </c>
      <c r="C7" s="5" t="s">
        <v>195</v>
      </c>
      <c r="D7" s="12" t="s">
        <v>18</v>
      </c>
      <c r="E7" s="5" t="str">
        <f t="shared" si="0"/>
        <v>-</v>
      </c>
      <c r="F7" s="5" t="s">
        <v>196</v>
      </c>
      <c r="G7" s="5" t="s">
        <v>199</v>
      </c>
    </row>
    <row r="8" spans="1:7" x14ac:dyDescent="0.4">
      <c r="A8" s="7" t="s">
        <v>182</v>
      </c>
      <c r="B8" s="8" t="s">
        <v>200</v>
      </c>
      <c r="C8" s="7" t="s">
        <v>188</v>
      </c>
      <c r="D8" s="7">
        <v>4</v>
      </c>
      <c r="E8" s="7">
        <f t="shared" si="0"/>
        <v>32</v>
      </c>
      <c r="F8" s="7" t="s">
        <v>201</v>
      </c>
      <c r="G8" s="7" t="s">
        <v>202</v>
      </c>
    </row>
    <row r="9" spans="1:7" x14ac:dyDescent="0.4">
      <c r="A9" s="5" t="s">
        <v>182</v>
      </c>
      <c r="B9" s="6" t="s">
        <v>203</v>
      </c>
      <c r="C9" s="5" t="s">
        <v>191</v>
      </c>
      <c r="D9" s="5">
        <v>8</v>
      </c>
      <c r="E9" s="5">
        <f t="shared" si="0"/>
        <v>64</v>
      </c>
      <c r="F9" s="5" t="s">
        <v>204</v>
      </c>
      <c r="G9" s="5" t="s">
        <v>205</v>
      </c>
    </row>
    <row r="10" spans="1:7" x14ac:dyDescent="0.4">
      <c r="A10" s="7" t="s">
        <v>182</v>
      </c>
      <c r="B10" s="8" t="s">
        <v>206</v>
      </c>
      <c r="C10" s="7" t="s">
        <v>184</v>
      </c>
      <c r="D10" s="7">
        <v>2</v>
      </c>
      <c r="E10" s="7">
        <f t="shared" si="0"/>
        <v>16</v>
      </c>
      <c r="F10" s="7" t="s">
        <v>207</v>
      </c>
      <c r="G10" s="7" t="s">
        <v>208</v>
      </c>
    </row>
    <row r="11" spans="1:7" x14ac:dyDescent="0.4">
      <c r="A11" s="5" t="s">
        <v>182</v>
      </c>
      <c r="B11" s="6" t="s">
        <v>209</v>
      </c>
      <c r="C11" s="5" t="s">
        <v>188</v>
      </c>
      <c r="D11" s="5">
        <v>4</v>
      </c>
      <c r="E11" s="5">
        <f t="shared" si="0"/>
        <v>32</v>
      </c>
      <c r="F11" s="5" t="s">
        <v>210</v>
      </c>
      <c r="G11" s="5" t="s">
        <v>211</v>
      </c>
    </row>
    <row r="12" spans="1:7" x14ac:dyDescent="0.4">
      <c r="A12" s="7" t="s">
        <v>182</v>
      </c>
      <c r="B12" s="8" t="s">
        <v>212</v>
      </c>
      <c r="C12" s="7" t="s">
        <v>191</v>
      </c>
      <c r="D12" s="7">
        <v>8</v>
      </c>
      <c r="E12" s="7">
        <f t="shared" si="0"/>
        <v>64</v>
      </c>
      <c r="F12" s="7" t="s">
        <v>213</v>
      </c>
      <c r="G12" s="7" t="s">
        <v>214</v>
      </c>
    </row>
    <row r="13" spans="1:7" x14ac:dyDescent="0.4">
      <c r="A13" s="5" t="s">
        <v>215</v>
      </c>
      <c r="B13" s="6" t="s">
        <v>216</v>
      </c>
      <c r="C13" s="5" t="s">
        <v>191</v>
      </c>
      <c r="D13" s="5">
        <v>8</v>
      </c>
      <c r="E13" s="5">
        <f t="shared" si="0"/>
        <v>64</v>
      </c>
      <c r="F13" s="5" t="s">
        <v>217</v>
      </c>
      <c r="G13" s="5" t="s">
        <v>218</v>
      </c>
    </row>
    <row r="14" spans="1:7" x14ac:dyDescent="0.4">
      <c r="A14" s="7" t="s">
        <v>219</v>
      </c>
      <c r="B14" s="8" t="s">
        <v>220</v>
      </c>
      <c r="C14" s="7" t="s">
        <v>221</v>
      </c>
      <c r="D14" s="7" t="s">
        <v>18</v>
      </c>
      <c r="E14" s="7" t="str">
        <f t="shared" si="0"/>
        <v>-</v>
      </c>
      <c r="F14" s="7" t="s">
        <v>222</v>
      </c>
      <c r="G14" s="7" t="s">
        <v>223</v>
      </c>
    </row>
    <row r="15" spans="1:7" x14ac:dyDescent="0.4">
      <c r="A15" s="5" t="s">
        <v>219</v>
      </c>
      <c r="B15" s="6" t="s">
        <v>224</v>
      </c>
      <c r="C15" s="5" t="s">
        <v>225</v>
      </c>
      <c r="D15" s="12" t="s">
        <v>18</v>
      </c>
      <c r="E15" s="5" t="str">
        <f t="shared" si="0"/>
        <v>-</v>
      </c>
      <c r="F15" s="5" t="s">
        <v>226</v>
      </c>
      <c r="G15" s="5" t="s">
        <v>227</v>
      </c>
    </row>
    <row r="16" spans="1:7" x14ac:dyDescent="0.4">
      <c r="A16" s="7" t="s">
        <v>219</v>
      </c>
      <c r="B16" s="8" t="s">
        <v>228</v>
      </c>
      <c r="C16" s="7" t="s">
        <v>195</v>
      </c>
      <c r="D16" s="11" t="s">
        <v>18</v>
      </c>
      <c r="E16" s="7" t="str">
        <f t="shared" si="0"/>
        <v>-</v>
      </c>
      <c r="F16" s="7" t="s">
        <v>229</v>
      </c>
      <c r="G16" s="7" t="s">
        <v>230</v>
      </c>
    </row>
    <row r="17" spans="1:7" x14ac:dyDescent="0.4">
      <c r="A17" s="5" t="s">
        <v>231</v>
      </c>
      <c r="B17" s="6" t="s">
        <v>232</v>
      </c>
      <c r="C17" s="5" t="s">
        <v>191</v>
      </c>
      <c r="D17" s="5">
        <v>8</v>
      </c>
      <c r="E17" s="5">
        <f t="shared" si="0"/>
        <v>64</v>
      </c>
      <c r="F17" s="5" t="s">
        <v>233</v>
      </c>
      <c r="G17" s="5" t="s">
        <v>234</v>
      </c>
    </row>
    <row r="18" spans="1:7" x14ac:dyDescent="0.4">
      <c r="A18" s="7" t="s">
        <v>231</v>
      </c>
      <c r="B18" s="8" t="s">
        <v>235</v>
      </c>
      <c r="C18" s="7" t="s">
        <v>191</v>
      </c>
      <c r="D18" s="7">
        <v>8</v>
      </c>
      <c r="E18" s="7">
        <f t="shared" si="0"/>
        <v>64</v>
      </c>
      <c r="F18" s="7" t="s">
        <v>233</v>
      </c>
      <c r="G18" s="7" t="s">
        <v>236</v>
      </c>
    </row>
    <row r="19" spans="1:7" x14ac:dyDescent="0.4">
      <c r="A19" s="5" t="s">
        <v>231</v>
      </c>
      <c r="B19" s="6" t="s">
        <v>13</v>
      </c>
      <c r="C19" s="5" t="s">
        <v>188</v>
      </c>
      <c r="D19" s="5">
        <v>4</v>
      </c>
      <c r="E19" s="5">
        <f t="shared" si="0"/>
        <v>32</v>
      </c>
      <c r="F19" s="5" t="s">
        <v>237</v>
      </c>
      <c r="G19" s="5" t="s">
        <v>238</v>
      </c>
    </row>
    <row r="20" spans="1:7" x14ac:dyDescent="0.4">
      <c r="A20" s="7" t="s">
        <v>231</v>
      </c>
      <c r="B20" s="8" t="s">
        <v>239</v>
      </c>
      <c r="C20" s="7" t="s">
        <v>191</v>
      </c>
      <c r="D20" s="7">
        <v>8</v>
      </c>
      <c r="E20" s="7">
        <f t="shared" si="0"/>
        <v>64</v>
      </c>
      <c r="F20" s="7" t="s">
        <v>240</v>
      </c>
      <c r="G20" s="7" t="s">
        <v>241</v>
      </c>
    </row>
    <row r="21" spans="1:7" x14ac:dyDescent="0.4">
      <c r="A21" s="5" t="s">
        <v>231</v>
      </c>
      <c r="B21" s="6" t="s">
        <v>242</v>
      </c>
      <c r="C21" s="5" t="s">
        <v>243</v>
      </c>
      <c r="D21" s="5">
        <v>12</v>
      </c>
      <c r="E21" s="5">
        <f t="shared" si="0"/>
        <v>96</v>
      </c>
      <c r="F21" s="5" t="s">
        <v>244</v>
      </c>
      <c r="G21" s="5" t="s">
        <v>245</v>
      </c>
    </row>
    <row r="22" spans="1:7" x14ac:dyDescent="0.4">
      <c r="A22" s="7" t="s">
        <v>231</v>
      </c>
      <c r="B22" s="8" t="s">
        <v>246</v>
      </c>
      <c r="C22" s="7" t="s">
        <v>243</v>
      </c>
      <c r="D22" s="7">
        <v>12</v>
      </c>
      <c r="E22" s="7">
        <f t="shared" si="0"/>
        <v>96</v>
      </c>
      <c r="F22" s="7" t="s">
        <v>247</v>
      </c>
      <c r="G22" s="7" t="s">
        <v>248</v>
      </c>
    </row>
    <row r="23" spans="1:7" x14ac:dyDescent="0.4">
      <c r="A23" s="5" t="s">
        <v>249</v>
      </c>
      <c r="B23" s="6" t="s">
        <v>250</v>
      </c>
      <c r="C23" s="5" t="s">
        <v>251</v>
      </c>
      <c r="D23" s="5">
        <v>1</v>
      </c>
      <c r="E23" s="5">
        <f t="shared" si="0"/>
        <v>8</v>
      </c>
      <c r="F23" s="5" t="s">
        <v>252</v>
      </c>
      <c r="G23" s="5" t="s">
        <v>253</v>
      </c>
    </row>
    <row r="24" spans="1:7" x14ac:dyDescent="0.4">
      <c r="A24" s="7" t="s">
        <v>254</v>
      </c>
      <c r="B24" s="8" t="s">
        <v>255</v>
      </c>
      <c r="C24" s="7" t="s">
        <v>195</v>
      </c>
      <c r="D24" s="11" t="s">
        <v>18</v>
      </c>
      <c r="E24" s="7" t="str">
        <f t="shared" si="0"/>
        <v>-</v>
      </c>
      <c r="F24" s="7" t="s">
        <v>229</v>
      </c>
      <c r="G24" s="7" t="s">
        <v>256</v>
      </c>
    </row>
    <row r="25" spans="1:7" x14ac:dyDescent="0.4">
      <c r="A25" s="5" t="s">
        <v>254</v>
      </c>
      <c r="B25" s="6" t="s">
        <v>257</v>
      </c>
      <c r="C25" s="5" t="s">
        <v>195</v>
      </c>
      <c r="D25" s="12" t="s">
        <v>18</v>
      </c>
      <c r="E25" s="5" t="str">
        <f t="shared" si="0"/>
        <v>-</v>
      </c>
      <c r="F25" s="5" t="s">
        <v>229</v>
      </c>
      <c r="G25" s="5" t="s">
        <v>258</v>
      </c>
    </row>
    <row r="26" spans="1:7" x14ac:dyDescent="0.4">
      <c r="A26" s="7" t="s">
        <v>259</v>
      </c>
      <c r="B26" s="8" t="s">
        <v>260</v>
      </c>
      <c r="C26" s="7" t="s">
        <v>261</v>
      </c>
      <c r="D26" s="7">
        <v>16</v>
      </c>
      <c r="E26" s="7">
        <f t="shared" si="0"/>
        <v>128</v>
      </c>
      <c r="F26" s="7" t="s">
        <v>262</v>
      </c>
      <c r="G26" s="7" t="s">
        <v>263</v>
      </c>
    </row>
    <row r="27" spans="1:7" x14ac:dyDescent="0.4">
      <c r="A27" s="5" t="s">
        <v>259</v>
      </c>
      <c r="B27" s="6" t="s">
        <v>264</v>
      </c>
      <c r="C27" s="5" t="s">
        <v>265</v>
      </c>
      <c r="D27" s="5">
        <v>32</v>
      </c>
      <c r="E27" s="5">
        <f t="shared" si="0"/>
        <v>256</v>
      </c>
      <c r="F27" s="5" t="s">
        <v>266</v>
      </c>
      <c r="G27" s="5" t="s">
        <v>267</v>
      </c>
    </row>
    <row r="28" spans="1:7" x14ac:dyDescent="0.4">
      <c r="A28" s="7" t="s">
        <v>259</v>
      </c>
      <c r="B28" s="8" t="s">
        <v>268</v>
      </c>
      <c r="C28" s="7" t="s">
        <v>265</v>
      </c>
      <c r="D28" s="7">
        <v>32</v>
      </c>
      <c r="E28" s="7">
        <f t="shared" si="0"/>
        <v>256</v>
      </c>
      <c r="F28" s="7" t="s">
        <v>266</v>
      </c>
      <c r="G28" s="7" t="s">
        <v>269</v>
      </c>
    </row>
    <row r="29" spans="1:7" x14ac:dyDescent="0.4">
      <c r="A29" s="5" t="s">
        <v>259</v>
      </c>
      <c r="B29" s="6" t="s">
        <v>270</v>
      </c>
      <c r="C29" s="5" t="s">
        <v>265</v>
      </c>
      <c r="D29" s="5">
        <v>32</v>
      </c>
      <c r="E29" s="5">
        <f t="shared" si="0"/>
        <v>256</v>
      </c>
      <c r="F29" s="5" t="s">
        <v>266</v>
      </c>
      <c r="G29" s="5" t="s">
        <v>271</v>
      </c>
    </row>
    <row r="30" spans="1:7" x14ac:dyDescent="0.4">
      <c r="A30" s="7" t="s">
        <v>259</v>
      </c>
      <c r="B30" s="8" t="s">
        <v>272</v>
      </c>
      <c r="C30" s="7" t="s">
        <v>273</v>
      </c>
      <c r="D30" s="7" t="s">
        <v>18</v>
      </c>
      <c r="E30" s="7" t="str">
        <f t="shared" si="0"/>
        <v>-</v>
      </c>
      <c r="F30" s="7" t="s">
        <v>274</v>
      </c>
      <c r="G30" s="7" t="s">
        <v>275</v>
      </c>
    </row>
    <row r="31" spans="1:7" x14ac:dyDescent="0.4">
      <c r="A31" s="5" t="s">
        <v>259</v>
      </c>
      <c r="B31" s="6" t="s">
        <v>272</v>
      </c>
      <c r="C31" s="5" t="s">
        <v>273</v>
      </c>
      <c r="D31" s="5" t="s">
        <v>18</v>
      </c>
      <c r="E31" s="5" t="str">
        <f t="shared" si="0"/>
        <v>-</v>
      </c>
      <c r="F31" s="5" t="s">
        <v>276</v>
      </c>
      <c r="G31" s="5" t="s">
        <v>277</v>
      </c>
    </row>
    <row r="32" spans="1:7" x14ac:dyDescent="0.4">
      <c r="A32" s="7" t="s">
        <v>259</v>
      </c>
      <c r="B32" s="8" t="s">
        <v>278</v>
      </c>
      <c r="C32" s="7" t="s">
        <v>279</v>
      </c>
      <c r="D32" s="7" t="s">
        <v>18</v>
      </c>
      <c r="E32" s="7" t="str">
        <f t="shared" si="0"/>
        <v>-</v>
      </c>
      <c r="F32" s="7" t="s">
        <v>280</v>
      </c>
      <c r="G32" s="7" t="s">
        <v>281</v>
      </c>
    </row>
    <row r="33" spans="1:7" x14ac:dyDescent="0.4">
      <c r="A33" s="5" t="s">
        <v>259</v>
      </c>
      <c r="B33" s="6" t="s">
        <v>282</v>
      </c>
      <c r="C33" s="5" t="s">
        <v>283</v>
      </c>
      <c r="D33" s="5">
        <v>24</v>
      </c>
      <c r="E33" s="5">
        <f t="shared" si="0"/>
        <v>192</v>
      </c>
      <c r="F33" s="5" t="s">
        <v>284</v>
      </c>
      <c r="G33" s="5" t="s">
        <v>285</v>
      </c>
    </row>
    <row r="34" spans="1:7" x14ac:dyDescent="0.4">
      <c r="A34" s="7" t="s">
        <v>286</v>
      </c>
      <c r="B34" s="8" t="s">
        <v>287</v>
      </c>
      <c r="C34" s="7" t="s">
        <v>288</v>
      </c>
      <c r="D34" s="7" t="s">
        <v>18</v>
      </c>
      <c r="E34" s="7" t="str">
        <f t="shared" si="0"/>
        <v>-</v>
      </c>
      <c r="F34" s="7" t="s">
        <v>289</v>
      </c>
      <c r="G34" s="7" t="s">
        <v>290</v>
      </c>
    </row>
    <row r="35" spans="1:7" x14ac:dyDescent="0.4">
      <c r="A35" s="5" t="s">
        <v>286</v>
      </c>
      <c r="B35" s="6" t="s">
        <v>291</v>
      </c>
      <c r="C35" s="5" t="s">
        <v>288</v>
      </c>
      <c r="D35" s="5" t="s">
        <v>18</v>
      </c>
      <c r="E35" s="5" t="str">
        <f t="shared" si="0"/>
        <v>-</v>
      </c>
      <c r="F35" s="5" t="s">
        <v>292</v>
      </c>
      <c r="G35" s="5" t="s">
        <v>293</v>
      </c>
    </row>
    <row r="36" spans="1:7" x14ac:dyDescent="0.4">
      <c r="A36" s="7" t="s">
        <v>286</v>
      </c>
      <c r="B36" s="8" t="s">
        <v>294</v>
      </c>
      <c r="C36" s="7" t="s">
        <v>295</v>
      </c>
      <c r="D36" s="7">
        <v>6</v>
      </c>
      <c r="E36" s="7">
        <f t="shared" si="0"/>
        <v>48</v>
      </c>
      <c r="F36" s="7" t="s">
        <v>296</v>
      </c>
      <c r="G36" s="7" t="s">
        <v>297</v>
      </c>
    </row>
    <row r="37" spans="1:7" x14ac:dyDescent="0.4">
      <c r="A37" s="5" t="s">
        <v>298</v>
      </c>
      <c r="B37" s="6" t="s">
        <v>357</v>
      </c>
      <c r="C37" s="5" t="s">
        <v>299</v>
      </c>
      <c r="D37" s="5" t="s">
        <v>18</v>
      </c>
      <c r="E37" s="5" t="str">
        <f t="shared" si="0"/>
        <v>-</v>
      </c>
      <c r="F37" s="5" t="s">
        <v>300</v>
      </c>
      <c r="G37" s="5" t="s">
        <v>301</v>
      </c>
    </row>
    <row r="38" spans="1:7" x14ac:dyDescent="0.4">
      <c r="A38" s="7" t="s">
        <v>298</v>
      </c>
      <c r="B38" s="8" t="s">
        <v>302</v>
      </c>
      <c r="C38" s="7" t="s">
        <v>303</v>
      </c>
      <c r="D38" s="11" t="s">
        <v>18</v>
      </c>
      <c r="E38" s="7" t="str">
        <f t="shared" si="0"/>
        <v>-</v>
      </c>
      <c r="F38" s="7" t="s">
        <v>304</v>
      </c>
      <c r="G38" s="7" t="s">
        <v>305</v>
      </c>
    </row>
    <row r="39" spans="1:7" x14ac:dyDescent="0.4">
      <c r="A39" s="5" t="s">
        <v>306</v>
      </c>
      <c r="B39" s="6" t="s">
        <v>307</v>
      </c>
      <c r="C39" s="5" t="s">
        <v>195</v>
      </c>
      <c r="D39" s="12" t="s">
        <v>18</v>
      </c>
      <c r="E39" s="5" t="str">
        <f t="shared" si="0"/>
        <v>-</v>
      </c>
      <c r="F39" s="5" t="s">
        <v>17</v>
      </c>
      <c r="G39" s="5" t="s">
        <v>308</v>
      </c>
    </row>
    <row r="40" spans="1:7" x14ac:dyDescent="0.4">
      <c r="A40" s="7" t="s">
        <v>306</v>
      </c>
      <c r="B40" s="8" t="s">
        <v>309</v>
      </c>
      <c r="C40" s="7" t="s">
        <v>195</v>
      </c>
      <c r="D40" s="11" t="s">
        <v>18</v>
      </c>
      <c r="E40" s="7" t="str">
        <f t="shared" si="0"/>
        <v>-</v>
      </c>
      <c r="F40" s="7" t="s">
        <v>17</v>
      </c>
      <c r="G40" s="7" t="s">
        <v>310</v>
      </c>
    </row>
    <row r="41" spans="1:7" x14ac:dyDescent="0.4">
      <c r="A41" s="5" t="s">
        <v>306</v>
      </c>
      <c r="B41" s="6" t="s">
        <v>311</v>
      </c>
      <c r="C41" s="5" t="s">
        <v>188</v>
      </c>
      <c r="D41" s="5">
        <v>4</v>
      </c>
      <c r="E41" s="5">
        <f t="shared" si="0"/>
        <v>32</v>
      </c>
      <c r="F41" s="5" t="s">
        <v>17</v>
      </c>
      <c r="G41" s="5" t="s">
        <v>312</v>
      </c>
    </row>
    <row r="42" spans="1:7" x14ac:dyDescent="0.4">
      <c r="A42" s="7" t="s">
        <v>313</v>
      </c>
      <c r="B42" s="8" t="s">
        <v>314</v>
      </c>
      <c r="C42" s="7" t="s">
        <v>195</v>
      </c>
      <c r="D42" s="11" t="s">
        <v>18</v>
      </c>
      <c r="E42" s="7" t="str">
        <f t="shared" si="0"/>
        <v>-</v>
      </c>
      <c r="F42" s="7" t="s">
        <v>315</v>
      </c>
      <c r="G42" s="7" t="s">
        <v>316</v>
      </c>
    </row>
    <row r="43" spans="1:7" x14ac:dyDescent="0.4">
      <c r="A43" s="5" t="s">
        <v>317</v>
      </c>
      <c r="B43" s="6" t="s">
        <v>145</v>
      </c>
      <c r="C43" s="5" t="s">
        <v>261</v>
      </c>
      <c r="D43" s="5">
        <v>16</v>
      </c>
      <c r="E43" s="5">
        <f t="shared" si="0"/>
        <v>128</v>
      </c>
      <c r="F43" s="5" t="s">
        <v>318</v>
      </c>
      <c r="G43" s="5" t="s">
        <v>319</v>
      </c>
    </row>
    <row r="44" spans="1:7" x14ac:dyDescent="0.4">
      <c r="A44" s="7" t="s">
        <v>320</v>
      </c>
      <c r="B44" s="8" t="s">
        <v>321</v>
      </c>
      <c r="C44" s="7" t="s">
        <v>195</v>
      </c>
      <c r="D44" s="11" t="s">
        <v>18</v>
      </c>
      <c r="E44" s="7" t="str">
        <f t="shared" si="0"/>
        <v>-</v>
      </c>
      <c r="F44" s="7" t="s">
        <v>322</v>
      </c>
      <c r="G44" s="7" t="s">
        <v>323</v>
      </c>
    </row>
    <row r="45" spans="1:7" x14ac:dyDescent="0.4">
      <c r="A45" s="5" t="s">
        <v>324</v>
      </c>
      <c r="B45" s="6" t="s">
        <v>325</v>
      </c>
      <c r="C45" s="5" t="s">
        <v>195</v>
      </c>
      <c r="D45" s="12" t="s">
        <v>18</v>
      </c>
      <c r="E45" s="5" t="str">
        <f t="shared" si="0"/>
        <v>-</v>
      </c>
      <c r="F45" s="5" t="s">
        <v>326</v>
      </c>
      <c r="G45" s="5" t="s">
        <v>327</v>
      </c>
    </row>
    <row r="46" spans="1:7" x14ac:dyDescent="0.4">
      <c r="A46" s="7" t="s">
        <v>328</v>
      </c>
      <c r="B46" s="8" t="s">
        <v>329</v>
      </c>
      <c r="C46" s="7" t="s">
        <v>195</v>
      </c>
      <c r="D46" s="11" t="s">
        <v>18</v>
      </c>
      <c r="E46" s="7" t="str">
        <f t="shared" si="0"/>
        <v>-</v>
      </c>
      <c r="F46" s="7" t="s">
        <v>330</v>
      </c>
      <c r="G46" s="7" t="s">
        <v>331</v>
      </c>
    </row>
    <row r="47" spans="1:7" x14ac:dyDescent="0.4">
      <c r="A47" s="5" t="s">
        <v>332</v>
      </c>
      <c r="B47" s="6" t="s">
        <v>333</v>
      </c>
      <c r="C47" s="5" t="s">
        <v>195</v>
      </c>
      <c r="D47" s="12" t="s">
        <v>18</v>
      </c>
      <c r="E47" s="5" t="str">
        <f t="shared" si="0"/>
        <v>-</v>
      </c>
      <c r="F47" s="5" t="s">
        <v>334</v>
      </c>
      <c r="G47" s="5" t="s">
        <v>335</v>
      </c>
    </row>
    <row r="48" spans="1:7" x14ac:dyDescent="0.4">
      <c r="A48" s="7" t="s">
        <v>332</v>
      </c>
      <c r="B48" s="8" t="s">
        <v>336</v>
      </c>
      <c r="C48" s="7" t="s">
        <v>195</v>
      </c>
      <c r="D48" s="11" t="s">
        <v>18</v>
      </c>
      <c r="E48" s="7" t="str">
        <f t="shared" si="0"/>
        <v>-</v>
      </c>
      <c r="F48" s="7" t="s">
        <v>337</v>
      </c>
      <c r="G48" s="7" t="s">
        <v>338</v>
      </c>
    </row>
    <row r="49" spans="1:7" x14ac:dyDescent="0.4">
      <c r="A49" s="5" t="s">
        <v>332</v>
      </c>
      <c r="B49" s="6" t="s">
        <v>339</v>
      </c>
      <c r="C49" s="5" t="s">
        <v>195</v>
      </c>
      <c r="D49" s="12" t="s">
        <v>18</v>
      </c>
      <c r="E49" s="5" t="str">
        <f t="shared" si="0"/>
        <v>-</v>
      </c>
      <c r="F49" s="5" t="s">
        <v>340</v>
      </c>
      <c r="G49" s="5" t="s">
        <v>341</v>
      </c>
    </row>
    <row r="50" spans="1:7" x14ac:dyDescent="0.4">
      <c r="A50" s="7" t="s">
        <v>332</v>
      </c>
      <c r="B50" s="8" t="s">
        <v>342</v>
      </c>
      <c r="C50" s="7" t="s">
        <v>195</v>
      </c>
      <c r="D50" s="11" t="s">
        <v>18</v>
      </c>
      <c r="E50" s="7" t="str">
        <f t="shared" si="0"/>
        <v>-</v>
      </c>
      <c r="F50" s="7" t="s">
        <v>343</v>
      </c>
      <c r="G50" s="7" t="s">
        <v>344</v>
      </c>
    </row>
    <row r="51" spans="1:7" x14ac:dyDescent="0.4">
      <c r="A51" s="5" t="s">
        <v>332</v>
      </c>
      <c r="B51" s="6" t="s">
        <v>345</v>
      </c>
      <c r="C51" s="5" t="s">
        <v>195</v>
      </c>
      <c r="D51" s="12" t="s">
        <v>18</v>
      </c>
      <c r="E51" s="5" t="str">
        <f t="shared" si="0"/>
        <v>-</v>
      </c>
      <c r="F51" s="5" t="s">
        <v>346</v>
      </c>
      <c r="G51" s="5" t="s">
        <v>347</v>
      </c>
    </row>
    <row r="52" spans="1:7" x14ac:dyDescent="0.4">
      <c r="A52" s="7" t="s">
        <v>332</v>
      </c>
      <c r="B52" s="8" t="s">
        <v>348</v>
      </c>
      <c r="C52" s="7" t="s">
        <v>195</v>
      </c>
      <c r="D52" s="11" t="s">
        <v>18</v>
      </c>
      <c r="E52" s="7" t="str">
        <f t="shared" si="0"/>
        <v>-</v>
      </c>
      <c r="F52" s="7" t="s">
        <v>349</v>
      </c>
      <c r="G52" s="7" t="s">
        <v>350</v>
      </c>
    </row>
  </sheetData>
  <autoFilter ref="A2:G2" xr:uid="{5B9582EF-C5C7-4A95-AE0B-B44C2AB9177A}"/>
  <mergeCells count="1">
    <mergeCell ref="A1:G1"/>
  </mergeCells>
  <phoneticPr fontId="1"/>
  <hyperlinks>
    <hyperlink ref="A1" r:id="rId1" xr:uid="{D1D34AD4-E4B7-47C7-8E06-E18D7C68449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テーブル一覧</vt:lpstr>
      <vt:lpstr>テーブル定義_一覧</vt:lpstr>
      <vt:lpstr>型とバイト数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takaya kouno</dc:creator>
  <cp:lastModifiedBy>takaya kouno</cp:lastModifiedBy>
  <dcterms:created xsi:type="dcterms:W3CDTF">2026-06-28T10:08:48Z</dcterms:created>
  <dcterms:modified xsi:type="dcterms:W3CDTF">2026-06-29T18:06:46Z</dcterms:modified>
</cp:coreProperties>
</file>
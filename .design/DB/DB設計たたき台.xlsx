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egar/Documents/GitHub/vtuber-meikan/.design/DB/"/>
    </mc:Choice>
  </mc:AlternateContent>
  <xr:revisionPtr revIDLastSave="0" documentId="13_ncr:1_{71D17570-226F-5D4C-B9F8-D78DD0734C8B}" xr6:coauthVersionLast="47" xr6:coauthVersionMax="47" xr10:uidLastSave="{00000000-0000-0000-0000-000000000000}"/>
  <bookViews>
    <workbookView xWindow="4320" yWindow="600" windowWidth="24480" windowHeight="17400" xr2:uid="{00000000-000D-0000-FFFF-FFFF00000000}"/>
  </bookViews>
  <sheets>
    <sheet name="テーブル一覧" sheetId="1" r:id="rId1"/>
    <sheet name="テーブル定義_一覧" sheetId="2" r:id="rId2"/>
    <sheet name="型とバイト数" sheetId="3" r:id="rId3"/>
  </sheets>
  <definedNames>
    <definedName name="_xlnm._FilterDatabase" localSheetId="0" hidden="1">テーブル一覧!$A$1:$H$1</definedName>
    <definedName name="_xlnm._FilterDatabase" localSheetId="1" hidden="1">テーブル定義_一覧!$A$1:$U$277</definedName>
    <definedName name="_xlnm._FilterDatabase" localSheetId="2" hidden="1">型とバイト数!$A$2:$G$2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0" i="2" l="1"/>
  <c r="F262" i="2"/>
  <c r="F241" i="2"/>
  <c r="F232" i="2"/>
  <c r="F222" i="2"/>
  <c r="B222" i="2" s="1"/>
  <c r="F215" i="2"/>
  <c r="B215" i="2" s="1"/>
  <c r="F200" i="2"/>
  <c r="F184" i="2"/>
  <c r="B184" i="2" s="1"/>
  <c r="F176" i="2"/>
  <c r="F168" i="2"/>
  <c r="F154" i="2"/>
  <c r="F146" i="2"/>
  <c r="F135" i="2"/>
  <c r="B135" i="2" s="1"/>
  <c r="F124" i="2"/>
  <c r="B124" i="2" s="1"/>
  <c r="F115" i="2"/>
  <c r="B115" i="2" s="1"/>
  <c r="F105" i="2"/>
  <c r="F97" i="2"/>
  <c r="F89" i="2"/>
  <c r="B89" i="2" s="1"/>
  <c r="F78" i="2"/>
  <c r="F65" i="2"/>
  <c r="F55" i="2"/>
  <c r="B55" i="2" s="1"/>
  <c r="F45" i="2"/>
  <c r="B45" i="2" s="1"/>
  <c r="F37" i="2"/>
  <c r="B37" i="2" s="1"/>
  <c r="F29" i="2"/>
  <c r="B29" i="2" s="1"/>
  <c r="F22" i="2"/>
  <c r="F13" i="2"/>
  <c r="F2" i="2"/>
  <c r="E19" i="3"/>
  <c r="I4" i="2"/>
  <c r="I272" i="2"/>
  <c r="M269" i="2"/>
  <c r="I269" i="2"/>
  <c r="C269" i="2"/>
  <c r="M268" i="2"/>
  <c r="I268" i="2"/>
  <c r="C268" i="2"/>
  <c r="M267" i="2"/>
  <c r="I267" i="2"/>
  <c r="C267" i="2"/>
  <c r="M266" i="2"/>
  <c r="I266" i="2"/>
  <c r="C266" i="2"/>
  <c r="M265" i="2"/>
  <c r="I265" i="2"/>
  <c r="C265" i="2"/>
  <c r="C264" i="2"/>
  <c r="C263" i="2"/>
  <c r="M262" i="2"/>
  <c r="C262" i="2"/>
  <c r="B262" i="2"/>
  <c r="I6" i="2"/>
  <c r="I8" i="2"/>
  <c r="I9" i="2"/>
  <c r="I10" i="2"/>
  <c r="I11" i="2"/>
  <c r="I12" i="2"/>
  <c r="I14" i="2"/>
  <c r="I17" i="2"/>
  <c r="I18" i="2"/>
  <c r="I19" i="2"/>
  <c r="I20" i="2"/>
  <c r="I21" i="2"/>
  <c r="I24" i="2"/>
  <c r="I25" i="2"/>
  <c r="I26" i="2"/>
  <c r="I27" i="2"/>
  <c r="I28" i="2"/>
  <c r="I30" i="2"/>
  <c r="I31" i="2"/>
  <c r="I32" i="2"/>
  <c r="I33" i="2"/>
  <c r="I34" i="2"/>
  <c r="I35" i="2"/>
  <c r="I36" i="2"/>
  <c r="I38" i="2"/>
  <c r="I39" i="2"/>
  <c r="I40" i="2"/>
  <c r="I41" i="2"/>
  <c r="I42" i="2"/>
  <c r="I43" i="2"/>
  <c r="I44" i="2"/>
  <c r="I48" i="2"/>
  <c r="I50" i="2"/>
  <c r="I51" i="2"/>
  <c r="I52" i="2"/>
  <c r="I53" i="2"/>
  <c r="I54" i="2"/>
  <c r="I59" i="2"/>
  <c r="I60" i="2"/>
  <c r="I61" i="2"/>
  <c r="I62" i="2"/>
  <c r="I63" i="2"/>
  <c r="I64" i="2"/>
  <c r="I71" i="2"/>
  <c r="I73" i="2"/>
  <c r="I74" i="2"/>
  <c r="I75" i="2"/>
  <c r="I76" i="2"/>
  <c r="I77" i="2"/>
  <c r="I79" i="2"/>
  <c r="I80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8" i="2"/>
  <c r="I99" i="2"/>
  <c r="I100" i="2"/>
  <c r="I101" i="2"/>
  <c r="I102" i="2"/>
  <c r="I103" i="2"/>
  <c r="I104" i="2"/>
  <c r="I106" i="2"/>
  <c r="I107" i="2"/>
  <c r="I109" i="2"/>
  <c r="I110" i="2"/>
  <c r="I111" i="2"/>
  <c r="I112" i="2"/>
  <c r="I113" i="2"/>
  <c r="I114" i="2"/>
  <c r="I115" i="2"/>
  <c r="I119" i="2"/>
  <c r="I120" i="2"/>
  <c r="I121" i="2"/>
  <c r="I122" i="2"/>
  <c r="I123" i="2"/>
  <c r="I125" i="2"/>
  <c r="I126" i="2"/>
  <c r="I128" i="2"/>
  <c r="I129" i="2"/>
  <c r="I130" i="2"/>
  <c r="I131" i="2"/>
  <c r="I132" i="2"/>
  <c r="I133" i="2"/>
  <c r="I134" i="2"/>
  <c r="I139" i="2"/>
  <c r="I140" i="2"/>
  <c r="I141" i="2"/>
  <c r="I142" i="2"/>
  <c r="I143" i="2"/>
  <c r="I144" i="2"/>
  <c r="I145" i="2"/>
  <c r="I147" i="2"/>
  <c r="I148" i="2"/>
  <c r="I149" i="2"/>
  <c r="I150" i="2"/>
  <c r="I151" i="2"/>
  <c r="I152" i="2"/>
  <c r="I153" i="2"/>
  <c r="I155" i="2"/>
  <c r="I156" i="2"/>
  <c r="I158" i="2"/>
  <c r="I160" i="2"/>
  <c r="I163" i="2"/>
  <c r="I164" i="2"/>
  <c r="I165" i="2"/>
  <c r="I166" i="2"/>
  <c r="I167" i="2"/>
  <c r="I169" i="2"/>
  <c r="I170" i="2"/>
  <c r="I171" i="2"/>
  <c r="I172" i="2"/>
  <c r="I173" i="2"/>
  <c r="I174" i="2"/>
  <c r="I175" i="2"/>
  <c r="I177" i="2"/>
  <c r="I178" i="2"/>
  <c r="I179" i="2"/>
  <c r="I180" i="2"/>
  <c r="I181" i="2"/>
  <c r="I182" i="2"/>
  <c r="I183" i="2"/>
  <c r="I184" i="2"/>
  <c r="I187" i="2"/>
  <c r="I188" i="2"/>
  <c r="I189" i="2"/>
  <c r="I190" i="2"/>
  <c r="I194" i="2"/>
  <c r="I195" i="2"/>
  <c r="I196" i="2"/>
  <c r="I197" i="2"/>
  <c r="I198" i="2"/>
  <c r="I199" i="2"/>
  <c r="I201" i="2"/>
  <c r="I202" i="2"/>
  <c r="I203" i="2"/>
  <c r="I204" i="2"/>
  <c r="I205" i="2"/>
  <c r="I209" i="2"/>
  <c r="I210" i="2"/>
  <c r="I211" i="2"/>
  <c r="I212" i="2"/>
  <c r="I213" i="2"/>
  <c r="I214" i="2"/>
  <c r="I216" i="2"/>
  <c r="I217" i="2"/>
  <c r="I218" i="2"/>
  <c r="I219" i="2"/>
  <c r="I220" i="2"/>
  <c r="I221" i="2"/>
  <c r="I222" i="2"/>
  <c r="I225" i="2"/>
  <c r="I226" i="2"/>
  <c r="I227" i="2"/>
  <c r="I228" i="2"/>
  <c r="I229" i="2"/>
  <c r="I230" i="2"/>
  <c r="I231" i="2"/>
  <c r="I233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7" i="2"/>
  <c r="I258" i="2"/>
  <c r="I259" i="2"/>
  <c r="I260" i="2"/>
  <c r="I261" i="2"/>
  <c r="I273" i="2"/>
  <c r="I274" i="2"/>
  <c r="I275" i="2"/>
  <c r="I276" i="2"/>
  <c r="I277" i="2"/>
  <c r="I3" i="2"/>
  <c r="I2" i="2"/>
  <c r="B270" i="2"/>
  <c r="C270" i="2"/>
  <c r="C271" i="2"/>
  <c r="C272" i="2"/>
  <c r="M277" i="2"/>
  <c r="C277" i="2"/>
  <c r="M276" i="2"/>
  <c r="C276" i="2"/>
  <c r="M275" i="2"/>
  <c r="C275" i="2"/>
  <c r="M274" i="2"/>
  <c r="C274" i="2"/>
  <c r="M273" i="2"/>
  <c r="C273" i="2"/>
  <c r="M270" i="2"/>
  <c r="B13" i="2"/>
  <c r="B22" i="2"/>
  <c r="B65" i="2"/>
  <c r="B78" i="2"/>
  <c r="B97" i="2"/>
  <c r="B105" i="2"/>
  <c r="B146" i="2"/>
  <c r="B154" i="2"/>
  <c r="B168" i="2"/>
  <c r="B176" i="2"/>
  <c r="B200" i="2"/>
  <c r="B232" i="2"/>
  <c r="B241" i="2"/>
  <c r="B2" i="2"/>
  <c r="B28" i="1"/>
  <c r="C243" i="2"/>
  <c r="B27" i="1"/>
  <c r="C242" i="2"/>
  <c r="M261" i="2"/>
  <c r="C261" i="2"/>
  <c r="M260" i="2"/>
  <c r="C260" i="2"/>
  <c r="M259" i="2"/>
  <c r="C259" i="2"/>
  <c r="M258" i="2"/>
  <c r="C258" i="2"/>
  <c r="M257" i="2"/>
  <c r="C257" i="2"/>
  <c r="M256" i="2"/>
  <c r="C256" i="2"/>
  <c r="M255" i="2"/>
  <c r="C255" i="2"/>
  <c r="M254" i="2"/>
  <c r="C254" i="2"/>
  <c r="M253" i="2"/>
  <c r="C253" i="2"/>
  <c r="M252" i="2"/>
  <c r="C252" i="2"/>
  <c r="M251" i="2"/>
  <c r="C251" i="2"/>
  <c r="M250" i="2"/>
  <c r="C250" i="2"/>
  <c r="M249" i="2"/>
  <c r="C249" i="2"/>
  <c r="M248" i="2"/>
  <c r="C248" i="2"/>
  <c r="M247" i="2"/>
  <c r="C247" i="2"/>
  <c r="M246" i="2"/>
  <c r="C246" i="2"/>
  <c r="M245" i="2"/>
  <c r="C245" i="2"/>
  <c r="M244" i="2"/>
  <c r="C244" i="2"/>
  <c r="M241" i="2"/>
  <c r="C24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B24" i="1"/>
  <c r="B25" i="1"/>
  <c r="B26" i="1"/>
  <c r="E18" i="3"/>
  <c r="M3" i="2"/>
  <c r="M6" i="2"/>
  <c r="M8" i="2"/>
  <c r="M9" i="2"/>
  <c r="M10" i="2"/>
  <c r="M11" i="2"/>
  <c r="M12" i="2"/>
  <c r="M13" i="2"/>
  <c r="M14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8" i="2"/>
  <c r="M49" i="2"/>
  <c r="M50" i="2"/>
  <c r="M51" i="2"/>
  <c r="M52" i="2"/>
  <c r="M53" i="2"/>
  <c r="M54" i="2"/>
  <c r="M55" i="2"/>
  <c r="M58" i="2"/>
  <c r="M59" i="2"/>
  <c r="M60" i="2"/>
  <c r="M61" i="2"/>
  <c r="M62" i="2"/>
  <c r="M63" i="2"/>
  <c r="M64" i="2"/>
  <c r="M65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8" i="2"/>
  <c r="M119" i="2"/>
  <c r="M120" i="2"/>
  <c r="M121" i="2"/>
  <c r="M122" i="2"/>
  <c r="M123" i="2"/>
  <c r="M124" i="2"/>
  <c r="M125" i="2"/>
  <c r="M126" i="2"/>
  <c r="M128" i="2"/>
  <c r="M129" i="2"/>
  <c r="M130" i="2"/>
  <c r="M131" i="2"/>
  <c r="M132" i="2"/>
  <c r="M133" i="2"/>
  <c r="M134" i="2"/>
  <c r="M135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8" i="2"/>
  <c r="M160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5" i="2"/>
  <c r="M226" i="2"/>
  <c r="M227" i="2"/>
  <c r="M228" i="2"/>
  <c r="M229" i="2"/>
  <c r="M230" i="2"/>
  <c r="M231" i="2"/>
  <c r="M232" i="2"/>
  <c r="M233" i="2"/>
  <c r="M235" i="2"/>
  <c r="M236" i="2"/>
  <c r="M237" i="2"/>
  <c r="M238" i="2"/>
  <c r="M239" i="2"/>
  <c r="M240" i="2"/>
  <c r="M2" i="2"/>
  <c r="E54" i="3"/>
  <c r="E53" i="3"/>
  <c r="E52" i="3"/>
  <c r="E51" i="3"/>
  <c r="E50" i="3"/>
  <c r="E49" i="3"/>
  <c r="E48" i="3"/>
  <c r="E47" i="3"/>
  <c r="E46" i="3"/>
  <c r="E45" i="3"/>
  <c r="I68" i="2" s="1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7" i="3"/>
  <c r="E16" i="3"/>
  <c r="I256" i="2" s="1"/>
  <c r="E15" i="3"/>
  <c r="E14" i="3"/>
  <c r="E13" i="3"/>
  <c r="E12" i="3"/>
  <c r="I185" i="2" s="1"/>
  <c r="E11" i="3"/>
  <c r="E10" i="3"/>
  <c r="E9" i="3"/>
  <c r="E8" i="3"/>
  <c r="E7" i="3"/>
  <c r="E6" i="3"/>
  <c r="E5" i="3"/>
  <c r="E4" i="3"/>
  <c r="I192" i="2" s="1"/>
  <c r="E3" i="3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271" i="2" a="1"/>
  <c r="D216" i="2" a="1"/>
  <c r="E79" i="2" a="1"/>
  <c r="D185" i="2" a="1"/>
  <c r="E14" i="2" a="1"/>
  <c r="D233" i="2" a="1"/>
  <c r="D79" i="2" a="1"/>
  <c r="D201" i="2" a="1"/>
  <c r="E177" i="2" a="1"/>
  <c r="D38" i="2" a="1"/>
  <c r="D23" i="2" a="1"/>
  <c r="E30" i="2" a="1"/>
  <c r="D125" i="2" a="1"/>
  <c r="D98" i="2" a="1"/>
  <c r="E106" i="2" a="1"/>
  <c r="D136" i="2" a="1"/>
  <c r="E155" i="2" a="1"/>
  <c r="D90" i="2" a="1"/>
  <c r="D116" i="2" a="1"/>
  <c r="E216" i="2" a="1"/>
  <c r="E3" i="2" a="1"/>
  <c r="E46" i="2" a="1"/>
  <c r="E90" i="2" a="1"/>
  <c r="D56" i="2" a="1"/>
  <c r="D66" i="2" a="1"/>
  <c r="D169" i="2" a="1"/>
  <c r="E223" i="2" a="1"/>
  <c r="E38" i="2" a="1"/>
  <c r="E136" i="2" a="1"/>
  <c r="E98" i="2" a="1"/>
  <c r="D30" i="2" a="1"/>
  <c r="E263" i="2" a="1"/>
  <c r="D155" i="2" a="1"/>
  <c r="D106" i="2" a="1"/>
  <c r="E66" i="2" a="1"/>
  <c r="E147" i="2" a="1"/>
  <c r="D147" i="2" a="1"/>
  <c r="E242" i="2" a="1"/>
  <c r="E185" i="2" a="1"/>
  <c r="D263" i="2" a="1"/>
  <c r="E233" i="2" a="1"/>
  <c r="E201" i="2" a="1"/>
  <c r="E116" i="2" a="1"/>
  <c r="D242" i="2" a="1"/>
  <c r="E125" i="2" a="1"/>
  <c r="D177" i="2" a="1"/>
  <c r="D3" i="2" a="1"/>
  <c r="E23" i="2" a="1"/>
  <c r="E56" i="2" a="1"/>
  <c r="E169" i="2" a="1"/>
  <c r="D14" i="2" a="1"/>
  <c r="D46" i="2" a="1"/>
  <c r="E271" i="2" a="1"/>
  <c r="I45" i="2" l="1"/>
  <c r="I82" i="2"/>
  <c r="I83" i="2"/>
  <c r="I207" i="2"/>
  <c r="I154" i="2"/>
  <c r="I116" i="2"/>
  <c r="I117" i="2"/>
  <c r="I232" i="2"/>
  <c r="I206" i="2"/>
  <c r="I124" i="2"/>
  <c r="I72" i="2"/>
  <c r="I127" i="2"/>
  <c r="I97" i="2"/>
  <c r="I16" i="2"/>
  <c r="I136" i="2"/>
  <c r="I208" i="2"/>
  <c r="I70" i="2"/>
  <c r="I137" i="2"/>
  <c r="I69" i="2"/>
  <c r="I13" i="2"/>
  <c r="I138" i="2"/>
  <c r="I176" i="2"/>
  <c r="I65" i="2"/>
  <c r="I37" i="2"/>
  <c r="I157" i="2"/>
  <c r="I200" i="2"/>
  <c r="I159" i="2"/>
  <c r="I146" i="2"/>
  <c r="I118" i="2"/>
  <c r="I161" i="2"/>
  <c r="I162" i="2"/>
  <c r="I186" i="2"/>
  <c r="I223" i="2"/>
  <c r="I5" i="2"/>
  <c r="I224" i="2"/>
  <c r="I58" i="2"/>
  <c r="I7" i="2"/>
  <c r="I234" i="2"/>
  <c r="I193" i="2"/>
  <c r="I168" i="2"/>
  <c r="I55" i="2"/>
  <c r="I29" i="2"/>
  <c r="I262" i="2"/>
  <c r="I15" i="2"/>
  <c r="I46" i="2"/>
  <c r="I215" i="2"/>
  <c r="I191" i="2"/>
  <c r="I135" i="2"/>
  <c r="I108" i="2"/>
  <c r="I47" i="2"/>
  <c r="I242" i="2"/>
  <c r="I81" i="2"/>
  <c r="I56" i="2"/>
  <c r="I243" i="2"/>
  <c r="I270" i="2"/>
  <c r="I57" i="2"/>
  <c r="I263" i="2"/>
  <c r="I105" i="2"/>
  <c r="I66" i="2"/>
  <c r="I264" i="2"/>
  <c r="I78" i="2"/>
  <c r="I49" i="2"/>
  <c r="I23" i="2"/>
  <c r="I67" i="2"/>
  <c r="I271" i="2"/>
  <c r="I22" i="2"/>
  <c r="D263" i="2"/>
  <c r="E263" i="2"/>
  <c r="D271" i="2"/>
  <c r="B271" i="2" s="1"/>
  <c r="E271" i="2"/>
  <c r="D242" i="2"/>
  <c r="B242" i="2" s="1"/>
  <c r="E242" i="2"/>
  <c r="D233" i="2"/>
  <c r="B233" i="2" s="1"/>
  <c r="E233" i="2"/>
  <c r="E223" i="2"/>
  <c r="B223" i="2"/>
  <c r="D216" i="2"/>
  <c r="B216" i="2" s="1"/>
  <c r="E216" i="2"/>
  <c r="E201" i="2"/>
  <c r="D201" i="2"/>
  <c r="B201" i="2" s="1"/>
  <c r="D185" i="2"/>
  <c r="B185" i="2" s="1"/>
  <c r="E185" i="2"/>
  <c r="D177" i="2"/>
  <c r="B177" i="2" s="1"/>
  <c r="E177" i="2"/>
  <c r="D169" i="2"/>
  <c r="B169" i="2" s="1"/>
  <c r="E169" i="2"/>
  <c r="D155" i="2"/>
  <c r="B155" i="2" s="1"/>
  <c r="E155" i="2"/>
  <c r="E147" i="2"/>
  <c r="D147" i="2"/>
  <c r="B147" i="2" s="1"/>
  <c r="D136" i="2"/>
  <c r="B136" i="2" s="1"/>
  <c r="E136" i="2"/>
  <c r="D125" i="2"/>
  <c r="B125" i="2" s="1"/>
  <c r="E125" i="2"/>
  <c r="E116" i="2"/>
  <c r="D116" i="2"/>
  <c r="B116" i="2" s="1"/>
  <c r="D106" i="2"/>
  <c r="B106" i="2" s="1"/>
  <c r="E106" i="2"/>
  <c r="E98" i="2"/>
  <c r="D98" i="2"/>
  <c r="B98" i="2" s="1"/>
  <c r="D90" i="2"/>
  <c r="B90" i="2" s="1"/>
  <c r="E90" i="2"/>
  <c r="D79" i="2"/>
  <c r="B79" i="2" s="1"/>
  <c r="E79" i="2"/>
  <c r="D66" i="2"/>
  <c r="B66" i="2" s="1"/>
  <c r="E66" i="2"/>
  <c r="E56" i="2"/>
  <c r="D56" i="2"/>
  <c r="B56" i="2" s="1"/>
  <c r="D46" i="2"/>
  <c r="B46" i="2" s="1"/>
  <c r="E46" i="2"/>
  <c r="E38" i="2"/>
  <c r="D38" i="2"/>
  <c r="B38" i="2" s="1"/>
  <c r="D30" i="2"/>
  <c r="B30" i="2" s="1"/>
  <c r="E30" i="2"/>
  <c r="E23" i="2"/>
  <c r="D23" i="2"/>
  <c r="B23" i="2" s="1"/>
  <c r="D14" i="2"/>
  <c r="B14" i="2" s="1"/>
  <c r="E14" i="2"/>
  <c r="E3" i="2"/>
  <c r="D3" i="2"/>
  <c r="B3" i="2" s="1"/>
  <c r="E234" i="2" a="1"/>
  <c r="E156" i="2" a="1"/>
  <c r="E224" i="2" a="1"/>
  <c r="D4" i="2" a="1"/>
  <c r="E178" i="2" a="1"/>
  <c r="E39" i="2" a="1"/>
  <c r="D91" i="2" a="1"/>
  <c r="E24" i="2" a="1"/>
  <c r="E264" i="2" a="1"/>
  <c r="E148" i="2" a="1"/>
  <c r="E80" i="2" a="1"/>
  <c r="D67" i="2" a="1"/>
  <c r="D148" i="2" a="1"/>
  <c r="D234" i="2" a="1"/>
  <c r="E137" i="2" a="1"/>
  <c r="D272" i="2" a="1"/>
  <c r="E91" i="2" a="1"/>
  <c r="E4" i="2" a="1"/>
  <c r="D224" i="2" a="1"/>
  <c r="D39" i="2" a="1"/>
  <c r="E126" i="2" a="1"/>
  <c r="E202" i="2" a="1"/>
  <c r="D31" i="2" a="1"/>
  <c r="E67" i="2" a="1"/>
  <c r="E15" i="2" a="1"/>
  <c r="E170" i="2" a="1"/>
  <c r="D99" i="2" a="1"/>
  <c r="D15" i="2" a="1"/>
  <c r="E31" i="2" a="1"/>
  <c r="E186" i="2" a="1"/>
  <c r="D243" i="2" a="1"/>
  <c r="D202" i="2" a="1"/>
  <c r="D156" i="2" a="1"/>
  <c r="D126" i="2" a="1"/>
  <c r="E99" i="2" a="1"/>
  <c r="D170" i="2" a="1"/>
  <c r="D264" i="2" a="1"/>
  <c r="E57" i="2" a="1"/>
  <c r="D217" i="2" a="1"/>
  <c r="D117" i="2" a="1"/>
  <c r="E272" i="2" a="1"/>
  <c r="D107" i="2" a="1"/>
  <c r="D24" i="2" a="1"/>
  <c r="D186" i="2" a="1"/>
  <c r="D47" i="2" a="1"/>
  <c r="E117" i="2" a="1"/>
  <c r="E47" i="2" a="1"/>
  <c r="E107" i="2" a="1"/>
  <c r="E243" i="2" a="1"/>
  <c r="D80" i="2" a="1"/>
  <c r="D57" i="2" a="1"/>
  <c r="E217" i="2" a="1"/>
  <c r="D137" i="2" a="1"/>
  <c r="D178" i="2" a="1"/>
  <c r="E264" i="2" l="1"/>
  <c r="D264" i="2"/>
  <c r="B263" i="2"/>
  <c r="E272" i="2"/>
  <c r="D272" i="2"/>
  <c r="B272" i="2" s="1"/>
  <c r="D243" i="2"/>
  <c r="B243" i="2" s="1"/>
  <c r="E243" i="2"/>
  <c r="E234" i="2"/>
  <c r="D234" i="2"/>
  <c r="B234" i="2" s="1"/>
  <c r="E224" i="2"/>
  <c r="D224" i="2"/>
  <c r="B224" i="2" s="1"/>
  <c r="D217" i="2"/>
  <c r="B217" i="2" s="1"/>
  <c r="E217" i="2"/>
  <c r="E202" i="2"/>
  <c r="D202" i="2"/>
  <c r="B202" i="2" s="1"/>
  <c r="D186" i="2"/>
  <c r="B186" i="2" s="1"/>
  <c r="E186" i="2"/>
  <c r="D178" i="2"/>
  <c r="B178" i="2" s="1"/>
  <c r="E178" i="2"/>
  <c r="D170" i="2"/>
  <c r="B170" i="2" s="1"/>
  <c r="E170" i="2"/>
  <c r="D156" i="2"/>
  <c r="B156" i="2" s="1"/>
  <c r="E156" i="2"/>
  <c r="E148" i="2"/>
  <c r="D148" i="2"/>
  <c r="B148" i="2" s="1"/>
  <c r="D137" i="2"/>
  <c r="B137" i="2" s="1"/>
  <c r="E137" i="2"/>
  <c r="D126" i="2"/>
  <c r="B126" i="2" s="1"/>
  <c r="E126" i="2"/>
  <c r="E117" i="2"/>
  <c r="D117" i="2"/>
  <c r="B117" i="2" s="1"/>
  <c r="D107" i="2"/>
  <c r="B107" i="2" s="1"/>
  <c r="E107" i="2"/>
  <c r="E99" i="2"/>
  <c r="D99" i="2"/>
  <c r="B99" i="2" s="1"/>
  <c r="D91" i="2"/>
  <c r="B91" i="2" s="1"/>
  <c r="E91" i="2"/>
  <c r="D80" i="2"/>
  <c r="B80" i="2" s="1"/>
  <c r="E80" i="2"/>
  <c r="D67" i="2"/>
  <c r="B67" i="2" s="1"/>
  <c r="E67" i="2"/>
  <c r="E57" i="2"/>
  <c r="D57" i="2"/>
  <c r="B57" i="2" s="1"/>
  <c r="D47" i="2"/>
  <c r="B47" i="2" s="1"/>
  <c r="E47" i="2"/>
  <c r="E39" i="2"/>
  <c r="D39" i="2"/>
  <c r="B39" i="2" s="1"/>
  <c r="D31" i="2"/>
  <c r="B31" i="2" s="1"/>
  <c r="E31" i="2"/>
  <c r="E24" i="2"/>
  <c r="D24" i="2"/>
  <c r="B24" i="2" s="1"/>
  <c r="D15" i="2"/>
  <c r="B15" i="2" s="1"/>
  <c r="E15" i="2"/>
  <c r="E4" i="2"/>
  <c r="D4" i="2"/>
  <c r="B4" i="2" s="1"/>
  <c r="E118" i="2" a="1"/>
  <c r="D16" i="2" a="1"/>
  <c r="D92" i="2" a="1"/>
  <c r="E127" i="2" a="1"/>
  <c r="E218" i="2" a="1"/>
  <c r="E48" i="2" a="1"/>
  <c r="D25" i="2" a="1"/>
  <c r="D100" i="2" a="1"/>
  <c r="D157" i="2" a="1"/>
  <c r="D171" i="2" a="1"/>
  <c r="D127" i="2" a="1"/>
  <c r="E171" i="2" a="1"/>
  <c r="D108" i="2" a="1"/>
  <c r="E5" i="2" a="1"/>
  <c r="E273" i="2" a="1"/>
  <c r="D118" i="2" a="1"/>
  <c r="D58" i="2" a="1"/>
  <c r="E25" i="2" a="1"/>
  <c r="E32" i="2" a="1"/>
  <c r="E157" i="2" a="1"/>
  <c r="D32" i="2" a="1"/>
  <c r="E187" i="2" a="1"/>
  <c r="D203" i="2" a="1"/>
  <c r="E92" i="2" a="1"/>
  <c r="E149" i="2" a="1"/>
  <c r="D265" i="2" a="1"/>
  <c r="D273" i="2" a="1"/>
  <c r="E16" i="2" a="1"/>
  <c r="D149" i="2" a="1"/>
  <c r="E108" i="2" a="1"/>
  <c r="D138" i="2" a="1"/>
  <c r="E179" i="2" a="1"/>
  <c r="E58" i="2" a="1"/>
  <c r="D68" i="2" a="1"/>
  <c r="E235" i="2" a="1"/>
  <c r="D48" i="2" a="1"/>
  <c r="E244" i="2" a="1"/>
  <c r="D218" i="2" a="1"/>
  <c r="D187" i="2" a="1"/>
  <c r="E225" i="2" a="1"/>
  <c r="E40" i="2" a="1"/>
  <c r="E100" i="2" a="1"/>
  <c r="D235" i="2" a="1"/>
  <c r="D81" i="2" a="1"/>
  <c r="D40" i="2" a="1"/>
  <c r="D179" i="2" a="1"/>
  <c r="E203" i="2" a="1"/>
  <c r="E81" i="2" a="1"/>
  <c r="E138" i="2" a="1"/>
  <c r="D225" i="2" a="1"/>
  <c r="E68" i="2" a="1"/>
  <c r="D5" i="2" a="1"/>
  <c r="E265" i="2" a="1"/>
  <c r="D244" i="2" a="1"/>
  <c r="D265" i="2" l="1"/>
  <c r="E265" i="2"/>
  <c r="B264" i="2"/>
  <c r="D273" i="2"/>
  <c r="E273" i="2"/>
  <c r="E244" i="2"/>
  <c r="D244" i="2"/>
  <c r="B244" i="2" s="1"/>
  <c r="D235" i="2"/>
  <c r="B235" i="2" s="1"/>
  <c r="E235" i="2"/>
  <c r="E225" i="2"/>
  <c r="D225" i="2"/>
  <c r="B225" i="2" s="1"/>
  <c r="D218" i="2"/>
  <c r="B218" i="2" s="1"/>
  <c r="E218" i="2"/>
  <c r="E203" i="2"/>
  <c r="D203" i="2"/>
  <c r="B203" i="2" s="1"/>
  <c r="D187" i="2"/>
  <c r="B187" i="2" s="1"/>
  <c r="E187" i="2"/>
  <c r="D179" i="2"/>
  <c r="B179" i="2" s="1"/>
  <c r="E179" i="2"/>
  <c r="D171" i="2"/>
  <c r="B171" i="2" s="1"/>
  <c r="E171" i="2"/>
  <c r="D157" i="2"/>
  <c r="B157" i="2" s="1"/>
  <c r="E157" i="2"/>
  <c r="E149" i="2"/>
  <c r="D149" i="2"/>
  <c r="B149" i="2" s="1"/>
  <c r="D138" i="2"/>
  <c r="B138" i="2" s="1"/>
  <c r="E138" i="2"/>
  <c r="D127" i="2"/>
  <c r="B127" i="2" s="1"/>
  <c r="E127" i="2"/>
  <c r="E118" i="2"/>
  <c r="D118" i="2"/>
  <c r="B118" i="2" s="1"/>
  <c r="D108" i="2"/>
  <c r="B108" i="2" s="1"/>
  <c r="E108" i="2"/>
  <c r="E100" i="2"/>
  <c r="D100" i="2"/>
  <c r="B100" i="2" s="1"/>
  <c r="D92" i="2"/>
  <c r="B92" i="2" s="1"/>
  <c r="E92" i="2"/>
  <c r="D81" i="2"/>
  <c r="B81" i="2" s="1"/>
  <c r="E81" i="2"/>
  <c r="D68" i="2"/>
  <c r="B68" i="2" s="1"/>
  <c r="E68" i="2"/>
  <c r="E58" i="2"/>
  <c r="D58" i="2"/>
  <c r="B58" i="2" s="1"/>
  <c r="D48" i="2"/>
  <c r="B48" i="2" s="1"/>
  <c r="E48" i="2"/>
  <c r="E40" i="2"/>
  <c r="D40" i="2"/>
  <c r="B40" i="2" s="1"/>
  <c r="D32" i="2"/>
  <c r="B32" i="2" s="1"/>
  <c r="E32" i="2"/>
  <c r="E25" i="2"/>
  <c r="D25" i="2"/>
  <c r="B25" i="2" s="1"/>
  <c r="D16" i="2"/>
  <c r="B16" i="2" s="1"/>
  <c r="E16" i="2"/>
  <c r="E5" i="2"/>
  <c r="D5" i="2"/>
  <c r="B5" i="2" s="1"/>
  <c r="D59" i="2" a="1"/>
  <c r="E109" i="2" a="1"/>
  <c r="D69" i="2" a="1"/>
  <c r="E128" i="2" a="1"/>
  <c r="D119" i="2" a="1"/>
  <c r="D245" i="2" a="1"/>
  <c r="D128" i="2" a="1"/>
  <c r="D204" i="2" a="1"/>
  <c r="E82" i="2" a="1"/>
  <c r="D226" i="2" a="1"/>
  <c r="E219" i="2" a="1"/>
  <c r="E6" i="2" a="1"/>
  <c r="E188" i="2" a="1"/>
  <c r="D188" i="2" a="1"/>
  <c r="D49" i="2" a="1"/>
  <c r="D274" i="2" a="1"/>
  <c r="D82" i="2" a="1"/>
  <c r="D33" i="2" a="1"/>
  <c r="D17" i="2" a="1"/>
  <c r="D158" i="2" a="1"/>
  <c r="D26" i="2" a="1"/>
  <c r="E274" i="2" a="1"/>
  <c r="D236" i="2" a="1"/>
  <c r="D266" i="2" a="1"/>
  <c r="D219" i="2" a="1"/>
  <c r="E119" i="2" a="1"/>
  <c r="E139" i="2" a="1"/>
  <c r="D172" i="2" a="1"/>
  <c r="E93" i="2" a="1"/>
  <c r="D93" i="2" a="1"/>
  <c r="E266" i="2" a="1"/>
  <c r="E204" i="2" a="1"/>
  <c r="E101" i="2" a="1"/>
  <c r="E33" i="2" a="1"/>
  <c r="E226" i="2" a="1"/>
  <c r="E180" i="2" a="1"/>
  <c r="E158" i="2" a="1"/>
  <c r="D139" i="2" a="1"/>
  <c r="D101" i="2" a="1"/>
  <c r="E69" i="2" a="1"/>
  <c r="E236" i="2" a="1"/>
  <c r="E17" i="2" a="1"/>
  <c r="E59" i="2" a="1"/>
  <c r="D109" i="2" a="1"/>
  <c r="E49" i="2" a="1"/>
  <c r="D41" i="2" a="1"/>
  <c r="E150" i="2" a="1"/>
  <c r="E245" i="2" a="1"/>
  <c r="D6" i="2" a="1"/>
  <c r="E172" i="2" a="1"/>
  <c r="D150" i="2" a="1"/>
  <c r="E26" i="2" a="1"/>
  <c r="E41" i="2" a="1"/>
  <c r="D180" i="2" a="1"/>
  <c r="E266" i="2" l="1"/>
  <c r="D266" i="2"/>
  <c r="B265" i="2"/>
  <c r="E274" i="2"/>
  <c r="D274" i="2"/>
  <c r="B273" i="2"/>
  <c r="D245" i="2"/>
  <c r="B245" i="2" s="1"/>
  <c r="E245" i="2"/>
  <c r="E236" i="2"/>
  <c r="D236" i="2"/>
  <c r="B236" i="2" s="1"/>
  <c r="E226" i="2"/>
  <c r="D226" i="2"/>
  <c r="B226" i="2" s="1"/>
  <c r="D219" i="2"/>
  <c r="B219" i="2" s="1"/>
  <c r="E219" i="2"/>
  <c r="E204" i="2"/>
  <c r="D204" i="2"/>
  <c r="B204" i="2" s="1"/>
  <c r="D188" i="2"/>
  <c r="B188" i="2" s="1"/>
  <c r="E188" i="2"/>
  <c r="D180" i="2"/>
  <c r="B180" i="2" s="1"/>
  <c r="E180" i="2"/>
  <c r="D172" i="2"/>
  <c r="B172" i="2" s="1"/>
  <c r="E172" i="2"/>
  <c r="D158" i="2"/>
  <c r="B158" i="2" s="1"/>
  <c r="E158" i="2"/>
  <c r="E150" i="2"/>
  <c r="D150" i="2"/>
  <c r="B150" i="2" s="1"/>
  <c r="D139" i="2"/>
  <c r="B139" i="2" s="1"/>
  <c r="E139" i="2"/>
  <c r="D128" i="2"/>
  <c r="B128" i="2" s="1"/>
  <c r="E128" i="2"/>
  <c r="E119" i="2"/>
  <c r="D119" i="2"/>
  <c r="B119" i="2" s="1"/>
  <c r="D109" i="2"/>
  <c r="B109" i="2" s="1"/>
  <c r="E109" i="2"/>
  <c r="E101" i="2"/>
  <c r="D101" i="2"/>
  <c r="B101" i="2" s="1"/>
  <c r="D93" i="2"/>
  <c r="B93" i="2" s="1"/>
  <c r="E93" i="2"/>
  <c r="D82" i="2"/>
  <c r="B82" i="2" s="1"/>
  <c r="E82" i="2"/>
  <c r="D69" i="2"/>
  <c r="B69" i="2" s="1"/>
  <c r="E69" i="2"/>
  <c r="E59" i="2"/>
  <c r="D59" i="2"/>
  <c r="B59" i="2" s="1"/>
  <c r="D49" i="2"/>
  <c r="B49" i="2" s="1"/>
  <c r="E49" i="2"/>
  <c r="E41" i="2"/>
  <c r="D41" i="2"/>
  <c r="B41" i="2" s="1"/>
  <c r="D33" i="2"/>
  <c r="B33" i="2" s="1"/>
  <c r="E33" i="2"/>
  <c r="E26" i="2"/>
  <c r="D26" i="2"/>
  <c r="B26" i="2" s="1"/>
  <c r="D17" i="2"/>
  <c r="B17" i="2" s="1"/>
  <c r="E17" i="2"/>
  <c r="E6" i="2"/>
  <c r="D6" i="2"/>
  <c r="B6" i="2" s="1"/>
  <c r="D70" i="2" a="1"/>
  <c r="D83" i="2" a="1"/>
  <c r="D34" i="2" a="1"/>
  <c r="D94" i="2" a="1"/>
  <c r="E70" i="2" a="1"/>
  <c r="E246" i="2" a="1"/>
  <c r="D50" i="2" a="1"/>
  <c r="E60" i="2" a="1"/>
  <c r="D151" i="2" a="1"/>
  <c r="E34" i="2" a="1"/>
  <c r="D129" i="2" a="1"/>
  <c r="E227" i="2" a="1"/>
  <c r="E27" i="2" a="1"/>
  <c r="E220" i="2" a="1"/>
  <c r="E205" i="2" a="1"/>
  <c r="D267" i="2" a="1"/>
  <c r="D220" i="2" a="1"/>
  <c r="E18" i="2" a="1"/>
  <c r="D120" i="2" a="1"/>
  <c r="E237" i="2" a="1"/>
  <c r="D173" i="2" a="1"/>
  <c r="E189" i="2" a="1"/>
  <c r="D140" i="2" a="1"/>
  <c r="E110" i="2" a="1"/>
  <c r="E173" i="2" a="1"/>
  <c r="E159" i="2" a="1"/>
  <c r="D102" i="2" a="1"/>
  <c r="D18" i="2" a="1"/>
  <c r="D246" i="2" a="1"/>
  <c r="D189" i="2" a="1"/>
  <c r="E83" i="2" a="1"/>
  <c r="E42" i="2" a="1"/>
  <c r="E140" i="2" a="1"/>
  <c r="D275" i="2" a="1"/>
  <c r="D27" i="2" a="1"/>
  <c r="D237" i="2" a="1"/>
  <c r="E102" i="2" a="1"/>
  <c r="D159" i="2" a="1"/>
  <c r="D42" i="2" a="1"/>
  <c r="D181" i="2" a="1"/>
  <c r="E267" i="2" a="1"/>
  <c r="E181" i="2" a="1"/>
  <c r="E120" i="2" a="1"/>
  <c r="E50" i="2" a="1"/>
  <c r="E151" i="2" a="1"/>
  <c r="D60" i="2" a="1"/>
  <c r="E129" i="2" a="1"/>
  <c r="D110" i="2" a="1"/>
  <c r="D205" i="2" a="1"/>
  <c r="E275" i="2" a="1"/>
  <c r="E94" i="2" a="1"/>
  <c r="D227" i="2" a="1"/>
  <c r="D267" i="2" l="1"/>
  <c r="E267" i="2"/>
  <c r="B266" i="2"/>
  <c r="D275" i="2"/>
  <c r="E275" i="2"/>
  <c r="B274" i="2"/>
  <c r="E246" i="2"/>
  <c r="D246" i="2"/>
  <c r="B246" i="2" s="1"/>
  <c r="D237" i="2"/>
  <c r="B237" i="2" s="1"/>
  <c r="E237" i="2"/>
  <c r="E227" i="2"/>
  <c r="D227" i="2"/>
  <c r="B227" i="2" s="1"/>
  <c r="D220" i="2"/>
  <c r="B220" i="2" s="1"/>
  <c r="E220" i="2"/>
  <c r="E205" i="2"/>
  <c r="D205" i="2"/>
  <c r="B205" i="2" s="1"/>
  <c r="D189" i="2"/>
  <c r="B189" i="2" s="1"/>
  <c r="E189" i="2"/>
  <c r="D181" i="2"/>
  <c r="B181" i="2" s="1"/>
  <c r="E181" i="2"/>
  <c r="D173" i="2"/>
  <c r="B173" i="2" s="1"/>
  <c r="E173" i="2"/>
  <c r="D159" i="2"/>
  <c r="B159" i="2" s="1"/>
  <c r="E159" i="2"/>
  <c r="E151" i="2"/>
  <c r="D151" i="2"/>
  <c r="B151" i="2" s="1"/>
  <c r="D140" i="2"/>
  <c r="B140" i="2" s="1"/>
  <c r="E140" i="2"/>
  <c r="D129" i="2"/>
  <c r="B129" i="2" s="1"/>
  <c r="E129" i="2"/>
  <c r="E120" i="2"/>
  <c r="D120" i="2"/>
  <c r="B120" i="2" s="1"/>
  <c r="D110" i="2"/>
  <c r="B110" i="2" s="1"/>
  <c r="E110" i="2"/>
  <c r="E102" i="2"/>
  <c r="D102" i="2"/>
  <c r="B102" i="2" s="1"/>
  <c r="D94" i="2"/>
  <c r="B94" i="2" s="1"/>
  <c r="E94" i="2"/>
  <c r="D83" i="2"/>
  <c r="B83" i="2" s="1"/>
  <c r="E83" i="2"/>
  <c r="D70" i="2"/>
  <c r="B70" i="2" s="1"/>
  <c r="E70" i="2"/>
  <c r="E60" i="2"/>
  <c r="D60" i="2"/>
  <c r="B60" i="2" s="1"/>
  <c r="D50" i="2"/>
  <c r="B50" i="2" s="1"/>
  <c r="E50" i="2"/>
  <c r="E42" i="2"/>
  <c r="D42" i="2"/>
  <c r="B42" i="2" s="1"/>
  <c r="D34" i="2"/>
  <c r="B34" i="2" s="1"/>
  <c r="E34" i="2"/>
  <c r="E27" i="2"/>
  <c r="D27" i="2"/>
  <c r="B27" i="2" s="1"/>
  <c r="D18" i="2"/>
  <c r="B18" i="2" s="1"/>
  <c r="E18" i="2"/>
  <c r="E61" i="2" a="1"/>
  <c r="E141" i="2" a="1"/>
  <c r="E238" i="2" a="1"/>
  <c r="D43" i="2" a="1"/>
  <c r="D35" i="2" a="1"/>
  <c r="D7" i="2" a="1"/>
  <c r="E206" i="2" a="1"/>
  <c r="D95" i="2" a="1"/>
  <c r="D152" i="2" a="1"/>
  <c r="D71" i="2" a="1"/>
  <c r="E7" i="2" a="1"/>
  <c r="D130" i="2" a="1"/>
  <c r="E35" i="2" a="1"/>
  <c r="D174" i="2" a="1"/>
  <c r="E268" i="2" a="1"/>
  <c r="D103" i="2" a="1"/>
  <c r="D221" i="2" a="1"/>
  <c r="E28" i="2" a="1"/>
  <c r="D84" i="2" a="1"/>
  <c r="E71" i="2" a="1"/>
  <c r="E190" i="2" a="1"/>
  <c r="D111" i="2" a="1"/>
  <c r="D182" i="2" a="1"/>
  <c r="D141" i="2" a="1"/>
  <c r="E121" i="2" a="1"/>
  <c r="D160" i="2" a="1"/>
  <c r="E95" i="2" a="1"/>
  <c r="D28" i="2" a="1"/>
  <c r="D276" i="2" a="1"/>
  <c r="E221" i="2" a="1"/>
  <c r="E228" i="2" a="1"/>
  <c r="D238" i="2" a="1"/>
  <c r="D61" i="2" a="1"/>
  <c r="D190" i="2" a="1"/>
  <c r="E276" i="2" a="1"/>
  <c r="E130" i="2" a="1"/>
  <c r="D206" i="2" a="1"/>
  <c r="D228" i="2" a="1"/>
  <c r="E43" i="2" a="1"/>
  <c r="E51" i="2" a="1"/>
  <c r="E103" i="2" a="1"/>
  <c r="E111" i="2" a="1"/>
  <c r="E152" i="2" a="1"/>
  <c r="D268" i="2" a="1"/>
  <c r="E174" i="2" a="1"/>
  <c r="E182" i="2" a="1"/>
  <c r="E19" i="2" a="1"/>
  <c r="D19" i="2" a="1"/>
  <c r="D121" i="2" a="1"/>
  <c r="E160" i="2" a="1"/>
  <c r="E84" i="2" a="1"/>
  <c r="D51" i="2" a="1"/>
  <c r="E268" i="2" l="1"/>
  <c r="D268" i="2"/>
  <c r="B267" i="2"/>
  <c r="E276" i="2"/>
  <c r="D276" i="2"/>
  <c r="B275" i="2"/>
  <c r="E238" i="2"/>
  <c r="D238" i="2"/>
  <c r="B238" i="2" s="1"/>
  <c r="E228" i="2"/>
  <c r="D228" i="2"/>
  <c r="B228" i="2" s="1"/>
  <c r="D221" i="2"/>
  <c r="B221" i="2" s="1"/>
  <c r="E221" i="2"/>
  <c r="E206" i="2"/>
  <c r="D206" i="2"/>
  <c r="B206" i="2" s="1"/>
  <c r="D190" i="2"/>
  <c r="B190" i="2" s="1"/>
  <c r="E190" i="2"/>
  <c r="D182" i="2"/>
  <c r="B182" i="2" s="1"/>
  <c r="E182" i="2"/>
  <c r="D174" i="2"/>
  <c r="B174" i="2" s="1"/>
  <c r="E174" i="2"/>
  <c r="D160" i="2"/>
  <c r="B160" i="2" s="1"/>
  <c r="E160" i="2"/>
  <c r="E152" i="2"/>
  <c r="D152" i="2"/>
  <c r="B152" i="2" s="1"/>
  <c r="D141" i="2"/>
  <c r="B141" i="2" s="1"/>
  <c r="E141" i="2"/>
  <c r="D130" i="2"/>
  <c r="B130" i="2" s="1"/>
  <c r="E130" i="2"/>
  <c r="E121" i="2"/>
  <c r="D121" i="2"/>
  <c r="B121" i="2" s="1"/>
  <c r="D111" i="2"/>
  <c r="B111" i="2" s="1"/>
  <c r="E111" i="2"/>
  <c r="E103" i="2"/>
  <c r="D103" i="2"/>
  <c r="B103" i="2" s="1"/>
  <c r="D95" i="2"/>
  <c r="B95" i="2" s="1"/>
  <c r="E95" i="2"/>
  <c r="D84" i="2"/>
  <c r="B84" i="2" s="1"/>
  <c r="E84" i="2"/>
  <c r="D71" i="2"/>
  <c r="B71" i="2" s="1"/>
  <c r="E71" i="2"/>
  <c r="E61" i="2"/>
  <c r="D61" i="2"/>
  <c r="B61" i="2" s="1"/>
  <c r="D51" i="2"/>
  <c r="B51" i="2" s="1"/>
  <c r="E51" i="2"/>
  <c r="E43" i="2"/>
  <c r="D43" i="2"/>
  <c r="B43" i="2" s="1"/>
  <c r="D35" i="2"/>
  <c r="B35" i="2" s="1"/>
  <c r="E35" i="2"/>
  <c r="E28" i="2"/>
  <c r="D28" i="2"/>
  <c r="B28" i="2" s="1"/>
  <c r="D19" i="2"/>
  <c r="B19" i="2" s="1"/>
  <c r="E19" i="2"/>
  <c r="E7" i="2"/>
  <c r="D7" i="2"/>
  <c r="B7" i="2" s="1"/>
  <c r="E277" i="2" a="1"/>
  <c r="D183" i="2" a="1"/>
  <c r="E44" i="2" a="1"/>
  <c r="D191" i="2" a="1"/>
  <c r="D153" i="2" a="1"/>
  <c r="E112" i="2" a="1"/>
  <c r="E52" i="2" a="1"/>
  <c r="E36" i="2" a="1"/>
  <c r="D52" i="2" a="1"/>
  <c r="E247" i="2" a="1"/>
  <c r="E142" i="2" a="1"/>
  <c r="D247" i="2" a="1"/>
  <c r="E72" i="2" a="1"/>
  <c r="D85" i="2" a="1"/>
  <c r="D36" i="2" a="1"/>
  <c r="E122" i="2" a="1"/>
  <c r="D44" i="2" a="1"/>
  <c r="D96" i="2" a="1"/>
  <c r="E229" i="2" a="1"/>
  <c r="D104" i="2" a="1"/>
  <c r="D277" i="2" a="1"/>
  <c r="D175" i="2" a="1"/>
  <c r="E104" i="2" a="1"/>
  <c r="E85" i="2" a="1"/>
  <c r="D122" i="2" a="1"/>
  <c r="D62" i="2" a="1"/>
  <c r="E62" i="2" a="1"/>
  <c r="E96" i="2" a="1"/>
  <c r="D20" i="2" a="1"/>
  <c r="E153" i="2" a="1"/>
  <c r="D229" i="2" a="1"/>
  <c r="E131" i="2" a="1"/>
  <c r="E175" i="2" a="1"/>
  <c r="E191" i="2" a="1"/>
  <c r="E239" i="2" a="1"/>
  <c r="E269" i="2" a="1"/>
  <c r="D112" i="2" a="1"/>
  <c r="D239" i="2" a="1"/>
  <c r="D207" i="2" a="1"/>
  <c r="E20" i="2" a="1"/>
  <c r="D269" i="2" a="1"/>
  <c r="D142" i="2" a="1"/>
  <c r="E183" i="2" a="1"/>
  <c r="D72" i="2" a="1"/>
  <c r="E207" i="2" a="1"/>
  <c r="D131" i="2" a="1"/>
  <c r="D269" i="2" l="1"/>
  <c r="B269" i="2" s="1"/>
  <c r="E269" i="2"/>
  <c r="B268" i="2"/>
  <c r="D277" i="2"/>
  <c r="B277" i="2" s="1"/>
  <c r="E277" i="2"/>
  <c r="B276" i="2"/>
  <c r="E247" i="2"/>
  <c r="D247" i="2"/>
  <c r="B247" i="2" s="1"/>
  <c r="D239" i="2"/>
  <c r="B239" i="2" s="1"/>
  <c r="E239" i="2"/>
  <c r="E229" i="2"/>
  <c r="D229" i="2"/>
  <c r="B229" i="2" s="1"/>
  <c r="E207" i="2"/>
  <c r="D207" i="2"/>
  <c r="B207" i="2" s="1"/>
  <c r="D191" i="2"/>
  <c r="B191" i="2" s="1"/>
  <c r="E191" i="2"/>
  <c r="D183" i="2"/>
  <c r="B183" i="2" s="1"/>
  <c r="E183" i="2"/>
  <c r="D175" i="2"/>
  <c r="B175" i="2" s="1"/>
  <c r="E175" i="2"/>
  <c r="E153" i="2"/>
  <c r="D153" i="2"/>
  <c r="B153" i="2" s="1"/>
  <c r="D142" i="2"/>
  <c r="B142" i="2" s="1"/>
  <c r="E142" i="2"/>
  <c r="D131" i="2"/>
  <c r="B131" i="2" s="1"/>
  <c r="E131" i="2"/>
  <c r="E122" i="2"/>
  <c r="D122" i="2"/>
  <c r="B122" i="2" s="1"/>
  <c r="D112" i="2"/>
  <c r="B112" i="2" s="1"/>
  <c r="E112" i="2"/>
  <c r="E104" i="2"/>
  <c r="D104" i="2"/>
  <c r="B104" i="2" s="1"/>
  <c r="D96" i="2"/>
  <c r="B96" i="2" s="1"/>
  <c r="E96" i="2"/>
  <c r="D85" i="2"/>
  <c r="B85" i="2" s="1"/>
  <c r="E85" i="2"/>
  <c r="D72" i="2"/>
  <c r="B72" i="2" s="1"/>
  <c r="E72" i="2"/>
  <c r="E62" i="2"/>
  <c r="D62" i="2"/>
  <c r="B62" i="2" s="1"/>
  <c r="D52" i="2"/>
  <c r="B52" i="2" s="1"/>
  <c r="E52" i="2"/>
  <c r="E44" i="2"/>
  <c r="D44" i="2"/>
  <c r="B44" i="2" s="1"/>
  <c r="D36" i="2"/>
  <c r="B36" i="2" s="1"/>
  <c r="E36" i="2"/>
  <c r="D20" i="2"/>
  <c r="B20" i="2" s="1"/>
  <c r="E20" i="2"/>
  <c r="D53" i="2" a="1"/>
  <c r="E73" i="2" a="1"/>
  <c r="E113" i="2" a="1"/>
  <c r="D8" i="2" a="1"/>
  <c r="E143" i="2" a="1"/>
  <c r="D248" i="2" a="1"/>
  <c r="D240" i="2" a="1"/>
  <c r="E208" i="2" a="1"/>
  <c r="E132" i="2" a="1"/>
  <c r="D132" i="2" a="1"/>
  <c r="D143" i="2" a="1"/>
  <c r="E248" i="2" a="1"/>
  <c r="D86" i="2" a="1"/>
  <c r="E63" i="2" a="1"/>
  <c r="D21" i="2" a="1"/>
  <c r="D73" i="2" a="1"/>
  <c r="D123" i="2" a="1"/>
  <c r="E240" i="2" a="1"/>
  <c r="D208" i="2" a="1"/>
  <c r="D63" i="2" a="1"/>
  <c r="D230" i="2" a="1"/>
  <c r="D113" i="2" a="1"/>
  <c r="E230" i="2" a="1"/>
  <c r="E21" i="2" a="1"/>
  <c r="E53" i="2" a="1"/>
  <c r="D192" i="2" a="1"/>
  <c r="E123" i="2" a="1"/>
  <c r="E8" i="2" a="1"/>
  <c r="E192" i="2" a="1"/>
  <c r="E86" i="2" a="1"/>
  <c r="D248" i="2" l="1"/>
  <c r="B248" i="2" s="1"/>
  <c r="E248" i="2"/>
  <c r="E240" i="2"/>
  <c r="D240" i="2"/>
  <c r="B240" i="2" s="1"/>
  <c r="E230" i="2"/>
  <c r="D230" i="2"/>
  <c r="B230" i="2" s="1"/>
  <c r="E208" i="2"/>
  <c r="D208" i="2"/>
  <c r="B208" i="2" s="1"/>
  <c r="D192" i="2"/>
  <c r="B192" i="2" s="1"/>
  <c r="E192" i="2"/>
  <c r="D143" i="2"/>
  <c r="B143" i="2" s="1"/>
  <c r="E143" i="2"/>
  <c r="D132" i="2"/>
  <c r="B132" i="2" s="1"/>
  <c r="E132" i="2"/>
  <c r="E123" i="2"/>
  <c r="D123" i="2"/>
  <c r="B123" i="2" s="1"/>
  <c r="D113" i="2"/>
  <c r="B113" i="2" s="1"/>
  <c r="E113" i="2"/>
  <c r="D86" i="2"/>
  <c r="B86" i="2" s="1"/>
  <c r="E86" i="2"/>
  <c r="D73" i="2"/>
  <c r="B73" i="2" s="1"/>
  <c r="E73" i="2"/>
  <c r="E63" i="2"/>
  <c r="D63" i="2"/>
  <c r="B63" i="2" s="1"/>
  <c r="D53" i="2"/>
  <c r="B53" i="2" s="1"/>
  <c r="E53" i="2"/>
  <c r="D21" i="2"/>
  <c r="B21" i="2" s="1"/>
  <c r="E21" i="2"/>
  <c r="E8" i="2"/>
  <c r="D8" i="2"/>
  <c r="B8" i="2" s="1"/>
  <c r="E249" i="2" a="1"/>
  <c r="D144" i="2" a="1"/>
  <c r="D114" i="2" a="1"/>
  <c r="E74" i="2" a="1"/>
  <c r="D64" i="2" a="1"/>
  <c r="E64" i="2" a="1"/>
  <c r="D249" i="2" a="1"/>
  <c r="E231" i="2" a="1"/>
  <c r="D231" i="2" a="1"/>
  <c r="D9" i="2" a="1"/>
  <c r="D74" i="2" a="1"/>
  <c r="D87" i="2" a="1"/>
  <c r="E144" i="2" a="1"/>
  <c r="E114" i="2" a="1"/>
  <c r="D133" i="2" a="1"/>
  <c r="E54" i="2" a="1"/>
  <c r="E133" i="2" a="1"/>
  <c r="E87" i="2" a="1"/>
  <c r="E209" i="2" a="1"/>
  <c r="D54" i="2" a="1"/>
  <c r="E9" i="2" a="1"/>
  <c r="D193" i="2" a="1"/>
  <c r="D209" i="2" a="1"/>
  <c r="E193" i="2" a="1"/>
  <c r="E249" i="2" l="1"/>
  <c r="D249" i="2"/>
  <c r="B249" i="2" s="1"/>
  <c r="E231" i="2"/>
  <c r="D231" i="2"/>
  <c r="B231" i="2" s="1"/>
  <c r="E209" i="2"/>
  <c r="D209" i="2"/>
  <c r="B209" i="2" s="1"/>
  <c r="D193" i="2"/>
  <c r="B193" i="2" s="1"/>
  <c r="E193" i="2"/>
  <c r="D144" i="2"/>
  <c r="B144" i="2" s="1"/>
  <c r="E144" i="2"/>
  <c r="D133" i="2"/>
  <c r="B133" i="2" s="1"/>
  <c r="E133" i="2"/>
  <c r="D114" i="2"/>
  <c r="B114" i="2" s="1"/>
  <c r="E114" i="2"/>
  <c r="D87" i="2"/>
  <c r="B87" i="2" s="1"/>
  <c r="E87" i="2"/>
  <c r="D74" i="2"/>
  <c r="B74" i="2" s="1"/>
  <c r="E74" i="2"/>
  <c r="E64" i="2"/>
  <c r="D64" i="2"/>
  <c r="B64" i="2" s="1"/>
  <c r="D54" i="2"/>
  <c r="B54" i="2" s="1"/>
  <c r="E54" i="2"/>
  <c r="E9" i="2"/>
  <c r="D9" i="2"/>
  <c r="B9" i="2" s="1"/>
  <c r="E250" i="2" a="1"/>
  <c r="D194" i="2" a="1"/>
  <c r="E10" i="2" a="1"/>
  <c r="D75" i="2" a="1"/>
  <c r="E134" i="2" a="1"/>
  <c r="E88" i="2" a="1"/>
  <c r="D10" i="2" a="1"/>
  <c r="E210" i="2" a="1"/>
  <c r="D210" i="2" a="1"/>
  <c r="D145" i="2" a="1"/>
  <c r="D250" i="2" a="1"/>
  <c r="E145" i="2" a="1"/>
  <c r="E75" i="2" a="1"/>
  <c r="D134" i="2" a="1"/>
  <c r="D88" i="2" a="1"/>
  <c r="E194" i="2" a="1"/>
  <c r="D250" i="2" l="1"/>
  <c r="B250" i="2" s="1"/>
  <c r="E250" i="2"/>
  <c r="E210" i="2"/>
  <c r="D210" i="2"/>
  <c r="B210" i="2" s="1"/>
  <c r="D194" i="2"/>
  <c r="B194" i="2" s="1"/>
  <c r="E194" i="2"/>
  <c r="D145" i="2"/>
  <c r="B145" i="2" s="1"/>
  <c r="E145" i="2"/>
  <c r="D134" i="2"/>
  <c r="B134" i="2" s="1"/>
  <c r="E134" i="2"/>
  <c r="D88" i="2"/>
  <c r="B88" i="2" s="1"/>
  <c r="E88" i="2"/>
  <c r="D75" i="2"/>
  <c r="B75" i="2" s="1"/>
  <c r="E75" i="2"/>
  <c r="E10" i="2"/>
  <c r="D10" i="2"/>
  <c r="B10" i="2" s="1"/>
  <c r="E211" i="2" a="1"/>
  <c r="D195" i="2" a="1"/>
  <c r="D161" i="2" a="1"/>
  <c r="E11" i="2" a="1"/>
  <c r="D211" i="2" a="1"/>
  <c r="E251" i="2" a="1"/>
  <c r="D11" i="2" a="1"/>
  <c r="D76" i="2" a="1"/>
  <c r="E76" i="2" a="1"/>
  <c r="E161" i="2" a="1"/>
  <c r="E195" i="2" a="1"/>
  <c r="D251" i="2" a="1"/>
  <c r="E251" i="2" l="1"/>
  <c r="D251" i="2"/>
  <c r="B251" i="2" s="1"/>
  <c r="E211" i="2"/>
  <c r="D211" i="2"/>
  <c r="B211" i="2" s="1"/>
  <c r="D195" i="2"/>
  <c r="B195" i="2" s="1"/>
  <c r="E195" i="2"/>
  <c r="D161" i="2"/>
  <c r="B161" i="2" s="1"/>
  <c r="E161" i="2"/>
  <c r="D76" i="2"/>
  <c r="B76" i="2" s="1"/>
  <c r="E76" i="2"/>
  <c r="E11" i="2"/>
  <c r="D11" i="2"/>
  <c r="B11" i="2" s="1"/>
  <c r="E196" i="2" a="1"/>
  <c r="E12" i="2" a="1"/>
  <c r="E162" i="2" a="1"/>
  <c r="E252" i="2" a="1"/>
  <c r="D162" i="2" a="1"/>
  <c r="E77" i="2" a="1"/>
  <c r="D212" i="2" a="1"/>
  <c r="E212" i="2" a="1"/>
  <c r="D77" i="2" a="1"/>
  <c r="D252" i="2" a="1"/>
  <c r="D196" i="2" a="1"/>
  <c r="D12" i="2" a="1"/>
  <c r="D252" i="2" l="1"/>
  <c r="B252" i="2" s="1"/>
  <c r="E252" i="2"/>
  <c r="E212" i="2"/>
  <c r="D212" i="2"/>
  <c r="B212" i="2" s="1"/>
  <c r="D196" i="2"/>
  <c r="B196" i="2" s="1"/>
  <c r="E196" i="2"/>
  <c r="D162" i="2"/>
  <c r="B162" i="2" s="1"/>
  <c r="E162" i="2"/>
  <c r="D77" i="2"/>
  <c r="B77" i="2" s="1"/>
  <c r="E77" i="2"/>
  <c r="E12" i="2"/>
  <c r="D12" i="2"/>
  <c r="B12" i="2" s="1"/>
  <c r="E163" i="2" a="1"/>
  <c r="D163" i="2" a="1"/>
  <c r="E197" i="2" a="1"/>
  <c r="D213" i="2" a="1"/>
  <c r="E253" i="2" a="1"/>
  <c r="D197" i="2" a="1"/>
  <c r="E213" i="2" a="1"/>
  <c r="D253" i="2" a="1"/>
  <c r="E253" i="2" l="1"/>
  <c r="D253" i="2"/>
  <c r="B253" i="2" s="1"/>
  <c r="E213" i="2"/>
  <c r="D213" i="2"/>
  <c r="B213" i="2" s="1"/>
  <c r="D197" i="2"/>
  <c r="B197" i="2" s="1"/>
  <c r="E197" i="2"/>
  <c r="D163" i="2"/>
  <c r="B163" i="2" s="1"/>
  <c r="E163" i="2"/>
  <c r="E214" i="2" a="1"/>
  <c r="D214" i="2" a="1"/>
  <c r="E254" i="2" a="1"/>
  <c r="D254" i="2" a="1"/>
  <c r="E198" i="2" a="1"/>
  <c r="E164" i="2" a="1"/>
  <c r="D164" i="2" a="1"/>
  <c r="D198" i="2" a="1"/>
  <c r="D254" i="2" l="1"/>
  <c r="B254" i="2" s="1"/>
  <c r="E254" i="2"/>
  <c r="E214" i="2"/>
  <c r="D214" i="2"/>
  <c r="B214" i="2" s="1"/>
  <c r="D198" i="2"/>
  <c r="B198" i="2" s="1"/>
  <c r="E198" i="2"/>
  <c r="D164" i="2"/>
  <c r="B164" i="2" s="1"/>
  <c r="E164" i="2"/>
  <c r="D165" i="2" a="1"/>
  <c r="E165" i="2" a="1"/>
  <c r="D255" i="2" a="1"/>
  <c r="E199" i="2" a="1"/>
  <c r="D199" i="2" a="1"/>
  <c r="E255" i="2" a="1"/>
  <c r="E255" i="2" l="1"/>
  <c r="D255" i="2"/>
  <c r="B255" i="2" s="1"/>
  <c r="D199" i="2"/>
  <c r="B199" i="2" s="1"/>
  <c r="E199" i="2"/>
  <c r="D165" i="2"/>
  <c r="B165" i="2" s="1"/>
  <c r="E165" i="2"/>
  <c r="E166" i="2" a="1"/>
  <c r="D256" i="2" a="1"/>
  <c r="E256" i="2" a="1"/>
  <c r="D166" i="2" a="1"/>
  <c r="D256" i="2" l="1"/>
  <c r="B256" i="2" s="1"/>
  <c r="E256" i="2"/>
  <c r="D166" i="2"/>
  <c r="B166" i="2" s="1"/>
  <c r="E166" i="2"/>
  <c r="D257" i="2" a="1"/>
  <c r="E167" i="2" a="1"/>
  <c r="D167" i="2" a="1"/>
  <c r="E257" i="2" a="1"/>
  <c r="E257" i="2" l="1"/>
  <c r="D257" i="2"/>
  <c r="B257" i="2" s="1"/>
  <c r="D167" i="2"/>
  <c r="B167" i="2" s="1"/>
  <c r="E167" i="2"/>
  <c r="E258" i="2" a="1"/>
  <c r="D258" i="2" a="1"/>
  <c r="D258" i="2" l="1"/>
  <c r="B258" i="2" s="1"/>
  <c r="E258" i="2"/>
  <c r="D259" i="2" a="1"/>
  <c r="E259" i="2" a="1"/>
  <c r="E259" i="2" l="1"/>
  <c r="D259" i="2"/>
  <c r="B259" i="2" s="1"/>
  <c r="E260" i="2" a="1"/>
  <c r="D260" i="2" a="1"/>
  <c r="D260" i="2" l="1"/>
  <c r="B260" i="2" s="1"/>
  <c r="E260" i="2"/>
  <c r="D261" i="2" a="1"/>
  <c r="E261" i="2" a="1"/>
  <c r="E261" i="2" l="1"/>
  <c r="D261" i="2"/>
  <c r="B261" i="2" s="1"/>
  <c r="M263" i="2" l="1"/>
  <c r="M271" i="2"/>
  <c r="M272" i="2"/>
  <c r="M264" i="2"/>
  <c r="C2" i="1" a="1"/>
  <c r="E28" i="1" l="1"/>
  <c r="D14" i="1"/>
  <c r="A11" i="1"/>
  <c r="A25" i="1"/>
  <c r="D23" i="1"/>
  <c r="A17" i="1"/>
  <c r="A23" i="1"/>
  <c r="A14" i="1"/>
  <c r="A24" i="1"/>
  <c r="D19" i="1"/>
  <c r="A26" i="1"/>
  <c r="D25" i="1"/>
  <c r="D7" i="1"/>
  <c r="A9" i="1"/>
  <c r="A6" i="1"/>
  <c r="A5" i="1"/>
  <c r="A27" i="1"/>
  <c r="D15" i="1"/>
  <c r="D13" i="1"/>
  <c r="D12" i="1"/>
  <c r="A15" i="1"/>
  <c r="D21" i="1"/>
  <c r="A13" i="1"/>
  <c r="A12" i="1"/>
  <c r="A10" i="1"/>
  <c r="D5" i="1"/>
  <c r="D4" i="1"/>
  <c r="D27" i="1"/>
  <c r="D3" i="1"/>
  <c r="D22" i="1"/>
  <c r="C2" i="1"/>
  <c r="A2" i="1" s="1"/>
  <c r="A4" i="1"/>
  <c r="A3" i="1"/>
  <c r="D24" i="1"/>
  <c r="A16" i="1"/>
  <c r="D11" i="1"/>
  <c r="D10" i="1"/>
  <c r="A21" i="1"/>
  <c r="D9" i="1"/>
  <c r="D8" i="1"/>
  <c r="A20" i="1"/>
  <c r="D6" i="1"/>
  <c r="A8" i="1"/>
  <c r="A7" i="1"/>
  <c r="D26" i="1"/>
  <c r="A28" i="1"/>
  <c r="D18" i="1"/>
  <c r="D28" i="1"/>
  <c r="D20" i="1"/>
  <c r="A22" i="1"/>
  <c r="D17" i="1"/>
  <c r="A19" i="1"/>
  <c r="D16" i="1"/>
  <c r="A18" i="1"/>
  <c r="D2" i="1"/>
  <c r="E27" i="1" l="1"/>
  <c r="E2" i="1" l="1"/>
  <c r="E24" i="1"/>
  <c r="E26" i="1"/>
  <c r="E25" i="1"/>
  <c r="M224" i="2"/>
  <c r="E7" i="1"/>
  <c r="E4" i="1"/>
  <c r="E5" i="1"/>
  <c r="E8" i="1"/>
  <c r="E14" i="1"/>
  <c r="E3" i="1"/>
  <c r="E9" i="1"/>
  <c r="E21" i="1"/>
  <c r="E19" i="1"/>
  <c r="E15" i="1"/>
  <c r="E18" i="1"/>
  <c r="E20" i="1"/>
  <c r="E17" i="1"/>
  <c r="E6" i="1"/>
  <c r="E23" i="1"/>
  <c r="E13" i="1"/>
  <c r="E16" i="1"/>
  <c r="E22" i="1"/>
  <c r="E10" i="1"/>
  <c r="E12" i="1"/>
  <c r="E11" i="1"/>
  <c r="M243" i="2" l="1"/>
  <c r="M223" i="2"/>
  <c r="M242" i="2"/>
  <c r="M234" i="2"/>
  <c r="M67" i="2"/>
  <c r="M137" i="2"/>
  <c r="M56" i="2"/>
  <c r="M46" i="2"/>
  <c r="M186" i="2"/>
  <c r="M136" i="2"/>
  <c r="M57" i="2"/>
  <c r="M83" i="2"/>
  <c r="M127" i="2"/>
  <c r="M138" i="2"/>
  <c r="M82" i="2"/>
  <c r="M5" i="2"/>
  <c r="M161" i="2"/>
  <c r="M117" i="2"/>
  <c r="M68" i="2"/>
  <c r="M4" i="2"/>
  <c r="M66" i="2"/>
  <c r="M7" i="2"/>
  <c r="M157" i="2"/>
  <c r="M15" i="2"/>
  <c r="M162" i="2"/>
  <c r="M47" i="2"/>
  <c r="M159" i="2"/>
  <c r="M1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<sst xmlns="http://schemas.openxmlformats.org/spreadsheetml/2006/main" count="2137" uniqueCount="534">
  <si>
    <t>設計完了</t>
  </si>
  <si>
    <t>No</t>
  </si>
  <si>
    <t>テーブル名(物理名)</t>
  </si>
  <si>
    <t>テーブル名(論理名)</t>
  </si>
  <si>
    <t>1レコード当たりの容量[bit]</t>
  </si>
  <si>
    <t>分類</t>
  </si>
  <si>
    <t>説明</t>
  </si>
  <si>
    <t>備考</t>
  </si>
  <si>
    <t>コンテンツ(動的)</t>
  </si>
  <si>
    <t>Vtuberの所属を管理する。ホロライブ、にじさんじ、個人勢など</t>
  </si>
  <si>
    <t>ユーザーが任意でつけられるタグ。歌ってみた、ゲーム実況、ASMRなど</t>
  </si>
  <si>
    <t>システム管理(静的)</t>
  </si>
  <si>
    <t>システム的に自動で付与されるバッジを管理する。よく見られているVtuber、新人Vtuber、最近更新されたVtuberなど</t>
  </si>
  <si>
    <t>Vtuber、所属の活動状態を管理する。準備中、活動中、休止中、卒業済みなど</t>
  </si>
  <si>
    <t>プロフィールのSNSリンクを管理する。アイコン、ラベル、URLがあるため別テーブルになった</t>
  </si>
  <si>
    <t>各Vtuber詳細画面でのチャットのレスを管理。</t>
  </si>
  <si>
    <t>プロフィールの編集者を管理。編集内容も持つ。</t>
  </si>
  <si>
    <t>ユーザーからの問い合わせ情報。問い合わせ内容や連絡先を管理</t>
  </si>
  <si>
    <t>管理者向け。問い合わせに対する優先度を管理するためのステータス定義。最優先、優先度低など</t>
  </si>
  <si>
    <t>管理者向け。問い合わせに対する対応状況を管理するためのステータス定義。未対応、対応中など</t>
  </si>
  <si>
    <t>Webサイトが対応する言語の定義。</t>
  </si>
  <si>
    <t>画面表示する単語全般やプルダウン、バッジなどの中身を定義する。表示言語ごとに用意する。画面要素x表示言語</t>
  </si>
  <si>
    <t>Google,Tiktokなどについて、ログインに使用するサービスの有効無効、プロフィール画面のSNSリンク向けに、SNSのアイコンとサービス名、および有効無効、論理名、画像IDを管理</t>
  </si>
  <si>
    <t>ユーザーからの通報情報。どういった通報であるかを管理</t>
  </si>
  <si>
    <t>通報の報告理由のプルダウン定義。</t>
  </si>
  <si>
    <t>Vtuber本人や管理者も含めたユーザー情報</t>
  </si>
  <si>
    <t>サイト全体のテーマ設定。ライトテーマ、ダークテーマ、プロフィール帳テーマなど</t>
  </si>
  <si>
    <t>ユーザーに紐づく権限。管理者、Vtuber、一般など</t>
  </si>
  <si>
    <t>Vtuberのサムネイル画像など保管するCloud Storage(GCS)へのURLを管理する</t>
  </si>
  <si>
    <t>アイコン画像などのシステム固定の画像を保管するCloud Storage(GCS)へのURLを管理する</t>
  </si>
  <si>
    <t>画面要素名の一覧を管理する</t>
  </si>
  <si>
    <t>FKリンク先検索用</t>
  </si>
  <si>
    <t>カラム名(物理名)</t>
  </si>
  <si>
    <t>カラム名(論理名)</t>
  </si>
  <si>
    <t>型</t>
  </si>
  <si>
    <t>bit数</t>
  </si>
  <si>
    <t>PK</t>
  </si>
  <si>
    <t>FK</t>
  </si>
  <si>
    <t>FK参照先</t>
  </si>
  <si>
    <t>FK参照先No</t>
  </si>
  <si>
    <t>非NULL</t>
  </si>
  <si>
    <t>Unique</t>
  </si>
  <si>
    <t>デフォルト</t>
  </si>
  <si>
    <t>画面入力必須</t>
  </si>
  <si>
    <t>複数</t>
  </si>
  <si>
    <t>画面実装済み</t>
  </si>
  <si>
    <t>〇</t>
  </si>
  <si>
    <t>vtuber_profiles</t>
  </si>
  <si>
    <t>Vtuberプロフィール</t>
  </si>
  <si>
    <t>uuid</t>
  </si>
  <si>
    <t>UUID</t>
  </si>
  <si>
    <t>x</t>
  </si>
  <si>
    <t>gen_random_uuid()</t>
  </si>
  <si>
    <t>vtuber_profiles_id</t>
  </si>
  <si>
    <t>VプロフィールID</t>
  </si>
  <si>
    <t>varchar(8)</t>
  </si>
  <si>
    <t>自動払い出し</t>
  </si>
  <si>
    <t>URLに使用する（DB連携はUUIDで管理</t>
  </si>
  <si>
    <t>user_id</t>
  </si>
  <si>
    <t>ユーザーID</t>
  </si>
  <si>
    <t>紐づけられたVtuberアカウント</t>
  </si>
  <si>
    <t>bigserial</t>
  </si>
  <si>
    <t>name</t>
  </si>
  <si>
    <t>名前</t>
  </si>
  <si>
    <t>varchar(128)</t>
  </si>
  <si>
    <t>nickname</t>
  </si>
  <si>
    <t>ニックネーム</t>
  </si>
  <si>
    <t>所属</t>
  </si>
  <si>
    <t>varchar(64)</t>
  </si>
  <si>
    <t>birthday</t>
  </si>
  <si>
    <t>誕生日</t>
  </si>
  <si>
    <t>varchar(32)</t>
  </si>
  <si>
    <t>debut_date</t>
  </si>
  <si>
    <t>デビュー日</t>
  </si>
  <si>
    <t>活動ジャンル</t>
  </si>
  <si>
    <t>blood_type</t>
  </si>
  <si>
    <t>血液型</t>
  </si>
  <si>
    <t>varchar(16)</t>
  </si>
  <si>
    <t>height</t>
  </si>
  <si>
    <t>身長</t>
  </si>
  <si>
    <t>タグ</t>
  </si>
  <si>
    <t>SNSリンク</t>
  </si>
  <si>
    <t>-</t>
  </si>
  <si>
    <t>動画リンク</t>
  </si>
  <si>
    <t>URL</t>
  </si>
  <si>
    <t>mutter</t>
  </si>
  <si>
    <t>ひとこと</t>
  </si>
  <si>
    <t>text</t>
  </si>
  <si>
    <t>catchphrase</t>
  </si>
  <si>
    <t>キャッチフレーズ</t>
  </si>
  <si>
    <t>favorite</t>
  </si>
  <si>
    <t>好きなもの</t>
  </si>
  <si>
    <t>dis_favorite</t>
  </si>
  <si>
    <t>苦手なもの</t>
  </si>
  <si>
    <t>hobby</t>
  </si>
  <si>
    <t>趣味・特技</t>
  </si>
  <si>
    <t>dream</t>
  </si>
  <si>
    <t>将来の夢</t>
  </si>
  <si>
    <t>messages</t>
  </si>
  <si>
    <t>メッセージ</t>
  </si>
  <si>
    <t>profile_detail</t>
  </si>
  <si>
    <t>プロフィール詳細</t>
  </si>
  <si>
    <t>マークダウン対応</t>
  </si>
  <si>
    <t>ページ編集者</t>
  </si>
  <si>
    <t>いいね</t>
  </si>
  <si>
    <t>integer</t>
  </si>
  <si>
    <t>activity_status</t>
  </si>
  <si>
    <t>活動状態</t>
  </si>
  <si>
    <t>BBS</t>
  </si>
  <si>
    <t>report_count</t>
  </si>
  <si>
    <t>create_datetime</t>
  </si>
  <si>
    <t>作成日</t>
  </si>
  <si>
    <t>CURRENT_TIMESTAMP</t>
  </si>
  <si>
    <t>create_user</t>
  </si>
  <si>
    <t>作成ユーザー</t>
  </si>
  <si>
    <t>CURRENT_USER</t>
  </si>
  <si>
    <t>物理名を保存</t>
  </si>
  <si>
    <t>update_datetime</t>
  </si>
  <si>
    <t>更新日</t>
  </si>
  <si>
    <t>update_user</t>
  </si>
  <si>
    <t>更新ユーザー</t>
  </si>
  <si>
    <t>soft_delete_flag</t>
  </si>
  <si>
    <t>論理削除フラグ</t>
  </si>
  <si>
    <t>group_name</t>
  </si>
  <si>
    <t>所属名</t>
  </si>
  <si>
    <t>operation_status</t>
  </si>
  <si>
    <t>運営状態</t>
  </si>
  <si>
    <t>group_detail</t>
  </si>
  <si>
    <t>所属説明</t>
  </si>
  <si>
    <t>tag</t>
  </si>
  <si>
    <t>タグ名</t>
  </si>
  <si>
    <t>badge</t>
  </si>
  <si>
    <t>バッジ</t>
  </si>
  <si>
    <t>badge_physical_name</t>
  </si>
  <si>
    <t>バッジ名(物理名)</t>
  </si>
  <si>
    <t>varchar(24)</t>
  </si>
  <si>
    <t>badge_logical_name</t>
  </si>
  <si>
    <t>バッジ名(論理名)</t>
  </si>
  <si>
    <t>多言語化対応で削除予定。よく見られているVtuber、新人Vtuber、最近更新されたVTuber</t>
  </si>
  <si>
    <t>activity_status_physical_name</t>
  </si>
  <si>
    <t>活動状態名(物理名)</t>
  </si>
  <si>
    <t>activity_status_logical_name</t>
  </si>
  <si>
    <t>活動状態名(論理名)</t>
  </si>
  <si>
    <t>多言語化対応で削除予定。活動開始前(VTuber準備中)、活動中、卒業済み</t>
  </si>
  <si>
    <t>sns_link</t>
  </si>
  <si>
    <t>sns_icon</t>
  </si>
  <si>
    <t>SNSアイコン</t>
  </si>
  <si>
    <t>varchar(9)</t>
  </si>
  <si>
    <t>選択なしも含む</t>
  </si>
  <si>
    <t>sns_link_label</t>
  </si>
  <si>
    <t>ラベル名</t>
  </si>
  <si>
    <t>SNSアイコンに紐づくSNS名</t>
  </si>
  <si>
    <t>sns_url</t>
  </si>
  <si>
    <t>bbs_res</t>
  </si>
  <si>
    <t>user_name</t>
  </si>
  <si>
    <t>ユーザー名</t>
  </si>
  <si>
    <t>res_text</t>
  </si>
  <si>
    <t>レス内容</t>
  </si>
  <si>
    <t>res_datetime</t>
  </si>
  <si>
    <t>投稿日時時刻</t>
  </si>
  <si>
    <t>page_author</t>
  </si>
  <si>
    <t>fix_item</t>
  </si>
  <si>
    <t>修正項目</t>
  </si>
  <si>
    <t>fix_before</t>
  </si>
  <si>
    <t>修正前</t>
  </si>
  <si>
    <t>fix_after</t>
  </si>
  <si>
    <t>修正後</t>
  </si>
  <si>
    <t>fix_datetime</t>
  </si>
  <si>
    <t>修正日時</t>
  </si>
  <si>
    <t>通報数</t>
  </si>
  <si>
    <t>serial</t>
  </si>
  <si>
    <t>contact</t>
  </si>
  <si>
    <t>問い合わせ</t>
  </si>
  <si>
    <t>mail_address</t>
  </si>
  <si>
    <t>メールアドレス</t>
  </si>
  <si>
    <t>varchar(255)</t>
  </si>
  <si>
    <t>subject</t>
  </si>
  <si>
    <t>件名</t>
  </si>
  <si>
    <t>contact_detail</t>
  </si>
  <si>
    <t>問い合わせ内容</t>
  </si>
  <si>
    <t>priority_physical_name</t>
  </si>
  <si>
    <t>優先度(物理名)</t>
  </si>
  <si>
    <t>response_status_physical_name</t>
  </si>
  <si>
    <t>対応状況(物理名)</t>
  </si>
  <si>
    <t>priority</t>
  </si>
  <si>
    <t>優先度</t>
  </si>
  <si>
    <t>priority_logical_name</t>
  </si>
  <si>
    <t>優先度(論理名)</t>
  </si>
  <si>
    <t>管理者向けのため、多言語化対応で削除しない</t>
  </si>
  <si>
    <t>response_status</t>
  </si>
  <si>
    <t>対応状況</t>
  </si>
  <si>
    <t>response_status_logical_name</t>
  </si>
  <si>
    <t>対応状況(論理名)</t>
  </si>
  <si>
    <t>language</t>
  </si>
  <si>
    <t>表示言語</t>
  </si>
  <si>
    <t>language_physical_name</t>
  </si>
  <si>
    <t>表示言語(物理名)</t>
  </si>
  <si>
    <t>language_logical_name</t>
  </si>
  <si>
    <t>表示言語(論理名)</t>
  </si>
  <si>
    <t>多言語化対応で削除予定。</t>
  </si>
  <si>
    <t>language_image</t>
  </si>
  <si>
    <t>言語画像</t>
  </si>
  <si>
    <t>SVG</t>
  </si>
  <si>
    <t>enable</t>
  </si>
  <si>
    <t>有効フラグ</t>
  </si>
  <si>
    <t>screen_word</t>
  </si>
  <si>
    <t>画面文言</t>
  </si>
  <si>
    <t>message_id</t>
  </si>
  <si>
    <t>メッセージID</t>
  </si>
  <si>
    <t>ワードの検索キー</t>
  </si>
  <si>
    <t>display_message</t>
  </si>
  <si>
    <t>文言</t>
  </si>
  <si>
    <t>実際に表示されるワード</t>
  </si>
  <si>
    <t>sns_support</t>
  </si>
  <si>
    <t>サポートするSNS</t>
  </si>
  <si>
    <t>sns_name_physical_name</t>
  </si>
  <si>
    <t>サービス名(物理名)</t>
  </si>
  <si>
    <t>sns_name_logical_name</t>
  </si>
  <si>
    <t>サービス名(論理名)</t>
  </si>
  <si>
    <t>varchar(14)</t>
  </si>
  <si>
    <t>サービス名だが、ツイキャスやニコニコなどがあるため、多言語化対応で削除する</t>
  </si>
  <si>
    <t>image_id</t>
  </si>
  <si>
    <t>画像ID</t>
  </si>
  <si>
    <t>SVG形式</t>
  </si>
  <si>
    <t>use_login_service</t>
  </si>
  <si>
    <t>ログインサービス有効フラグ</t>
  </si>
  <si>
    <t>use_sns_link</t>
  </si>
  <si>
    <t>SNSリンク有効フラグ</t>
  </si>
  <si>
    <t>profile_report</t>
  </si>
  <si>
    <t>プロフィール通報</t>
  </si>
  <si>
    <t>report_reason_physical_name</t>
  </si>
  <si>
    <t>通報理由(物理名)</t>
  </si>
  <si>
    <t>report_detail</t>
  </si>
  <si>
    <t>詳細</t>
  </si>
  <si>
    <t>report_datetime</t>
  </si>
  <si>
    <t>通報日時</t>
  </si>
  <si>
    <t>report_reason</t>
  </si>
  <si>
    <t>通報理由</t>
  </si>
  <si>
    <t>report_reason_logical_name</t>
  </si>
  <si>
    <t>通報理由(論理名)</t>
  </si>
  <si>
    <t>ユーザー</t>
  </si>
  <si>
    <t>user_role_physical_name</t>
  </si>
  <si>
    <t>ユーザー権限(物理名)</t>
  </si>
  <si>
    <t>user_name_hidden_flag</t>
  </si>
  <si>
    <t>画面非表示フラグ</t>
  </si>
  <si>
    <t>ユーザー名を画面表示するかマスクするか</t>
  </si>
  <si>
    <t>login_service</t>
  </si>
  <si>
    <t>ログインサービス</t>
  </si>
  <si>
    <t>register_date</t>
  </si>
  <si>
    <t>登録日</t>
  </si>
  <si>
    <t>disp_theme</t>
  </si>
  <si>
    <t>画面テーマ</t>
  </si>
  <si>
    <t>theme</t>
  </si>
  <si>
    <t>theme_physical_name</t>
  </si>
  <si>
    <t>画面テーマ(物理名)</t>
  </si>
  <si>
    <t>theme_logical_name</t>
  </si>
  <si>
    <t>画面テーマ(論理名)</t>
  </si>
  <si>
    <t>多言語化対応で削除予定</t>
  </si>
  <si>
    <t>user_role</t>
  </si>
  <si>
    <t>ユーザー権限</t>
  </si>
  <si>
    <t>user_role_logical_name</t>
  </si>
  <si>
    <t>ユーザー権限(論理名)</t>
  </si>
  <si>
    <t>画像(ユーザー投稿)</t>
  </si>
  <si>
    <t>gcs_bucket</t>
  </si>
  <si>
    <t>バケット名</t>
  </si>
  <si>
    <t>varchar(100)</t>
  </si>
  <si>
    <t>gcs_object_name</t>
  </si>
  <si>
    <t>オブジェクトパス</t>
  </si>
  <si>
    <t>varchar(512)</t>
  </si>
  <si>
    <t>(例: vtubers/123/icon.webp)</t>
  </si>
  <si>
    <t>cdn_url</t>
  </si>
  <si>
    <t>CDNのURL</t>
  </si>
  <si>
    <t>Cloud CDN経由の配信URL</t>
  </si>
  <si>
    <t>content_type</t>
  </si>
  <si>
    <t>コンテンツタイプ(拡張子等)</t>
  </si>
  <si>
    <t>varchar(50)</t>
  </si>
  <si>
    <t>image/png, image/webp等</t>
  </si>
  <si>
    <t>width</t>
  </si>
  <si>
    <t>画像幅</t>
  </si>
  <si>
    <t>画像高</t>
  </si>
  <si>
    <t>file_size</t>
  </si>
  <si>
    <t>ファイルサイズ</t>
  </si>
  <si>
    <t>alt_text</t>
  </si>
  <si>
    <t>付加テキスト</t>
  </si>
  <si>
    <t>画像(システム管理)</t>
  </si>
  <si>
    <t>screen_element</t>
  </si>
  <si>
    <t>画面要素</t>
  </si>
  <si>
    <t>いいねした人</t>
  </si>
  <si>
    <t>いいねされた人</t>
  </si>
  <si>
    <t>いいね種別</t>
  </si>
  <si>
    <t>いいねした日</t>
  </si>
  <si>
    <t>movie_link</t>
  </si>
  <si>
    <t>movie_id</t>
  </si>
  <si>
    <t>動画ID</t>
  </si>
  <si>
    <t>url</t>
  </si>
  <si>
    <t>動画URL</t>
  </si>
  <si>
    <t>https://qiita.com/hk_arc/items/0474d28bc8620571db3c</t>
  </si>
  <si>
    <t>カテゴリ</t>
  </si>
  <si>
    <t>データ型</t>
  </si>
  <si>
    <t>格納サイズ</t>
  </si>
  <si>
    <t>範囲</t>
  </si>
  <si>
    <t>用途例</t>
  </si>
  <si>
    <t>数値型</t>
  </si>
  <si>
    <t>smallint</t>
  </si>
  <si>
    <t>2バイト</t>
  </si>
  <si>
    <t>-32,768 から +32,767</t>
  </si>
  <si>
    <t>小規模なIDやカウンターに適用</t>
  </si>
  <si>
    <t>4バイト</t>
  </si>
  <si>
    <t>-2,147,483,648 から +2,147,483,647</t>
  </si>
  <si>
    <t>一般的な数値計算や中規模のIDに使用</t>
  </si>
  <si>
    <t>bigint</t>
  </si>
  <si>
    <t>8バイト</t>
  </si>
  <si>
    <t>-9,223,372,036,854,775,808 から 9,223,372,036,854,775,807</t>
  </si>
  <si>
    <t>大規模なデータベースのIDや大規模な数値計算に使用</t>
  </si>
  <si>
    <t>decimal</t>
  </si>
  <si>
    <t>可変長</t>
  </si>
  <si>
    <t>小数点前までは131072桁、小数点以降は16383桁</t>
  </si>
  <si>
    <t>金融取引や高精度計算に使用</t>
  </si>
  <si>
    <t>numeric</t>
  </si>
  <si>
    <t>同上</t>
  </si>
  <si>
    <t>real</t>
  </si>
  <si>
    <t>6桁精度</t>
  </si>
  <si>
    <t>科学技術計算での近似値計算に使用</t>
  </si>
  <si>
    <t>double precision</t>
  </si>
  <si>
    <t>15桁精度</t>
  </si>
  <si>
    <t>高精度な科学技術計算に使用</t>
  </si>
  <si>
    <t>smallserial</t>
  </si>
  <si>
    <t>1から32,767</t>
  </si>
  <si>
    <t>自動生成される小規模な連続IDに使用</t>
  </si>
  <si>
    <t>1から2,147,483,647</t>
  </si>
  <si>
    <t>自動生成される中規模の連続IDに使用</t>
  </si>
  <si>
    <t>1から9,223,372,036,854,775,807</t>
  </si>
  <si>
    <t>自動生成される大規模な連続IDに使用</t>
  </si>
  <si>
    <t>通貨型</t>
  </si>
  <si>
    <t>money</t>
  </si>
  <si>
    <t>-922,337,203,685,477.5808 から 922,337,203,685,477.5807</t>
  </si>
  <si>
    <t>金融取引の金額や費用の格納に使用</t>
  </si>
  <si>
    <t>文字列型</t>
  </si>
  <si>
    <t>character(n), char(n)</t>
  </si>
  <si>
    <t>nバイト</t>
  </si>
  <si>
    <t>固定長n文字</t>
  </si>
  <si>
    <t>固定長のデータ、例えば性別、国コードなど</t>
  </si>
  <si>
    <t>character varying(n), varchar(n)</t>
  </si>
  <si>
    <t>最大nバイト</t>
  </si>
  <si>
    <t>最大n文字</t>
  </si>
  <si>
    <t>可変長データ、例えば名前、住所など</t>
  </si>
  <si>
    <t>無制限</t>
  </si>
  <si>
    <t>長いテキストデータ、例えば記事内容、コメント</t>
  </si>
  <si>
    <t>日付/時刻型</t>
  </si>
  <si>
    <t>4713 BCから294276 AD</t>
  </si>
  <si>
    <t>歴史的または将来のイベントの日時の記録</t>
  </si>
  <si>
    <t>timestamp [ (p) ] with time zone</t>
  </si>
  <si>
    <t>グローバルで発生するイベントの時間を地域別に記録</t>
  </si>
  <si>
    <t>date</t>
  </si>
  <si>
    <t>4713 BCから5874897 AD</t>
  </si>
  <si>
    <t>日付のみが必要な場合（例：生年月日）</t>
  </si>
  <si>
    <t>time [ (p) ] [ without time zone ]</t>
  </si>
  <si>
    <t>00:00:00から24:00:00</t>
  </si>
  <si>
    <t>日々のスケジュールや業務時間の管理</t>
  </si>
  <si>
    <t>time [ (p) ] with time zone</t>
  </si>
  <si>
    <t>12バイト</t>
  </si>
  <si>
    <t>00:00:00+1459から24:00:00-1459</t>
  </si>
  <si>
    <t>タイムゾーンを考慮した正確な時刻記録</t>
  </si>
  <si>
    <t>interval [ fields ] [ (p) ]</t>
  </si>
  <si>
    <t>-178000000年から178000000年</t>
  </si>
  <si>
    <t>時間の経過、期間の測定（例：保証期間、契約期間）</t>
  </si>
  <si>
    <t>論理型</t>
  </si>
  <si>
    <t>boolean</t>
  </si>
  <si>
    <t>1バイト</t>
  </si>
  <si>
    <t>true/false</t>
  </si>
  <si>
    <t>フラグ、条件式の結果</t>
  </si>
  <si>
    <t>JSON型</t>
  </si>
  <si>
    <t>json</t>
  </si>
  <si>
    <t>設定データ、動的フォームデータ</t>
  </si>
  <si>
    <t>jsonb</t>
  </si>
  <si>
    <t>インデックス付きJSONデータ</t>
  </si>
  <si>
    <t>幾何データ型</t>
  </si>
  <si>
    <t>point</t>
  </si>
  <si>
    <t>16バイト</t>
  </si>
  <si>
    <t>(x, y)</t>
  </si>
  <si>
    <t>地図上の特定の位置を表す</t>
  </si>
  <si>
    <t>line</t>
  </si>
  <si>
    <t>32バイト</t>
  </si>
  <si>
    <t>((x1, y1), (x2, y2))</t>
  </si>
  <si>
    <t>無限に伸びる直線を表現（完全には実装されていない）</t>
  </si>
  <si>
    <t>lseg</t>
  </si>
  <si>
    <t>有限の線分を表す</t>
  </si>
  <si>
    <t>box</t>
  </si>
  <si>
    <t>矩形を表現するために使用</t>
  </si>
  <si>
    <t>path</t>
  </si>
  <si>
    <t>16 + 16nバイト</t>
  </si>
  <si>
    <t>閉経路：((x1, y1), ...)</t>
  </si>
  <si>
    <t>閉じた多角形のパスを表現する</t>
  </si>
  <si>
    <t>開経路：[(x1, y1), ...]</t>
  </si>
  <si>
    <t>開いた経路のパスを表現する</t>
  </si>
  <si>
    <t>polygon</t>
  </si>
  <si>
    <t>40 + 16nバイト</t>
  </si>
  <si>
    <t>((x1, y1), ...)</t>
  </si>
  <si>
    <t>多角形を表現する</t>
  </si>
  <si>
    <t>circle</t>
  </si>
  <si>
    <t>24バイト</t>
  </si>
  <si>
    <t>&lt;(x, y), r&gt;（中心と半径）</t>
  </si>
  <si>
    <t>円を表現するために使用</t>
  </si>
  <si>
    <t>ネットワーク型</t>
  </si>
  <si>
    <t>cidr</t>
  </si>
  <si>
    <t>7もしくは19バイト</t>
  </si>
  <si>
    <t>IPv4、およびIPv6ネットワーク</t>
  </si>
  <si>
    <t>IPアドレスブロックの管理、ネットワーク計画</t>
  </si>
  <si>
    <t>inet</t>
  </si>
  <si>
    <t>IPv4もしくはIPv6ホスト、およびネットワーク</t>
  </si>
  <si>
    <t>個別のIPアドレスおよびそのネットワークマスクの記録</t>
  </si>
  <si>
    <t>macaddr</t>
  </si>
  <si>
    <t>6バイト</t>
  </si>
  <si>
    <t>MACアドレス</t>
  </si>
  <si>
    <t>ネットワークハードウェアの識別</t>
  </si>
  <si>
    <t>ビット列型</t>
  </si>
  <si>
    <t>bit(n)</t>
  </si>
  <si>
    <t>nビット</t>
  </si>
  <si>
    <t>固定長nビット</t>
  </si>
  <si>
    <t>フラグ、ビットマスク、固定長ビットデータの格納</t>
  </si>
  <si>
    <t>bit varying(n)</t>
  </si>
  <si>
    <t>最大nビット</t>
  </si>
  <si>
    <t>可変長最大nビット</t>
  </si>
  <si>
    <t>可変長のビットデータの格納</t>
  </si>
  <si>
    <t>テキスト検索型</t>
  </si>
  <si>
    <t>tsvector</t>
  </si>
  <si>
    <t>ドキュメントの正規化された単語のリストを格納</t>
  </si>
  <si>
    <t>tsquery</t>
  </si>
  <si>
    <t>検索クエリを表す、正規化された単語と論理演算子の組み合わせ</t>
  </si>
  <si>
    <t>regconfig</t>
  </si>
  <si>
    <t>テキスト検索の設定を指定するための型</t>
  </si>
  <si>
    <t>地理空間型</t>
  </si>
  <si>
    <t>geometry</t>
  </si>
  <si>
    <t>地理空間データ (PostGIS拡張で利用)</t>
  </si>
  <si>
    <t>地理情報システム(GIS)のデータ管理</t>
  </si>
  <si>
    <t>UUID型</t>
  </si>
  <si>
    <t>ユニバーサル一意識別子</t>
  </si>
  <si>
    <t>システム全体で一意なIDの生成</t>
  </si>
  <si>
    <t>XML型</t>
  </si>
  <si>
    <t>xml</t>
  </si>
  <si>
    <t>XMLデータ</t>
  </si>
  <si>
    <t>XMLデータの格納と交換</t>
  </si>
  <si>
    <t>列挙型</t>
  </si>
  <si>
    <t>enum</t>
  </si>
  <si>
    <t>列挙型（指定された入力値のみ許容）</t>
  </si>
  <si>
    <t>ステータス、カテゴリ</t>
  </si>
  <si>
    <t>配列型</t>
  </si>
  <si>
    <t>array</t>
  </si>
  <si>
    <t>同一データ型の要素を持つ可変長配列</t>
  </si>
  <si>
    <t>複数の電話番号、趣味リスト</t>
  </si>
  <si>
    <t>範囲型</t>
  </si>
  <si>
    <t>int4range</t>
  </si>
  <si>
    <t>整数の範囲</t>
  </si>
  <si>
    <t>数値範囲を指定する場合、例えば商品の価格範囲</t>
  </si>
  <si>
    <t>int8range</t>
  </si>
  <si>
    <t>大きな整数の範囲</t>
  </si>
  <si>
    <t>データベースにおける大量の数値データの範囲指定</t>
  </si>
  <si>
    <t>numrange</t>
  </si>
  <si>
    <t>数値の範囲</t>
  </si>
  <si>
    <t>金融取引における金額の範囲指定</t>
  </si>
  <si>
    <t>tsrange</t>
  </si>
  <si>
    <t>タイムスタンプの範囲</t>
  </si>
  <si>
    <t>期間を指定するイベントや予約システム</t>
  </si>
  <si>
    <t>tstzrange</t>
  </si>
  <si>
    <t>タイムゾーン付きタイムスタンプの範囲</t>
  </si>
  <si>
    <t>グローバルなイベントのスケジュール管理</t>
  </si>
  <si>
    <t>daterange</t>
  </si>
  <si>
    <t>日付の範囲</t>
  </si>
  <si>
    <t>教育機関における学期や休暇期間の管理</t>
  </si>
  <si>
    <t>timestamp</t>
    <phoneticPr fontId="3"/>
  </si>
  <si>
    <t>ユーザーからユーザーへのいいねを管理する</t>
    <rPh sb="16" eb="18">
      <t>カンリ</t>
    </rPh>
    <phoneticPr fontId="3"/>
  </si>
  <si>
    <t>プロフィールにリンクされる動画を管理する</t>
    <rPh sb="13" eb="15">
      <t>ドウガ</t>
    </rPh>
    <rPh sb="16" eb="18">
      <t>カンリ</t>
    </rPh>
    <phoneticPr fontId="3"/>
  </si>
  <si>
    <t>timestamp [ (p) ] [ without time zone ]</t>
    <phoneticPr fontId="3"/>
  </si>
  <si>
    <t>テーブル一覧でバイト数を計算する用。実際はtimestamp [ (p) ] [ without time zone ]</t>
    <rPh sb="4" eb="6">
      <t>イチラン</t>
    </rPh>
    <rPh sb="10" eb="11">
      <t>スウ</t>
    </rPh>
    <rPh sb="12" eb="14">
      <t>ケイサン</t>
    </rPh>
    <rPh sb="16" eb="17">
      <t>ヨウ</t>
    </rPh>
    <rPh sb="18" eb="20">
      <t>ジッサイ</t>
    </rPh>
    <phoneticPr fontId="3"/>
  </si>
  <si>
    <t>Vtuberプロフィール(各言語)</t>
    <rPh sb="13" eb="14">
      <t>カク</t>
    </rPh>
    <rPh sb="14" eb="16">
      <t>ゲンゴ</t>
    </rPh>
    <phoneticPr fontId="3"/>
  </si>
  <si>
    <t>vtuber_profiles_lang</t>
    <phoneticPr fontId="3"/>
  </si>
  <si>
    <t>x</t>
    <phoneticPr fontId="3"/>
  </si>
  <si>
    <t>プロフィール本体。特に言語に依存しないIDや数値、FKが設定してあるものなど</t>
    <rPh sb="9" eb="10">
      <t>トク</t>
    </rPh>
    <rPh sb="11" eb="13">
      <t>ゲンゴ</t>
    </rPh>
    <rPh sb="14" eb="16">
      <t>イゾン</t>
    </rPh>
    <rPh sb="22" eb="24">
      <t>スウチ</t>
    </rPh>
    <rPh sb="28" eb="30">
      <t>セッテイ</t>
    </rPh>
    <phoneticPr fontId="3"/>
  </si>
  <si>
    <t>プロフィール本体。特に言語に依存する項目</t>
    <rPh sb="9" eb="10">
      <t>トク</t>
    </rPh>
    <rPh sb="11" eb="13">
      <t>ゲンゴ</t>
    </rPh>
    <rPh sb="14" eb="16">
      <t>イゾン</t>
    </rPh>
    <rPh sb="18" eb="20">
      <t>コウモク</t>
    </rPh>
    <phoneticPr fontId="3"/>
  </si>
  <si>
    <t>x</t>
    <phoneticPr fontId="3"/>
  </si>
  <si>
    <t>言語</t>
    <phoneticPr fontId="3"/>
  </si>
  <si>
    <t>lang</t>
    <phoneticPr fontId="3"/>
  </si>
  <si>
    <t>join_group</t>
    <phoneticPr fontId="3"/>
  </si>
  <si>
    <t>プロフィールのタグ</t>
    <phoneticPr fontId="3"/>
  </si>
  <si>
    <t>プロフィールに紐づくタグを管理する</t>
    <rPh sb="7" eb="8">
      <t>ヒモ</t>
    </rPh>
    <rPh sb="13" eb="15">
      <t>カンリ</t>
    </rPh>
    <phoneticPr fontId="3"/>
  </si>
  <si>
    <t>images_system</t>
    <phoneticPr fontId="3"/>
  </si>
  <si>
    <t>格納サイズ(byte)</t>
  </si>
  <si>
    <t>格納サイズ(bit)</t>
  </si>
  <si>
    <t>x</t>
    <phoneticPr fontId="3"/>
  </si>
  <si>
    <t>profile_tag</t>
    <phoneticPr fontId="3"/>
  </si>
  <si>
    <t>users</t>
    <phoneticPr fontId="3"/>
  </si>
  <si>
    <t>"default"</t>
    <phoneticPr fontId="3"/>
  </si>
  <si>
    <t>"japan"</t>
    <phoneticPr fontId="3"/>
  </si>
  <si>
    <t>vtuber_profiles_id</t>
    <phoneticPr fontId="3"/>
  </si>
  <si>
    <t>tag</t>
    <phoneticPr fontId="3"/>
  </si>
  <si>
    <t>vtuber_profiles_id + tag で UNIQUEにする</t>
    <phoneticPr fontId="3"/>
  </si>
  <si>
    <t>images_contents</t>
    <phoneticPr fontId="3"/>
  </si>
  <si>
    <t>△</t>
  </si>
  <si>
    <t>△</t>
    <phoneticPr fontId="3"/>
  </si>
  <si>
    <t>x(PK制約)</t>
    <rPh sb="4" eb="6">
      <t>セイヤク</t>
    </rPh>
    <phoneticPr fontId="3"/>
  </si>
  <si>
    <t>vtuber_profiles_id + lang で UNIQUEにする</t>
    <phoneticPr fontId="3"/>
  </si>
  <si>
    <t>likes</t>
    <phoneticPr fontId="3"/>
  </si>
  <si>
    <t>likes_do_user</t>
  </si>
  <si>
    <t>likes_do_user + likes_target_user + likes_type で UNIQUEにする</t>
  </si>
  <si>
    <t>likes_target_user</t>
  </si>
  <si>
    <t>likes_type</t>
  </si>
  <si>
    <t>プロフィール、編集の2種。likes_do_user + likes_target_user + likes_type で UNIQUEにする</t>
  </si>
  <si>
    <t>likes_datetime</t>
  </si>
  <si>
    <t>profile_activity</t>
    <phoneticPr fontId="3"/>
  </si>
  <si>
    <t>プロフィールの活動ジャンル</t>
    <rPh sb="7" eb="9">
      <t>カツドウ</t>
    </rPh>
    <phoneticPr fontId="3"/>
  </si>
  <si>
    <t>varchar(16)</t>
    <phoneticPr fontId="3"/>
  </si>
  <si>
    <t>activity</t>
    <phoneticPr fontId="3"/>
  </si>
  <si>
    <t>vtuber_profiles_id + activity で UNIQUEにする</t>
    <phoneticPr fontId="3"/>
  </si>
  <si>
    <t>プロフィールに紐づく活動ジャンルを管理する</t>
    <rPh sb="7" eb="8">
      <t>ヒモ</t>
    </rPh>
    <rPh sb="10" eb="12">
      <t>カツドウ</t>
    </rPh>
    <rPh sb="17" eb="19">
      <t>カンリ</t>
    </rPh>
    <phoneticPr fontId="3"/>
  </si>
  <si>
    <t>timestamptz</t>
    <phoneticPr fontId="3"/>
  </si>
  <si>
    <t>timestamptz</t>
    <phoneticPr fontId="3"/>
  </si>
  <si>
    <t>enum</t>
    <phoneticPr fontId="3"/>
  </si>
  <si>
    <t>boolean</t>
    <phoneticPr fontId="3"/>
  </si>
  <si>
    <t>UUID</t>
    <phoneticPr fontId="3"/>
  </si>
  <si>
    <t>users.users_uuid</t>
  </si>
  <si>
    <t>join_group.join_group_uuid</t>
  </si>
  <si>
    <t>activity_status.activity_status_uuid</t>
  </si>
  <si>
    <t>vtuber_profiles.vtuber_profiles_uuid</t>
  </si>
  <si>
    <t>sns_support.sns_support_uuid</t>
  </si>
  <si>
    <t>screen_word.screen_word_uuid</t>
  </si>
  <si>
    <t>response_status.response_status_uuid</t>
  </si>
  <si>
    <t>priority.priority_uuid</t>
  </si>
  <si>
    <t>language.language_uuid</t>
  </si>
  <si>
    <t>screen_element.screen_element_uuid</t>
  </si>
  <si>
    <t>images_system.images_system_uuid</t>
  </si>
  <si>
    <t>report_reason.report_reason_uuid</t>
  </si>
  <si>
    <t>user_role.user_role_uuid</t>
  </si>
  <si>
    <t>theme.theme_uuid</t>
  </si>
  <si>
    <t>tag.tag_uuid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</si>
</sst>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游ゴシック"/>
      <family val="3"/>
      <charset val="128"/>
    </font>
    <font>
      <u/>
      <sz val="11"/>
      <color theme="10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1"/>
      <name val="游ゴシック"/>
      <family val="3"/>
      <charset val="128"/>
    </font>
    <font>
      <b/>
      <sz val="11"/>
      <color theme="1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EDEEEE"/>
        <bgColor rgb="FFEDEEEE"/>
      </patternFill>
    </fill>
    <fill>
      <patternFill patternType="solid">
        <fgColor theme="0" tint="-0.499984740745262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qiita.com/hk_arc/items/0474d28bc8620571db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pane xSplit="2" ySplit="1" topLeftCell="C3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4.5" defaultRowHeight="15" customHeight="1"/>
  <cols>
    <col min="1" max="1" width="8.6640625" customWidth="1"/>
    <col min="2" max="2" width="3.83203125" customWidth="1"/>
    <col min="3" max="3" width="23.83203125" bestFit="1" customWidth="1"/>
    <col min="4" max="4" width="31.33203125" bestFit="1" customWidth="1"/>
    <col min="5" max="5" width="28.5" customWidth="1"/>
    <col min="6" max="6" width="21.6640625" bestFit="1" customWidth="1"/>
    <col min="7" max="7" width="110.6640625" customWidth="1"/>
    <col min="8" max="26" width="8.6640625" customWidth="1"/>
  </cols>
  <sheetData>
    <row r="1" spans="1:8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.75" customHeight="1">
      <c r="A2" s="1" t="str">
        <f ca="1">IF(COUNTIFS(テーブル定義_一覧!$D:$D,$C2,テーブル定義_一覧!$A:$A,"")&gt;0,"","〇")</f>
        <v>〇</v>
      </c>
      <c r="B2" s="2">
        <f t="shared" ref="B2:B28" si="0">ROW()-1</f>
        <v>1</v>
      </c>
      <c r="C2" s="3" t="str" cm="1">
        <f t="array" aca="1" ref="C2:C28" ca="1">_xlfn.UNIQUE(_xlfn._xlws.FILTER(テーブル定義_一覧!D:D,(テーブル定義_一覧!D:D&lt;&gt;"")*(テーブル定義_一覧!D:D&lt;&gt;"テーブル名(物理名)")))</f>
        <v>vtuber_profiles</v>
      </c>
      <c r="D2" s="3" t="str">
        <f ca="1">_xlfn.XLOOKUP(C2,テーブル定義_一覧!D:D,テーブル定義_一覧!E:E,"error")</f>
        <v>Vtuberプロフィール</v>
      </c>
      <c r="E2" s="3">
        <f ca="1">SUMIF(テーブル定義_一覧!D:D,C2,テーブル定義_一覧!I:I)</f>
        <v>1288</v>
      </c>
      <c r="F2" s="3" t="s">
        <v>8</v>
      </c>
      <c r="G2" s="3" t="s">
        <v>477</v>
      </c>
      <c r="H2" s="3"/>
    </row>
    <row r="3" spans="1:8" ht="18.75" customHeight="1">
      <c r="A3" s="1" t="str">
        <f ca="1">IF(COUNTIFS(テーブル定義_一覧!$D:$D,$C3,テーブル定義_一覧!$A:$A,"")&gt;0,"","〇")</f>
        <v>〇</v>
      </c>
      <c r="B3" s="2">
        <f t="shared" si="0"/>
        <v>2</v>
      </c>
      <c r="C3" s="3" t="str">
        <f ca="1"/>
        <v>join_group</v>
      </c>
      <c r="D3" s="3" t="str">
        <f ca="1">_xlfn.XLOOKUP(C3,テーブル定義_一覧!D:D,テーブル定義_一覧!E:E,"error")</f>
        <v>所属</v>
      </c>
      <c r="E3" s="3">
        <f ca="1">SUMIF(テーブル定義_一覧!D:D,C3,テーブル定義_一覧!I:I)</f>
        <v>1416</v>
      </c>
      <c r="F3" s="3" t="s">
        <v>8</v>
      </c>
      <c r="G3" s="3" t="s">
        <v>9</v>
      </c>
      <c r="H3" s="3"/>
    </row>
    <row r="4" spans="1:8" ht="18.75" customHeight="1">
      <c r="A4" s="1" t="str">
        <f ca="1">IF(COUNTIFS(テーブル定義_一覧!$D:$D,$C4,テーブル定義_一覧!$A:$A,"")&gt;0,"","〇")</f>
        <v>〇</v>
      </c>
      <c r="B4" s="2">
        <f t="shared" si="0"/>
        <v>3</v>
      </c>
      <c r="C4" s="3" t="str">
        <f ca="1"/>
        <v>tag</v>
      </c>
      <c r="D4" s="3" t="str">
        <f ca="1">_xlfn.XLOOKUP(C4,テーブル定義_一覧!D:D,テーブル定義_一覧!E:E,"error")</f>
        <v>タグ</v>
      </c>
      <c r="E4" s="3">
        <f ca="1">SUMIF(テーブル定義_一覧!D:D,C4,テーブル定義_一覧!I:I)</f>
        <v>776</v>
      </c>
      <c r="F4" s="3" t="s">
        <v>8</v>
      </c>
      <c r="G4" s="3" t="s">
        <v>10</v>
      </c>
      <c r="H4" s="3"/>
    </row>
    <row r="5" spans="1:8" ht="18.75" customHeight="1">
      <c r="A5" s="1" t="str">
        <f ca="1">IF(COUNTIFS(テーブル定義_一覧!$D:$D,$C5,テーブル定義_一覧!$A:$A,"")&gt;0,"","〇")</f>
        <v>〇</v>
      </c>
      <c r="B5" s="2">
        <f t="shared" si="0"/>
        <v>4</v>
      </c>
      <c r="C5" s="3" t="str">
        <f ca="1"/>
        <v>badge</v>
      </c>
      <c r="D5" s="3" t="str">
        <f ca="1">_xlfn.XLOOKUP(C5,テーブル定義_一覧!D:D,テーブル定義_一覧!E:E,"error")</f>
        <v>バッジ</v>
      </c>
      <c r="E5" s="3">
        <f ca="1">SUMIF(テーブル定義_一覧!D:D,C5,テーブル定義_一覧!I:I)</f>
        <v>1160</v>
      </c>
      <c r="F5" s="3" t="s">
        <v>11</v>
      </c>
      <c r="G5" s="3" t="s">
        <v>12</v>
      </c>
      <c r="H5" s="3"/>
    </row>
    <row r="6" spans="1:8" ht="18.75" customHeight="1">
      <c r="A6" s="1" t="str">
        <f ca="1">IF(COUNTIFS(テーブル定義_一覧!$D:$D,$C6,テーブル定義_一覧!$A:$A,"")&gt;0,"","〇")</f>
        <v>〇</v>
      </c>
      <c r="B6" s="2">
        <f t="shared" si="0"/>
        <v>5</v>
      </c>
      <c r="C6" s="3" t="str">
        <f ca="1"/>
        <v>activity_status</v>
      </c>
      <c r="D6" s="3" t="str">
        <f ca="1">_xlfn.XLOOKUP(C6,テーブル定義_一覧!D:D,テーブル定義_一覧!E:E,"error")</f>
        <v>活動状態</v>
      </c>
      <c r="E6" s="3">
        <f ca="1">SUMIF(テーブル定義_一覧!D:D,C6,テーブル定義_一覧!I:I)</f>
        <v>904</v>
      </c>
      <c r="F6" s="3" t="s">
        <v>11</v>
      </c>
      <c r="G6" s="3" t="s">
        <v>13</v>
      </c>
      <c r="H6" s="3"/>
    </row>
    <row r="7" spans="1:8" ht="18.75" customHeight="1">
      <c r="A7" s="1" t="str">
        <f ca="1">IF(COUNTIFS(テーブル定義_一覧!$D:$D,$C7,テーブル定義_一覧!$A:$A,"")&gt;0,"","〇")</f>
        <v>〇</v>
      </c>
      <c r="B7" s="2">
        <f t="shared" si="0"/>
        <v>6</v>
      </c>
      <c r="C7" s="3" t="str">
        <f ca="1"/>
        <v>sns_link</v>
      </c>
      <c r="D7" s="3" t="str">
        <f ca="1">_xlfn.XLOOKUP(C7,テーブル定義_一覧!D:D,テーブル定義_一覧!E:E,"error")</f>
        <v>SNSリンク</v>
      </c>
      <c r="E7" s="3">
        <f ca="1">SUMIF(テーブル定義_一覧!D:D,C7,テーブル定義_一覧!I:I)</f>
        <v>1288</v>
      </c>
      <c r="F7" s="3" t="s">
        <v>8</v>
      </c>
      <c r="G7" s="3" t="s">
        <v>14</v>
      </c>
      <c r="H7" s="3"/>
    </row>
    <row r="8" spans="1:8" ht="18.75" customHeight="1">
      <c r="A8" s="1" t="str">
        <f ca="1">IF(COUNTIFS(テーブル定義_一覧!$D:$D,$C8,テーブル定義_一覧!$A:$A,"")&gt;0,"","〇")</f>
        <v>〇</v>
      </c>
      <c r="B8" s="2">
        <f t="shared" si="0"/>
        <v>7</v>
      </c>
      <c r="C8" s="3" t="str">
        <f ca="1"/>
        <v>bbs_res</v>
      </c>
      <c r="D8" s="3" t="str">
        <f ca="1">_xlfn.XLOOKUP(C8,テーブル定義_一覧!D:D,テーブル定義_一覧!E:E,"error")</f>
        <v>BBS</v>
      </c>
      <c r="E8" s="3">
        <f ca="1">SUMIF(テーブル定義_一覧!D:D,C8,テーブル定義_一覧!I:I)</f>
        <v>1096</v>
      </c>
      <c r="F8" s="3" t="s">
        <v>8</v>
      </c>
      <c r="G8" s="3" t="s">
        <v>15</v>
      </c>
      <c r="H8" s="3"/>
    </row>
    <row r="9" spans="1:8" ht="18.75" customHeight="1">
      <c r="A9" s="1" t="str">
        <f ca="1">IF(COUNTIFS(テーブル定義_一覧!$D:$D,$C9,テーブル定義_一覧!$A:$A,"")&gt;0,"","〇")</f>
        <v>〇</v>
      </c>
      <c r="B9" s="2">
        <f t="shared" si="0"/>
        <v>8</v>
      </c>
      <c r="C9" s="3" t="str">
        <f ca="1"/>
        <v>page_author</v>
      </c>
      <c r="D9" s="3" t="str">
        <f ca="1">_xlfn.XLOOKUP(C9,テーブル定義_一覧!D:D,テーブル定義_一覧!E:E,"error")</f>
        <v>ページ編集者</v>
      </c>
      <c r="E9" s="3">
        <f ca="1">SUMIF(テーブル定義_一覧!D:D,C9,テーブル定義_一覧!I:I)</f>
        <v>1256</v>
      </c>
      <c r="F9" s="3" t="s">
        <v>8</v>
      </c>
      <c r="G9" s="3" t="s">
        <v>16</v>
      </c>
      <c r="H9" s="3"/>
    </row>
    <row r="10" spans="1:8" ht="18.75" customHeight="1">
      <c r="A10" s="1" t="str">
        <f ca="1">IF(COUNTIFS(テーブル定義_一覧!$D:$D,$C10,テーブル定義_一覧!$A:$A,"")&gt;0,"","〇")</f>
        <v>〇</v>
      </c>
      <c r="B10" s="2">
        <f t="shared" si="0"/>
        <v>9</v>
      </c>
      <c r="C10" s="3" t="str">
        <f ca="1"/>
        <v>contact</v>
      </c>
      <c r="D10" s="3" t="str">
        <f ca="1">_xlfn.XLOOKUP(C10,テーブル定義_一覧!D:D,テーブル定義_一覧!E:E,"error")</f>
        <v>問い合わせ</v>
      </c>
      <c r="E10" s="3">
        <f ca="1">SUMIF(テーブル定義_一覧!D:D,C10,テーブル定義_一覧!I:I)</f>
        <v>5112</v>
      </c>
      <c r="F10" s="3" t="s">
        <v>8</v>
      </c>
      <c r="G10" s="3" t="s">
        <v>17</v>
      </c>
      <c r="H10" s="3"/>
    </row>
    <row r="11" spans="1:8" ht="18.75" customHeight="1">
      <c r="A11" s="1" t="str">
        <f ca="1">IF(COUNTIFS(テーブル定義_一覧!$D:$D,$C11,テーブル定義_一覧!$A:$A,"")&gt;0,"","〇")</f>
        <v>〇</v>
      </c>
      <c r="B11" s="2">
        <f t="shared" si="0"/>
        <v>10</v>
      </c>
      <c r="C11" s="3" t="str">
        <f ca="1"/>
        <v>priority</v>
      </c>
      <c r="D11" s="3" t="str">
        <f ca="1">_xlfn.XLOOKUP(C11,テーブル定義_一覧!D:D,テーブル定義_一覧!E:E,"error")</f>
        <v>優先度</v>
      </c>
      <c r="E11" s="3">
        <f ca="1">SUMIF(テーブル定義_一覧!D:D,C11,テーブル定義_一覧!I:I)</f>
        <v>904</v>
      </c>
      <c r="F11" s="3" t="s">
        <v>11</v>
      </c>
      <c r="G11" s="3" t="s">
        <v>18</v>
      </c>
      <c r="H11" s="3"/>
    </row>
    <row r="12" spans="1:8" ht="18.75" customHeight="1">
      <c r="A12" s="1" t="str">
        <f ca="1">IF(COUNTIFS(テーブル定義_一覧!$D:$D,$C12,テーブル定義_一覧!$A:$A,"")&gt;0,"","〇")</f>
        <v>〇</v>
      </c>
      <c r="B12" s="2">
        <f t="shared" si="0"/>
        <v>11</v>
      </c>
      <c r="C12" s="3" t="str">
        <f ca="1"/>
        <v>response_status</v>
      </c>
      <c r="D12" s="3" t="str">
        <f ca="1">_xlfn.XLOOKUP(C12,テーブル定義_一覧!D:D,テーブル定義_一覧!E:E,"error")</f>
        <v>対応状況</v>
      </c>
      <c r="E12" s="3">
        <f ca="1">SUMIF(テーブル定義_一覧!D:D,C12,テーブル定義_一覧!I:I)</f>
        <v>904</v>
      </c>
      <c r="F12" s="3" t="s">
        <v>11</v>
      </c>
      <c r="G12" s="3" t="s">
        <v>19</v>
      </c>
      <c r="H12" s="3"/>
    </row>
    <row r="13" spans="1:8" ht="18.75" customHeight="1">
      <c r="A13" s="1" t="str">
        <f ca="1">IF(COUNTIFS(テーブル定義_一覧!$D:$D,$C13,テーブル定義_一覧!$A:$A,"")&gt;0,"","〇")</f>
        <v>〇</v>
      </c>
      <c r="B13" s="2">
        <f t="shared" si="0"/>
        <v>12</v>
      </c>
      <c r="C13" s="3" t="str">
        <f ca="1"/>
        <v>language</v>
      </c>
      <c r="D13" s="3" t="str">
        <f ca="1">_xlfn.XLOOKUP(C13,テーブル定義_一覧!D:D,テーブル定義_一覧!E:E,"error")</f>
        <v>表示言語</v>
      </c>
      <c r="E13" s="3">
        <f ca="1">SUMIF(テーブル定義_一覧!D:D,C13,テーブル定義_一覧!I:I)</f>
        <v>1488</v>
      </c>
      <c r="F13" s="3" t="s">
        <v>11</v>
      </c>
      <c r="G13" s="3" t="s">
        <v>20</v>
      </c>
      <c r="H13" s="3"/>
    </row>
    <row r="14" spans="1:8" ht="18.75" customHeight="1">
      <c r="A14" s="1" t="str">
        <f ca="1">IF(COUNTIFS(テーブル定義_一覧!$D:$D,$C14,テーブル定義_一覧!$A:$A,"")&gt;0,"","〇")</f>
        <v>〇</v>
      </c>
      <c r="B14" s="2">
        <f t="shared" si="0"/>
        <v>13</v>
      </c>
      <c r="C14" s="3" t="str">
        <f ca="1"/>
        <v>screen_word</v>
      </c>
      <c r="D14" s="3" t="str">
        <f ca="1">_xlfn.XLOOKUP(C14,テーブル定義_一覧!D:D,テーブル定義_一覧!E:E,"error")</f>
        <v>画面文言</v>
      </c>
      <c r="E14" s="3">
        <f ca="1">SUMIF(テーブル定義_一覧!D:D,C14,テーブル定義_一覧!I:I)</f>
        <v>1032</v>
      </c>
      <c r="F14" s="3" t="s">
        <v>11</v>
      </c>
      <c r="G14" s="3" t="s">
        <v>21</v>
      </c>
      <c r="H14" s="3"/>
    </row>
    <row r="15" spans="1:8" ht="18.75" customHeight="1">
      <c r="A15" s="1" t="str">
        <f ca="1">IF(COUNTIFS(テーブル定義_一覧!$D:$D,$C15,テーブル定義_一覧!$A:$A,"")&gt;0,"","〇")</f>
        <v>〇</v>
      </c>
      <c r="B15" s="2">
        <f t="shared" si="0"/>
        <v>14</v>
      </c>
      <c r="C15" s="3" t="str">
        <f ca="1"/>
        <v>sns_support</v>
      </c>
      <c r="D15" s="3" t="str">
        <f ca="1">_xlfn.XLOOKUP(C15,テーブル定義_一覧!D:D,テーブル定義_一覧!E:E,"error")</f>
        <v>サポートするSNS</v>
      </c>
      <c r="E15" s="3">
        <f ca="1">SUMIF(テーブル定義_一覧!D:D,C15,テーブル定義_一覧!I:I)</f>
        <v>1104</v>
      </c>
      <c r="F15" s="3" t="s">
        <v>11</v>
      </c>
      <c r="G15" s="3" t="s">
        <v>22</v>
      </c>
      <c r="H15" s="3"/>
    </row>
    <row r="16" spans="1:8" ht="18.75" customHeight="1">
      <c r="A16" s="1" t="str">
        <f ca="1">IF(COUNTIFS(テーブル定義_一覧!$D:$D,$C16,テーブル定義_一覧!$A:$A,"")&gt;0,"","〇")</f>
        <v>〇</v>
      </c>
      <c r="B16" s="2">
        <f t="shared" si="0"/>
        <v>15</v>
      </c>
      <c r="C16" s="3" t="str">
        <f ca="1"/>
        <v>profile_report</v>
      </c>
      <c r="D16" s="3" t="str">
        <f ca="1">_xlfn.XLOOKUP(C16,テーブル定義_一覧!D:D,テーブル定義_一覧!E:E,"error")</f>
        <v>プロフィール通報</v>
      </c>
      <c r="E16" s="3">
        <f ca="1">SUMIF(テーブル定義_一覧!D:D,C16,テーブル定義_一覧!I:I)</f>
        <v>1224</v>
      </c>
      <c r="F16" s="3" t="s">
        <v>8</v>
      </c>
      <c r="G16" s="3" t="s">
        <v>23</v>
      </c>
      <c r="H16" s="3"/>
    </row>
    <row r="17" spans="1:8" ht="18.75" customHeight="1">
      <c r="A17" s="1" t="str">
        <f ca="1">IF(COUNTIFS(テーブル定義_一覧!$D:$D,$C17,テーブル定義_一覧!$A:$A,"")&gt;0,"","〇")</f>
        <v>〇</v>
      </c>
      <c r="B17" s="2">
        <f t="shared" si="0"/>
        <v>16</v>
      </c>
      <c r="C17" s="3" t="str">
        <f ca="1"/>
        <v>report_reason</v>
      </c>
      <c r="D17" s="3" t="str">
        <f ca="1">_xlfn.XLOOKUP(C17,テーブル定義_一覧!D:D,テーブル定義_一覧!E:E,"error")</f>
        <v>通報理由</v>
      </c>
      <c r="E17" s="3">
        <f ca="1">SUMIF(テーブル定義_一覧!D:D,C17,テーブル定義_一覧!I:I)</f>
        <v>1032</v>
      </c>
      <c r="F17" s="3" t="s">
        <v>11</v>
      </c>
      <c r="G17" s="3" t="s">
        <v>24</v>
      </c>
      <c r="H17" s="3"/>
    </row>
    <row r="18" spans="1:8" ht="18.75" customHeight="1">
      <c r="A18" s="1" t="str">
        <f ca="1">IF(COUNTIFS(テーブル定義_一覧!$D:$D,$C18,テーブル定義_一覧!$A:$A,"")&gt;0,"","〇")</f>
        <v>〇</v>
      </c>
      <c r="B18" s="2">
        <f t="shared" si="0"/>
        <v>17</v>
      </c>
      <c r="C18" s="3" t="str">
        <f ca="1"/>
        <v>users</v>
      </c>
      <c r="D18" s="3" t="str">
        <f ca="1">_xlfn.XLOOKUP(C18,テーブル定義_一覧!D:D,テーブル定義_一覧!E:E,"error")</f>
        <v>ユーザー</v>
      </c>
      <c r="E18" s="3">
        <f ca="1">SUMIF(テーブル定義_一覧!D:D,C18,テーブル定義_一覧!I:I)</f>
        <v>1936</v>
      </c>
      <c r="F18" s="3" t="s">
        <v>8</v>
      </c>
      <c r="G18" s="3" t="s">
        <v>25</v>
      </c>
      <c r="H18" s="3"/>
    </row>
    <row r="19" spans="1:8" ht="18.75" customHeight="1">
      <c r="A19" s="1" t="str">
        <f ca="1">IF(COUNTIFS(テーブル定義_一覧!$D:$D,$C19,テーブル定義_一覧!$A:$A,"")&gt;0,"","〇")</f>
        <v>〇</v>
      </c>
      <c r="B19" s="2">
        <f t="shared" si="0"/>
        <v>18</v>
      </c>
      <c r="C19" s="3" t="str">
        <f ca="1"/>
        <v>theme</v>
      </c>
      <c r="D19" s="3" t="str">
        <f ca="1">_xlfn.XLOOKUP(C19,テーブル定義_一覧!D:D,テーブル定義_一覧!E:E,"error")</f>
        <v>画面テーマ</v>
      </c>
      <c r="E19" s="3">
        <f ca="1">SUMIF(テーブル定義_一覧!D:D,C19,テーブル定義_一覧!I:I)</f>
        <v>1032</v>
      </c>
      <c r="F19" s="3" t="s">
        <v>11</v>
      </c>
      <c r="G19" s="3" t="s">
        <v>26</v>
      </c>
      <c r="H19" s="3"/>
    </row>
    <row r="20" spans="1:8" ht="18.75" customHeight="1">
      <c r="A20" s="1" t="str">
        <f ca="1">IF(COUNTIFS(テーブル定義_一覧!$D:$D,$C20,テーブル定義_一覧!$A:$A,"")&gt;0,"","〇")</f>
        <v>〇</v>
      </c>
      <c r="B20" s="2">
        <f t="shared" si="0"/>
        <v>19</v>
      </c>
      <c r="C20" s="3" t="str">
        <f ca="1"/>
        <v>user_role</v>
      </c>
      <c r="D20" s="3" t="str">
        <f ca="1">_xlfn.XLOOKUP(C20,テーブル定義_一覧!D:D,テーブル定義_一覧!E:E,"error")</f>
        <v>ユーザー権限</v>
      </c>
      <c r="E20" s="3">
        <f ca="1">SUMIF(テーブル定義_一覧!D:D,C20,テーブル定義_一覧!I:I)</f>
        <v>904</v>
      </c>
      <c r="F20" s="3" t="s">
        <v>11</v>
      </c>
      <c r="G20" s="3" t="s">
        <v>27</v>
      </c>
      <c r="H20" s="3"/>
    </row>
    <row r="21" spans="1:8" ht="18.75" customHeight="1">
      <c r="A21" s="1" t="str">
        <f ca="1">IF(COUNTIFS(テーブル定義_一覧!$D:$D,$C21,テーブル定義_一覧!$A:$A,"")&gt;0,"","〇")</f>
        <v>〇</v>
      </c>
      <c r="B21" s="2">
        <f t="shared" si="0"/>
        <v>20</v>
      </c>
      <c r="C21" s="3" t="str">
        <f ca="1"/>
        <v>images_contents</v>
      </c>
      <c r="D21" s="3" t="str">
        <f ca="1">_xlfn.XLOOKUP(C21,テーブル定義_一覧!D:D,テーブル定義_一覧!E:E,"error")</f>
        <v>画像(ユーザー投稿)</v>
      </c>
      <c r="E21" s="3">
        <f ca="1">SUMIF(テーブル定義_一覧!D:D,C21,テーブル定義_一覧!I:I)</f>
        <v>12496</v>
      </c>
      <c r="F21" s="3" t="s">
        <v>8</v>
      </c>
      <c r="G21" s="3" t="s">
        <v>28</v>
      </c>
      <c r="H21" s="3"/>
    </row>
    <row r="22" spans="1:8" ht="18.75" customHeight="1">
      <c r="A22" s="1" t="str">
        <f ca="1">IF(COUNTIFS(テーブル定義_一覧!$D:$D,$C22,テーブル定義_一覧!$A:$A,"")&gt;0,"","〇")</f>
        <v>〇</v>
      </c>
      <c r="B22" s="2">
        <f t="shared" si="0"/>
        <v>21</v>
      </c>
      <c r="C22" s="3" t="str">
        <f ca="1"/>
        <v>images_system</v>
      </c>
      <c r="D22" s="3" t="str">
        <f ca="1">_xlfn.XLOOKUP(C22,テーブル定義_一覧!D:D,テーブル定義_一覧!E:E,"error")</f>
        <v>画像(システム管理)</v>
      </c>
      <c r="E22" s="3">
        <f ca="1">SUMIF(テーブル定義_一覧!D:D,C22,テーブル定義_一覧!I:I)</f>
        <v>12368</v>
      </c>
      <c r="F22" s="3" t="s">
        <v>11</v>
      </c>
      <c r="G22" s="3" t="s">
        <v>29</v>
      </c>
      <c r="H22" s="3"/>
    </row>
    <row r="23" spans="1:8" ht="18.75" customHeight="1">
      <c r="A23" s="1" t="str">
        <f ca="1">IF(COUNTIFS(テーブル定義_一覧!$D:$D,$C23,テーブル定義_一覧!$A:$A,"")&gt;0,"","〇")</f>
        <v>〇</v>
      </c>
      <c r="B23" s="2">
        <f t="shared" si="0"/>
        <v>22</v>
      </c>
      <c r="C23" s="5" t="str">
        <f ca="1"/>
        <v>screen_element</v>
      </c>
      <c r="D23" s="3" t="str">
        <f ca="1">_xlfn.XLOOKUP(C23,テーブル定義_一覧!D:D,テーブル定義_一覧!E:E,"error")</f>
        <v>画面要素</v>
      </c>
      <c r="E23" s="5">
        <f ca="1">SUMIF(テーブル定義_一覧!D:D,C23,テーブル定義_一覧!I:I)</f>
        <v>904</v>
      </c>
      <c r="F23" s="5" t="s">
        <v>11</v>
      </c>
      <c r="G23" s="5" t="s">
        <v>30</v>
      </c>
      <c r="H23" s="5"/>
    </row>
    <row r="24" spans="1:8" ht="18.75" customHeight="1">
      <c r="A24" s="1" t="str">
        <f ca="1">IF(COUNTIFS(テーブル定義_一覧!$D:$D,$C24,テーブル定義_一覧!$A:$A,"")&gt;0,"","〇")</f>
        <v>〇</v>
      </c>
      <c r="B24" s="4">
        <f t="shared" si="0"/>
        <v>23</v>
      </c>
      <c r="C24" s="6" t="str">
        <f ca="1"/>
        <v>likes</v>
      </c>
      <c r="D24" s="3" t="str">
        <f ca="1">_xlfn.XLOOKUP(C24,テーブル定義_一覧!D:D,テーブル定義_一覧!E:E,"error")</f>
        <v>いいね</v>
      </c>
      <c r="E24" s="6">
        <f ca="1">SUMIF(テーブル定義_一覧!D:D,C24,テーブル定義_一覧!I:I)</f>
        <v>1096</v>
      </c>
      <c r="F24" s="3" t="s">
        <v>8</v>
      </c>
      <c r="G24" s="6" t="s">
        <v>470</v>
      </c>
      <c r="H24" s="6"/>
    </row>
    <row r="25" spans="1:8" ht="18.75" customHeight="1">
      <c r="A25" s="1" t="str">
        <f ca="1">IF(COUNTIFS(テーブル定義_一覧!$D:$D,$C25,テーブル定義_一覧!$A:$A,"")&gt;0,"","〇")</f>
        <v>〇</v>
      </c>
      <c r="B25" s="4">
        <f t="shared" si="0"/>
        <v>24</v>
      </c>
      <c r="C25" s="6" t="str">
        <f ca="1"/>
        <v>movie_link</v>
      </c>
      <c r="D25" s="3" t="str">
        <f ca="1">_xlfn.XLOOKUP(C25,テーブル定義_一覧!D:D,テーブル定義_一覧!E:E,"error")</f>
        <v>動画リンク</v>
      </c>
      <c r="E25" s="6">
        <f ca="1">SUMIF(テーブル定義_一覧!D:D,C25,テーブル定義_一覧!I:I)</f>
        <v>968</v>
      </c>
      <c r="F25" s="3" t="s">
        <v>8</v>
      </c>
      <c r="G25" s="6" t="s">
        <v>471</v>
      </c>
      <c r="H25" s="6"/>
    </row>
    <row r="26" spans="1:8" ht="18.75" customHeight="1">
      <c r="A26" s="1" t="str">
        <f ca="1">IF(COUNTIFS(テーブル定義_一覧!$D:$D,$C26,テーブル定義_一覧!$A:$A,"")&gt;0,"","〇")</f>
        <v>〇</v>
      </c>
      <c r="B26" s="4">
        <f t="shared" si="0"/>
        <v>25</v>
      </c>
      <c r="C26" s="6" t="str">
        <f ca="1"/>
        <v>vtuber_profiles_lang</v>
      </c>
      <c r="D26" s="3" t="str">
        <f ca="1">_xlfn.XLOOKUP(C26,テーブル定義_一覧!D:D,テーブル定義_一覧!E:E,"error")</f>
        <v>Vtuberプロフィール(各言語)</v>
      </c>
      <c r="E26" s="6">
        <f ca="1">SUMIF(テーブル定義_一覧!D:D,C26,テーブル定義_一覧!I:I)</f>
        <v>6152</v>
      </c>
      <c r="F26" s="5" t="s">
        <v>8</v>
      </c>
      <c r="G26" s="5" t="s">
        <v>478</v>
      </c>
      <c r="H26" s="6"/>
    </row>
    <row r="27" spans="1:8" ht="18.75" customHeight="1">
      <c r="A27" s="1" t="str">
        <f ca="1">IF(COUNTIFS(テーブル定義_一覧!$D:$D,$C27,テーブル定義_一覧!$A:$A,"")&gt;0,"","〇")</f>
        <v>〇</v>
      </c>
      <c r="B27" s="4">
        <f t="shared" si="0"/>
        <v>26</v>
      </c>
      <c r="C27" s="8" t="str">
        <f ca="1"/>
        <v>profile_tag</v>
      </c>
      <c r="D27" s="5" t="str">
        <f ca="1">_xlfn.XLOOKUP(C27,テーブル定義_一覧!D:D,テーブル定義_一覧!E:E,"error")</f>
        <v>プロフィールのタグ</v>
      </c>
      <c r="E27" s="8">
        <f ca="1">SUMIF(テーブル定義_一覧!D:D,C27,テーブル定義_一覧!I:I)</f>
        <v>1032</v>
      </c>
      <c r="F27" s="6" t="s">
        <v>8</v>
      </c>
      <c r="G27" s="6" t="s">
        <v>484</v>
      </c>
      <c r="H27" s="5"/>
    </row>
    <row r="28" spans="1:8" ht="18">
      <c r="A28" s="1" t="str">
        <f ca="1">IF(COUNTIFS(テーブル定義_一覧!$D:$D,$C28,テーブル定義_一覧!$A:$A,"")&gt;0,"","〇")</f>
        <v>〇</v>
      </c>
      <c r="B28" s="4">
        <f t="shared" si="0"/>
        <v>27</v>
      </c>
      <c r="C28" s="6" t="str">
        <f ca="1"/>
        <v>profile_activity</v>
      </c>
      <c r="D28" s="6" t="str">
        <f ca="1">_xlfn.XLOOKUP(C28,テーブル定義_一覧!D:D,テーブル定義_一覧!E:E,"error")</f>
        <v>プロフィールの活動ジャンル</v>
      </c>
      <c r="E28" s="6">
        <f ca="1">SUMIF(テーブル定義_一覧!D:D,C28,テーブル定義_一覧!I:I)</f>
        <v>1032</v>
      </c>
      <c r="F28" s="6" t="s">
        <v>8</v>
      </c>
      <c r="G28" s="6" t="s">
        <v>513</v>
      </c>
      <c r="H28" s="6"/>
    </row>
  </sheetData>
  <autoFilter ref="A1:H1" xr:uid="{00000000-0009-0000-0000-000000000000}"/>
  <phoneticPr fontId="3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14.5" defaultRowHeight="15" customHeight="1"/>
  <cols>
    <col min="1" max="1" width="9" style="7" customWidth="1"/>
    <col min="2" max="2" width="18.83203125" style="7" customWidth="1"/>
    <col min="3" max="3" width="4.5" style="7" customWidth="1"/>
    <col min="4" max="4" width="23.83203125" style="7" bestFit="1" customWidth="1"/>
    <col min="5" max="5" width="31.33203125" style="7" bestFit="1" customWidth="1"/>
    <col min="6" max="6" width="36.83203125" style="7" bestFit="1" customWidth="1"/>
    <col min="7" max="7" width="41.5" style="7" bestFit="1" customWidth="1"/>
    <col min="8" max="8" width="14.5" style="7" bestFit="1" customWidth="1"/>
    <col min="9" max="9" width="8.6640625" style="7" bestFit="1" customWidth="1"/>
    <col min="10" max="10" width="4" style="7" customWidth="1"/>
    <col min="11" max="11" width="3.83203125" style="7" customWidth="1"/>
    <col min="12" max="12" width="11.5" style="7" customWidth="1"/>
    <col min="13" max="13" width="14.1640625" style="7" customWidth="1"/>
    <col min="14" max="14" width="8.5" style="7" customWidth="1"/>
    <col min="15" max="15" width="7.6640625" style="7" customWidth="1"/>
    <col min="16" max="16" width="31.5" style="7" bestFit="1" customWidth="1"/>
    <col min="17" max="17" width="46.1640625" style="7" bestFit="1" customWidth="1"/>
    <col min="18" max="20" width="13" style="7" customWidth="1"/>
    <col min="21" max="21" width="84.5" style="7" customWidth="1"/>
    <col min="22" max="16384" width="14.5" style="7"/>
  </cols>
  <sheetData>
    <row r="1" spans="1:21" ht="18.75" customHeight="1">
      <c r="A1" s="9" t="s">
        <v>0</v>
      </c>
      <c r="B1" s="9" t="s">
        <v>31</v>
      </c>
      <c r="C1" s="10" t="s">
        <v>1</v>
      </c>
      <c r="D1" s="10" t="s">
        <v>2</v>
      </c>
      <c r="E1" s="10" t="s">
        <v>3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9" t="s">
        <v>38</v>
      </c>
      <c r="M1" s="10" t="s">
        <v>39</v>
      </c>
      <c r="N1" s="10" t="s">
        <v>40</v>
      </c>
      <c r="O1" s="10" t="s">
        <v>41</v>
      </c>
      <c r="P1" s="10" t="s">
        <v>42</v>
      </c>
      <c r="Q1" s="10" t="s">
        <v>6</v>
      </c>
      <c r="R1" s="9" t="s">
        <v>43</v>
      </c>
      <c r="S1" s="9" t="s">
        <v>44</v>
      </c>
      <c r="T1" s="9" t="s">
        <v>45</v>
      </c>
      <c r="U1" s="10" t="s">
        <v>7</v>
      </c>
    </row>
    <row r="2" spans="1:21" ht="18.75" customHeight="1">
      <c r="A2" s="9" t="s">
        <v>46</v>
      </c>
      <c r="B2" s="9" t="str">
        <f>D2&amp;"."&amp;F2</f>
        <v>vtuber_profiles.vtuber_profiles_uuid</v>
      </c>
      <c r="C2" s="10">
        <f t="shared" ref="C2:C204" si="0">ROW()-1</f>
        <v>1</v>
      </c>
      <c r="D2" s="11" t="s">
        <v>47</v>
      </c>
      <c r="E2" s="11" t="s">
        <v>48</v>
      </c>
      <c r="F2" s="11" t="str">
        <f>D2&amp;"_uuid"</f>
        <v>vtuber_profiles_uuid</v>
      </c>
      <c r="G2" s="11" t="s">
        <v>518</v>
      </c>
      <c r="H2" s="11" t="s">
        <v>49</v>
      </c>
      <c r="I2" s="11">
        <f>_xlfn.LET(
    _xlpm.可変bit数,--MID(H2,FIND("(",H2)+1,FIND(")",H2)-FIND("(",H2)-1),
    _xlfn.XLOOKUP(
        $H2,
        型とバイト数!$B$3:$B$54,
        型とバイト数!$E$3:$E$54,
        IF(LEFT($H2,7)="varchar",_xlpm.可変bit数*8,
            IF(LEFT($H2,4)="char",_xlpm.可変bit数*8,
                IF(LEFT($H2,3)="bit",_xlpm.可変bit数,"???")
            )
        )
    )
)</f>
        <v>128</v>
      </c>
      <c r="J2" s="11" t="s">
        <v>488</v>
      </c>
      <c r="K2" s="11"/>
      <c r="L2" s="9"/>
      <c r="M2" s="11" t="str">
        <f>_xlfn.SINGLE(IF(K2="","",IF(L2="","参照先未定義",_xlfn.XLOOKUP(L2,B:B,C:C,"エラー"))))</f>
        <v/>
      </c>
      <c r="N2" s="11" t="s">
        <v>499</v>
      </c>
      <c r="O2" s="11" t="s">
        <v>499</v>
      </c>
      <c r="P2" s="11" t="s">
        <v>52</v>
      </c>
      <c r="Q2" s="11"/>
      <c r="R2" s="9"/>
      <c r="S2" s="9"/>
      <c r="T2" s="9"/>
      <c r="U2" s="11"/>
    </row>
    <row r="3" spans="1:21" ht="18.75" customHeight="1">
      <c r="A3" s="9" t="s">
        <v>46</v>
      </c>
      <c r="B3" s="9" t="str">
        <f t="shared" ref="B3:B64" ca="1" si="1">D3&amp;"."&amp;F3</f>
        <v>vtuber_profiles.vtuber_profiles_id</v>
      </c>
      <c r="C3" s="10">
        <f t="shared" si="0"/>
        <v>2</v>
      </c>
      <c r="D3" s="11" t="str" cm="1">
        <f t="array" aca="1" ref="D3" ca="1">INDIRECT(ADDRESS(ROW()-1,COLUMN()))</f>
        <v>vtuber_profiles</v>
      </c>
      <c r="E3" s="11" t="str" cm="1">
        <f t="array" aca="1" ref="E3" ca="1">INDIRECT(ADDRESS(ROW()-1,COLUMN()))</f>
        <v>Vtuberプロフィール</v>
      </c>
      <c r="F3" s="11" t="s">
        <v>53</v>
      </c>
      <c r="G3" s="11" t="s">
        <v>54</v>
      </c>
      <c r="H3" s="11" t="s">
        <v>55</v>
      </c>
      <c r="I3" s="11">
        <f>_xlfn.LET(
    _xlpm.可変bit数,--MID(H3,FIND("(",H3)+1,FIND(")",H3)-FIND("(",H3)-1),
    _xlfn.XLOOKUP(
        $H3,
        型とバイト数!$B$3:$B$54,
        型とバイト数!$E$3:$E$54,
        IF(LEFT($H3,7)="varchar",_xlpm.可変bit数*8,
            IF(LEFT($H3,4)="char",_xlpm.可変bit数*8,
                IF(LEFT($H3,3)="bit",_xlpm.可変bit数,"???")
            )
        )
    )
)</f>
        <v>64</v>
      </c>
      <c r="J3" s="11"/>
      <c r="K3" s="11"/>
      <c r="L3" s="9"/>
      <c r="M3" s="11" t="str">
        <f>_xlfn.SINGLE(IF(K3="","",IF(L3="","参照先未定義",_xlfn.XLOOKUP(L3,B:B,C:C,"エラー"))))</f>
        <v/>
      </c>
      <c r="N3" s="11" t="s">
        <v>488</v>
      </c>
      <c r="O3" s="11" t="s">
        <v>488</v>
      </c>
      <c r="P3" s="11"/>
      <c r="Q3" s="11"/>
      <c r="R3" s="9"/>
      <c r="S3" s="9"/>
      <c r="T3" s="9"/>
      <c r="U3" s="11" t="s">
        <v>57</v>
      </c>
    </row>
    <row r="4" spans="1:21" ht="18.75" customHeight="1">
      <c r="A4" s="9" t="s">
        <v>46</v>
      </c>
      <c r="B4" s="9" t="str">
        <f t="shared" ca="1" si="1"/>
        <v>vtuber_profiles.user_id</v>
      </c>
      <c r="C4" s="10">
        <f t="shared" si="0"/>
        <v>3</v>
      </c>
      <c r="D4" s="11" t="str" cm="1">
        <f t="array" aca="1" ref="D4" ca="1">INDIRECT(ADDRESS(ROW()-1,COLUMN()))</f>
        <v>vtuber_profiles</v>
      </c>
      <c r="E4" s="11" t="str" cm="1">
        <f t="array" aca="1" ref="E4" ca="1">INDIRECT(ADDRESS(ROW()-1,COLUMN()))</f>
        <v>Vtuberプロフィール</v>
      </c>
      <c r="F4" s="11" t="s">
        <v>58</v>
      </c>
      <c r="G4" s="11" t="s">
        <v>59</v>
      </c>
      <c r="H4" s="11" t="s">
        <v>49</v>
      </c>
      <c r="I4" s="11">
        <f>_xlfn.LET(
    _xlpm.可変bit数,--MID(H4,FIND("(",H4)+1,FIND(")",H4)-FIND("(",H4)-1),
    _xlfn.XLOOKUP(
        $H4,
        型とバイト数!$B$3:$B$54,
        型とバイト数!$E$3:$E$54,
        IF(LEFT($H4,7)="varchar",_xlpm.可変bit数*8,
            IF(LEFT($H4,4)="char",_xlpm.可変bit数*8,
                IF(LEFT($H4,3)="bit",_xlpm.可変bit数,"???")
            )
        )
    )
)</f>
        <v>128</v>
      </c>
      <c r="J4" s="11"/>
      <c r="K4" s="11" t="s">
        <v>51</v>
      </c>
      <c r="L4" s="9" t="s">
        <v>519</v>
      </c>
      <c r="M4" s="11">
        <f ca="1">_xlfn.SINGLE(IF(K4="","",IF(L4="","参照先未定義",_xlfn.XLOOKUP(L4,B:B,C:C,"エラー"))))</f>
        <v>153</v>
      </c>
      <c r="N4" s="11"/>
      <c r="O4" s="11"/>
      <c r="P4" s="11"/>
      <c r="Q4" s="11" t="s">
        <v>60</v>
      </c>
      <c r="R4" s="9"/>
      <c r="S4" s="9"/>
      <c r="T4" s="9"/>
      <c r="U4" s="11"/>
    </row>
    <row r="5" spans="1:21" ht="18.75" customHeight="1">
      <c r="A5" s="9" t="s">
        <v>46</v>
      </c>
      <c r="B5" s="9" t="str">
        <f t="shared" ca="1" si="1"/>
        <v>vtuber_profiles.join_group</v>
      </c>
      <c r="C5" s="10">
        <f t="shared" si="0"/>
        <v>4</v>
      </c>
      <c r="D5" s="11" t="str" cm="1">
        <f t="array" aca="1" ref="D5" ca="1">INDIRECT(ADDRESS(ROW()-1,COLUMN()))</f>
        <v>vtuber_profiles</v>
      </c>
      <c r="E5" s="11" t="str" cm="1">
        <f t="array" aca="1" ref="E5" ca="1">INDIRECT(ADDRESS(ROW()-1,COLUMN()))</f>
        <v>Vtuberプロフィール</v>
      </c>
      <c r="F5" s="11" t="s">
        <v>482</v>
      </c>
      <c r="G5" s="11" t="s">
        <v>67</v>
      </c>
      <c r="H5" s="11" t="s">
        <v>49</v>
      </c>
      <c r="I5" s="11">
        <f>_xlfn.LET(
    _xlpm.可変bit数,--MID(H5,FIND("(",H5)+1,FIND(")",H5)-FIND("(",H5)-1),
    _xlfn.XLOOKUP(
        $H5,
        型とバイト数!$B$3:$B$54,
        型とバイト数!$E$3:$E$54,
        IF(LEFT($H5,7)="varchar",_xlpm.可変bit数*8,
            IF(LEFT($H5,4)="char",_xlpm.可変bit数*8,
                IF(LEFT($H5,3)="bit",_xlpm.可変bit数,"???")
            )
        )
    )
)</f>
        <v>128</v>
      </c>
      <c r="J5" s="11"/>
      <c r="K5" s="11" t="s">
        <v>51</v>
      </c>
      <c r="L5" s="9" t="s">
        <v>520</v>
      </c>
      <c r="M5" s="11">
        <f ca="1">_xlfn.SINGLE(IF(K5="","",IF(L5="","参照先未定義",_xlfn.XLOOKUP(L5,B:B,C:C,"エラー"))))</f>
        <v>12</v>
      </c>
      <c r="N5" s="11"/>
      <c r="O5" s="11"/>
      <c r="P5" s="11"/>
      <c r="Q5" s="11"/>
      <c r="R5" s="9"/>
      <c r="S5" s="9"/>
      <c r="T5" s="9" t="s">
        <v>51</v>
      </c>
      <c r="U5" s="11"/>
    </row>
    <row r="6" spans="1:21" ht="18.75" customHeight="1">
      <c r="A6" s="9" t="s">
        <v>46</v>
      </c>
      <c r="B6" s="9" t="str">
        <f t="shared" ca="1" si="1"/>
        <v>vtuber_profiles.debut_date</v>
      </c>
      <c r="C6" s="10">
        <f t="shared" si="0"/>
        <v>5</v>
      </c>
      <c r="D6" s="11" t="str" cm="1">
        <f t="array" aca="1" ref="D6" ca="1">INDIRECT(ADDRESS(ROW()-1,COLUMN()))</f>
        <v>vtuber_profiles</v>
      </c>
      <c r="E6" s="11" t="str" cm="1">
        <f t="array" aca="1" ref="E6" ca="1">INDIRECT(ADDRESS(ROW()-1,COLUMN()))</f>
        <v>Vtuberプロフィール</v>
      </c>
      <c r="F6" s="11" t="s">
        <v>72</v>
      </c>
      <c r="G6" s="11" t="s">
        <v>73</v>
      </c>
      <c r="H6" s="11" t="s">
        <v>515</v>
      </c>
      <c r="I6" s="11">
        <f>_xlfn.LET(
    _xlpm.可変bit数,--MID(H6,FIND("(",H6)+1,FIND(")",H6)-FIND("(",H6)-1),
    _xlfn.XLOOKUP(
        $H6,
        型とバイト数!$B$3:$B$54,
        型とバイト数!$E$3:$E$54,
        IF(LEFT($H6,7)="varchar",_xlpm.可変bit数*8,
            IF(LEFT($H6,4)="char",_xlpm.可変bit数*8,
                IF(LEFT($H6,3)="bit",_xlpm.可変bit数,"???")
            )
        )
    )
)</f>
        <v>64</v>
      </c>
      <c r="J6" s="11"/>
      <c r="K6" s="11"/>
      <c r="L6" s="9"/>
      <c r="M6" s="11" t="str">
        <f>_xlfn.SINGLE(IF(K6="","",IF(L6="","参照先未定義",_xlfn.XLOOKUP(L6,B:B,C:C,"エラー"))))</f>
        <v/>
      </c>
      <c r="N6" s="11"/>
      <c r="O6" s="11"/>
      <c r="P6" s="11"/>
      <c r="Q6" s="11"/>
      <c r="R6" s="9"/>
      <c r="S6" s="9"/>
      <c r="T6" s="9" t="s">
        <v>51</v>
      </c>
      <c r="U6" s="11"/>
    </row>
    <row r="7" spans="1:21" ht="18.75" customHeight="1">
      <c r="A7" s="9" t="s">
        <v>46</v>
      </c>
      <c r="B7" s="9" t="str">
        <f t="shared" ca="1" si="1"/>
        <v>vtuber_profiles.activity_status</v>
      </c>
      <c r="C7" s="10">
        <f t="shared" si="0"/>
        <v>6</v>
      </c>
      <c r="D7" s="11" t="str" cm="1">
        <f t="array" aca="1" ref="D7" ca="1">INDIRECT(ADDRESS(ROW()-1,COLUMN()))</f>
        <v>vtuber_profiles</v>
      </c>
      <c r="E7" s="11" t="str" cm="1">
        <f t="array" aca="1" ref="E7" ca="1">INDIRECT(ADDRESS(ROW()-1,COLUMN()))</f>
        <v>Vtuberプロフィール</v>
      </c>
      <c r="F7" s="11" t="s">
        <v>106</v>
      </c>
      <c r="G7" s="11" t="s">
        <v>107</v>
      </c>
      <c r="H7" s="11" t="s">
        <v>49</v>
      </c>
      <c r="I7" s="11">
        <f>_xlfn.LET(
    _xlpm.可変bit数,--MID(H7,FIND("(",H7)+1,FIND(")",H7)-FIND("(",H7)-1),
    _xlfn.XLOOKUP(
        $H7,
        型とバイト数!$B$3:$B$54,
        型とバイト数!$E$3:$E$54,
        IF(LEFT($H7,7)="varchar",_xlpm.可変bit数*8,
            IF(LEFT($H7,4)="char",_xlpm.可変bit数*8,
                IF(LEFT($H7,3)="bit",_xlpm.可変bit数,"???")
            )
        )
    )
)</f>
        <v>128</v>
      </c>
      <c r="J7" s="11"/>
      <c r="K7" s="11" t="s">
        <v>51</v>
      </c>
      <c r="L7" s="9" t="s">
        <v>521</v>
      </c>
      <c r="M7" s="11">
        <f ca="1">_xlfn.SINGLE(IF(K7="","",IF(L7="","参照先未定義",_xlfn.XLOOKUP(L7,B:B,C:C,"エラー"))))</f>
        <v>36</v>
      </c>
      <c r="N7" s="11" t="s">
        <v>51</v>
      </c>
      <c r="O7" s="11"/>
      <c r="P7" s="11"/>
      <c r="Q7" s="11"/>
      <c r="R7" s="9"/>
      <c r="S7" s="9"/>
      <c r="T7" s="9"/>
      <c r="U7" s="11"/>
    </row>
    <row r="8" spans="1:21" ht="18.75" customHeight="1">
      <c r="A8" s="9" t="s">
        <v>46</v>
      </c>
      <c r="B8" s="9" t="str">
        <f t="shared" ca="1" si="1"/>
        <v>vtuber_profiles.create_datetime</v>
      </c>
      <c r="C8" s="10">
        <f t="shared" si="0"/>
        <v>7</v>
      </c>
      <c r="D8" s="11" t="str" cm="1">
        <f t="array" aca="1" ref="D8" ca="1">INDIRECT(ADDRESS(ROW()-1,COLUMN()))</f>
        <v>vtuber_profiles</v>
      </c>
      <c r="E8" s="11" t="str" cm="1">
        <f t="array" aca="1" ref="E8" ca="1">INDIRECT(ADDRESS(ROW()-1,COLUMN()))</f>
        <v>Vtuberプロフィール</v>
      </c>
      <c r="F8" s="11" t="s">
        <v>110</v>
      </c>
      <c r="G8" s="11" t="s">
        <v>111</v>
      </c>
      <c r="H8" s="11" t="s">
        <v>515</v>
      </c>
      <c r="I8" s="11">
        <f>_xlfn.LET(
    _xlpm.可変bit数,--MID(H8,FIND("(",H8)+1,FIND(")",H8)-FIND("(",H8)-1),
    _xlfn.XLOOKUP(
        $H8,
        型とバイト数!$B$3:$B$54,
        型とバイト数!$E$3:$E$54,
        IF(LEFT($H8,7)="varchar",_xlpm.可変bit数*8,
            IF(LEFT($H8,4)="char",_xlpm.可変bit数*8,
                IF(LEFT($H8,3)="bit",_xlpm.可変bit数,"???")
            )
        )
    )
)</f>
        <v>64</v>
      </c>
      <c r="J8" s="11"/>
      <c r="K8" s="11"/>
      <c r="L8" s="9"/>
      <c r="M8" s="11" t="str">
        <f>_xlfn.SINGLE(IF(K8="","",IF(L8="","参照先未定義",_xlfn.XLOOKUP(L8,B:B,C:C,"エラー"))))</f>
        <v/>
      </c>
      <c r="N8" s="11" t="s">
        <v>51</v>
      </c>
      <c r="O8" s="11"/>
      <c r="P8" s="11" t="s">
        <v>112</v>
      </c>
      <c r="Q8" s="11"/>
      <c r="R8" s="9"/>
      <c r="S8" s="9"/>
      <c r="T8" s="9"/>
      <c r="U8" s="11"/>
    </row>
    <row r="9" spans="1:21" ht="18.75" customHeight="1">
      <c r="A9" s="9" t="s">
        <v>46</v>
      </c>
      <c r="B9" s="9" t="str">
        <f t="shared" ca="1" si="1"/>
        <v>vtuber_profiles.create_user</v>
      </c>
      <c r="C9" s="10">
        <f t="shared" si="0"/>
        <v>8</v>
      </c>
      <c r="D9" s="11" t="str" cm="1">
        <f t="array" aca="1" ref="D9" ca="1">INDIRECT(ADDRESS(ROW()-1,COLUMN()))</f>
        <v>vtuber_profiles</v>
      </c>
      <c r="E9" s="11" t="str" cm="1">
        <f t="array" aca="1" ref="E9" ca="1">INDIRECT(ADDRESS(ROW()-1,COLUMN()))</f>
        <v>Vtuberプロフィール</v>
      </c>
      <c r="F9" s="11" t="s">
        <v>113</v>
      </c>
      <c r="G9" s="11" t="s">
        <v>114</v>
      </c>
      <c r="H9" s="11" t="s">
        <v>71</v>
      </c>
      <c r="I9" s="11">
        <f>_xlfn.LET(
    _xlpm.可変bit数,--MID(H9,FIND("(",H9)+1,FIND(")",H9)-FIND("(",H9)-1),
    _xlfn.XLOOKUP(
        $H9,
        型とバイト数!$B$3:$B$54,
        型とバイト数!$E$3:$E$54,
        IF(LEFT($H9,7)="varchar",_xlpm.可変bit数*8,
            IF(LEFT($H9,4)="char",_xlpm.可変bit数*8,
                IF(LEFT($H9,3)="bit",_xlpm.可変bit数,"???")
            )
        )
    )
)</f>
        <v>256</v>
      </c>
      <c r="J9" s="11"/>
      <c r="K9" s="11"/>
      <c r="L9" s="9"/>
      <c r="M9" s="11" t="str">
        <f>_xlfn.SINGLE(IF(K9="","",IF(L9="","参照先未定義",_xlfn.XLOOKUP(L9,B:B,C:C,"エラー"))))</f>
        <v/>
      </c>
      <c r="N9" s="11" t="s">
        <v>51</v>
      </c>
      <c r="O9" s="11"/>
      <c r="P9" s="11" t="s">
        <v>115</v>
      </c>
      <c r="Q9" s="11"/>
      <c r="R9" s="9"/>
      <c r="S9" s="9"/>
      <c r="T9" s="9"/>
      <c r="U9" s="11" t="s">
        <v>116</v>
      </c>
    </row>
    <row r="10" spans="1:21" ht="18.75" customHeight="1">
      <c r="A10" s="9" t="s">
        <v>46</v>
      </c>
      <c r="B10" s="9" t="str">
        <f t="shared" ca="1" si="1"/>
        <v>vtuber_profiles.update_datetime</v>
      </c>
      <c r="C10" s="10">
        <f t="shared" si="0"/>
        <v>9</v>
      </c>
      <c r="D10" s="11" t="str" cm="1">
        <f t="array" aca="1" ref="D10" ca="1">INDIRECT(ADDRESS(ROW()-1,COLUMN()))</f>
        <v>vtuber_profiles</v>
      </c>
      <c r="E10" s="11" t="str" cm="1">
        <f t="array" aca="1" ref="E10" ca="1">INDIRECT(ADDRESS(ROW()-1,COLUMN()))</f>
        <v>Vtuberプロフィール</v>
      </c>
      <c r="F10" s="11" t="s">
        <v>117</v>
      </c>
      <c r="G10" s="11" t="s">
        <v>118</v>
      </c>
      <c r="H10" s="11" t="s">
        <v>515</v>
      </c>
      <c r="I10" s="11">
        <f>_xlfn.LET(
    _xlpm.可変bit数,--MID(H10,FIND("(",H10)+1,FIND(")",H10)-FIND("(",H10)-1),
    _xlfn.XLOOKUP(
        $H10,
        型とバイト数!$B$3:$B$54,
        型とバイト数!$E$3:$E$54,
        IF(LEFT($H10,7)="varchar",_xlpm.可変bit数*8,
            IF(LEFT($H10,4)="char",_xlpm.可変bit数*8,
                IF(LEFT($H10,3)="bit",_xlpm.可変bit数,"???")
            )
        )
    )
)</f>
        <v>64</v>
      </c>
      <c r="J10" s="11"/>
      <c r="K10" s="11"/>
      <c r="L10" s="9"/>
      <c r="M10" s="11" t="str">
        <f>_xlfn.SINGLE(IF(K10="","",IF(L10="","参照先未定義",_xlfn.XLOOKUP(L10,B:B,C:C,"エラー"))))</f>
        <v/>
      </c>
      <c r="N10" s="11" t="s">
        <v>51</v>
      </c>
      <c r="O10" s="11"/>
      <c r="P10" s="11" t="s">
        <v>112</v>
      </c>
      <c r="Q10" s="11"/>
      <c r="R10" s="9"/>
      <c r="S10" s="9"/>
      <c r="T10" s="9"/>
      <c r="U10" s="11"/>
    </row>
    <row r="11" spans="1:21" ht="18.75" customHeight="1">
      <c r="A11" s="9" t="s">
        <v>46</v>
      </c>
      <c r="B11" s="9" t="str">
        <f t="shared" ca="1" si="1"/>
        <v>vtuber_profiles.update_user</v>
      </c>
      <c r="C11" s="10">
        <f t="shared" si="0"/>
        <v>10</v>
      </c>
      <c r="D11" s="11" t="str" cm="1">
        <f t="array" aca="1" ref="D11" ca="1">INDIRECT(ADDRESS(ROW()-1,COLUMN()))</f>
        <v>vtuber_profiles</v>
      </c>
      <c r="E11" s="11" t="str" cm="1">
        <f t="array" aca="1" ref="E11" ca="1">INDIRECT(ADDRESS(ROW()-1,COLUMN()))</f>
        <v>Vtuberプロフィール</v>
      </c>
      <c r="F11" s="11" t="s">
        <v>119</v>
      </c>
      <c r="G11" s="11" t="s">
        <v>120</v>
      </c>
      <c r="H11" s="11" t="s">
        <v>71</v>
      </c>
      <c r="I11" s="11">
        <f>_xlfn.LET(
    _xlpm.可変bit数,--MID(H11,FIND("(",H11)+1,FIND(")",H11)-FIND("(",H11)-1),
    _xlfn.XLOOKUP(
        $H11,
        型とバイト数!$B$3:$B$54,
        型とバイト数!$E$3:$E$54,
        IF(LEFT($H11,7)="varchar",_xlpm.可変bit数*8,
            IF(LEFT($H11,4)="char",_xlpm.可変bit数*8,
                IF(LEFT($H11,3)="bit",_xlpm.可変bit数,"???")
            )
        )
    )
)</f>
        <v>256</v>
      </c>
      <c r="J11" s="11"/>
      <c r="K11" s="11"/>
      <c r="L11" s="9"/>
      <c r="M11" s="11" t="str">
        <f>_xlfn.SINGLE(IF(K11="","",IF(L11="","参照先未定義",_xlfn.XLOOKUP(L11,B:B,C:C,"エラー"))))</f>
        <v/>
      </c>
      <c r="N11" s="11" t="s">
        <v>51</v>
      </c>
      <c r="O11" s="11"/>
      <c r="P11" s="11" t="s">
        <v>115</v>
      </c>
      <c r="Q11" s="11"/>
      <c r="R11" s="9"/>
      <c r="S11" s="9"/>
      <c r="T11" s="9"/>
      <c r="U11" s="11" t="s">
        <v>116</v>
      </c>
    </row>
    <row r="12" spans="1:21" ht="18.75" customHeight="1">
      <c r="A12" s="9" t="s">
        <v>46</v>
      </c>
      <c r="B12" s="9" t="str">
        <f t="shared" ca="1" si="1"/>
        <v>vtuber_profiles.soft_delete_flag</v>
      </c>
      <c r="C12" s="10">
        <f t="shared" si="0"/>
        <v>11</v>
      </c>
      <c r="D12" s="11" t="str" cm="1">
        <f t="array" aca="1" ref="D12" ca="1">INDIRECT(ADDRESS(ROW()-1,COLUMN()))</f>
        <v>vtuber_profiles</v>
      </c>
      <c r="E12" s="11" t="str" cm="1">
        <f t="array" aca="1" ref="E12" ca="1">INDIRECT(ADDRESS(ROW()-1,COLUMN()))</f>
        <v>Vtuberプロフィール</v>
      </c>
      <c r="F12" s="11" t="s">
        <v>121</v>
      </c>
      <c r="G12" s="11" t="s">
        <v>122</v>
      </c>
      <c r="H12" s="11" t="s">
        <v>517</v>
      </c>
      <c r="I12" s="11">
        <f>_xlfn.LET(
    _xlpm.可変bit数,--MID(H12,FIND("(",H12)+1,FIND(")",H12)-FIND("(",H12)-1),
    _xlfn.XLOOKUP(
        $H12,
        型とバイト数!$B$3:$B$54,
        型とバイト数!$E$3:$E$54,
        IF(LEFT($H12,7)="varchar",_xlpm.可変bit数*8,
            IF(LEFT($H12,4)="char",_xlpm.可変bit数*8,
                IF(LEFT($H12,3)="bit",_xlpm.可変bit数,"???")
            )
        )
    )
)</f>
        <v>8</v>
      </c>
      <c r="J12" s="11"/>
      <c r="K12" s="11"/>
      <c r="L12" s="9"/>
      <c r="M12" s="11" t="str">
        <f>_xlfn.SINGLE(IF(K12="","",IF(L12="","参照先未定義",_xlfn.XLOOKUP(L12,B:B,C:C,"エラー"))))</f>
        <v/>
      </c>
      <c r="N12" s="11" t="s">
        <v>51</v>
      </c>
      <c r="O12" s="11"/>
      <c r="P12" s="11">
        <v>0</v>
      </c>
      <c r="Q12" s="11"/>
      <c r="R12" s="9"/>
      <c r="S12" s="9"/>
      <c r="T12" s="9"/>
      <c r="U12" s="11"/>
    </row>
    <row r="13" spans="1:21" ht="18.75" customHeight="1">
      <c r="A13" s="9" t="s">
        <v>46</v>
      </c>
      <c r="B13" s="9" t="str">
        <f t="shared" si="1"/>
        <v>join_group.join_group_uuid</v>
      </c>
      <c r="C13" s="10">
        <f t="shared" si="0"/>
        <v>12</v>
      </c>
      <c r="D13" s="11" t="s">
        <v>482</v>
      </c>
      <c r="E13" s="11" t="s">
        <v>67</v>
      </c>
      <c r="F13" s="11" t="str">
        <f>D13&amp;"_uuid"</f>
        <v>join_group_uuid</v>
      </c>
      <c r="G13" s="11" t="s">
        <v>50</v>
      </c>
      <c r="H13" s="11" t="s">
        <v>49</v>
      </c>
      <c r="I13" s="11">
        <f>_xlfn.LET(
    _xlpm.可変bit数,--MID(H13,FIND("(",H13)+1,FIND(")",H13)-FIND("(",H13)-1),
    _xlfn.XLOOKUP(
        $H13,
        型とバイト数!$B$3:$B$54,
        型とバイト数!$E$3:$E$54,
        IF(LEFT($H13,7)="varchar",_xlpm.可変bit数*8,
            IF(LEFT($H13,4)="char",_xlpm.可変bit数*8,
                IF(LEFT($H13,3)="bit",_xlpm.可変bit数,"???")
            )
        )
    )
)</f>
        <v>128</v>
      </c>
      <c r="J13" s="11" t="s">
        <v>488</v>
      </c>
      <c r="K13" s="11"/>
      <c r="L13" s="9"/>
      <c r="M13" s="11" t="str">
        <f>_xlfn.SINGLE(IF(K13="","",IF(L13="","参照先未定義",_xlfn.XLOOKUP(L13,B:B,C:C,"エラー"))))</f>
        <v/>
      </c>
      <c r="N13" s="11" t="s">
        <v>499</v>
      </c>
      <c r="O13" s="11" t="s">
        <v>499</v>
      </c>
      <c r="P13" s="11" t="s">
        <v>52</v>
      </c>
      <c r="Q13" s="11"/>
      <c r="R13" s="9"/>
      <c r="S13" s="9"/>
      <c r="T13" s="9"/>
      <c r="U13" s="11"/>
    </row>
    <row r="14" spans="1:21" ht="18.75" customHeight="1">
      <c r="A14" s="9" t="s">
        <v>46</v>
      </c>
      <c r="B14" s="9" t="str">
        <f t="shared" ca="1" si="1"/>
        <v>join_group.group_name</v>
      </c>
      <c r="C14" s="10">
        <f t="shared" si="0"/>
        <v>13</v>
      </c>
      <c r="D14" s="11" t="str" cm="1">
        <f t="array" aca="1" ref="D14" ca="1">INDIRECT(ADDRESS(ROW()-1,COLUMN()))</f>
        <v>join_group</v>
      </c>
      <c r="E14" s="11" t="str" cm="1">
        <f t="array" aca="1" ref="E14" ca="1">INDIRECT(ADDRESS(ROW()-1,COLUMN()))</f>
        <v>所属</v>
      </c>
      <c r="F14" s="11" t="s">
        <v>123</v>
      </c>
      <c r="G14" s="11" t="s">
        <v>124</v>
      </c>
      <c r="H14" s="11" t="s">
        <v>68</v>
      </c>
      <c r="I14" s="11">
        <f>_xlfn.LET(
    _xlpm.可変bit数,--MID(H14,FIND("(",H14)+1,FIND(")",H14)-FIND("(",H14)-1),
    _xlfn.XLOOKUP(
        $H14,
        型とバイト数!$B$3:$B$54,
        型とバイト数!$E$3:$E$54,
        IF(LEFT($H14,7)="varchar",_xlpm.可変bit数*8,
            IF(LEFT($H14,4)="char",_xlpm.可変bit数*8,
                IF(LEFT($H14,3)="bit",_xlpm.可変bit数,"???")
            )
        )
    )
)</f>
        <v>512</v>
      </c>
      <c r="J14" s="11"/>
      <c r="K14" s="11"/>
      <c r="L14" s="9"/>
      <c r="M14" s="11" t="str">
        <f>_xlfn.SINGLE(IF(K14="","",IF(L14="","参照先未定義",_xlfn.XLOOKUP(L14,B:B,C:C,"エラー"))))</f>
        <v/>
      </c>
      <c r="N14" s="11" t="s">
        <v>488</v>
      </c>
      <c r="O14" s="11" t="s">
        <v>488</v>
      </c>
      <c r="P14" s="11"/>
      <c r="Q14" s="11"/>
      <c r="R14" s="9"/>
      <c r="S14" s="9"/>
      <c r="T14" s="9" t="s">
        <v>51</v>
      </c>
      <c r="U14" s="11"/>
    </row>
    <row r="15" spans="1:21" ht="18.75" customHeight="1">
      <c r="A15" s="9" t="s">
        <v>46</v>
      </c>
      <c r="B15" s="9" t="str">
        <f t="shared" ca="1" si="1"/>
        <v>join_group.operation_status</v>
      </c>
      <c r="C15" s="10">
        <f t="shared" si="0"/>
        <v>14</v>
      </c>
      <c r="D15" s="11" t="str" cm="1">
        <f t="array" aca="1" ref="D15" ca="1">INDIRECT(ADDRESS(ROW()-1,COLUMN()))</f>
        <v>join_group</v>
      </c>
      <c r="E15" s="11" t="str" cm="1">
        <f t="array" aca="1" ref="E15" ca="1">INDIRECT(ADDRESS(ROW()-1,COLUMN()))</f>
        <v>所属</v>
      </c>
      <c r="F15" s="11" t="s">
        <v>125</v>
      </c>
      <c r="G15" s="11" t="s">
        <v>126</v>
      </c>
      <c r="H15" s="11" t="s">
        <v>49</v>
      </c>
      <c r="I15" s="11">
        <f>_xlfn.LET(
    _xlpm.可変bit数,--MID(H15,FIND("(",H15)+1,FIND(")",H15)-FIND("(",H15)-1),
    _xlfn.XLOOKUP(
        $H15,
        型とバイト数!$B$3:$B$54,
        型とバイト数!$E$3:$E$54,
        IF(LEFT($H15,7)="varchar",_xlpm.可変bit数*8,
            IF(LEFT($H15,4)="char",_xlpm.可変bit数*8,
                IF(LEFT($H15,3)="bit",_xlpm.可変bit数,"???")
            )
        )
    )
)</f>
        <v>128</v>
      </c>
      <c r="J15" s="11"/>
      <c r="K15" s="11" t="s">
        <v>51</v>
      </c>
      <c r="L15" s="9" t="s">
        <v>521</v>
      </c>
      <c r="M15" s="11">
        <f ca="1">_xlfn.SINGLE(IF(K15="","",IF(L15="","参照先未定義",_xlfn.XLOOKUP(L15,B:B,C:C,"エラー"))))</f>
        <v>36</v>
      </c>
      <c r="N15" s="11"/>
      <c r="O15" s="11"/>
      <c r="P15" s="11"/>
      <c r="Q15" s="11"/>
      <c r="R15" s="9"/>
      <c r="S15" s="9"/>
      <c r="T15" s="9"/>
      <c r="U15" s="11"/>
    </row>
    <row r="16" spans="1:21" ht="18.75" customHeight="1">
      <c r="A16" s="9" t="s">
        <v>46</v>
      </c>
      <c r="B16" s="9" t="str">
        <f t="shared" ca="1" si="1"/>
        <v>join_group.group_detail</v>
      </c>
      <c r="C16" s="10">
        <f t="shared" si="0"/>
        <v>15</v>
      </c>
      <c r="D16" s="11" t="str" cm="1">
        <f t="array" aca="1" ref="D16" ca="1">INDIRECT(ADDRESS(ROW()-1,COLUMN()))</f>
        <v>join_group</v>
      </c>
      <c r="E16" s="11" t="str" cm="1">
        <f t="array" aca="1" ref="E16" ca="1">INDIRECT(ADDRESS(ROW()-1,COLUMN()))</f>
        <v>所属</v>
      </c>
      <c r="F16" s="11" t="s">
        <v>127</v>
      </c>
      <c r="G16" s="11" t="s">
        <v>128</v>
      </c>
      <c r="H16" s="11" t="s">
        <v>87</v>
      </c>
      <c r="I16" s="11" t="str">
        <f>_xlfn.LET(
    _xlpm.可変bit数,--MID(H16,FIND("(",H16)+1,FIND(")",H16)-FIND("(",H16)-1),
    _xlfn.XLOOKUP(
        $H16,
        型とバイト数!$B$3:$B$54,
        型とバイト数!$E$3:$E$54,
        IF(LEFT($H16,7)="varchar",_xlpm.可変bit数*8,
            IF(LEFT($H16,4)="char",_xlpm.可変bit数*8,
                IF(LEFT($H16,3)="bit",_xlpm.可変bit数,"???")
            )
        )
    )
)</f>
        <v>-</v>
      </c>
      <c r="J16" s="11"/>
      <c r="K16" s="11"/>
      <c r="L16" s="9"/>
      <c r="M16" s="11" t="str">
        <f>_xlfn.SINGLE(IF(K16="","",IF(L16="","参照先未定義",_xlfn.XLOOKUP(L16,B:B,C:C,"エラー"))))</f>
        <v/>
      </c>
      <c r="N16" s="11"/>
      <c r="O16" s="11"/>
      <c r="P16" s="11"/>
      <c r="Q16" s="11"/>
      <c r="R16" s="9"/>
      <c r="S16" s="9"/>
      <c r="T16" s="9"/>
      <c r="U16" s="11"/>
    </row>
    <row r="17" spans="1:21" ht="18.75" customHeight="1">
      <c r="A17" s="9" t="s">
        <v>46</v>
      </c>
      <c r="B17" s="9" t="str">
        <f t="shared" ca="1" si="1"/>
        <v>join_group.create_datetime</v>
      </c>
      <c r="C17" s="10">
        <f t="shared" si="0"/>
        <v>16</v>
      </c>
      <c r="D17" s="11" t="str" cm="1">
        <f t="array" aca="1" ref="D17" ca="1">INDIRECT(ADDRESS(ROW()-1,COLUMN()))</f>
        <v>join_group</v>
      </c>
      <c r="E17" s="11" t="str" cm="1">
        <f t="array" aca="1" ref="E17" ca="1">INDIRECT(ADDRESS(ROW()-1,COLUMN()))</f>
        <v>所属</v>
      </c>
      <c r="F17" s="11" t="s">
        <v>110</v>
      </c>
      <c r="G17" s="11" t="s">
        <v>111</v>
      </c>
      <c r="H17" s="11" t="s">
        <v>515</v>
      </c>
      <c r="I17" s="11">
        <f>_xlfn.LET(
    _xlpm.可変bit数,--MID(H17,FIND("(",H17)+1,FIND(")",H17)-FIND("(",H17)-1),
    _xlfn.XLOOKUP(
        $H17,
        型とバイト数!$B$3:$B$54,
        型とバイト数!$E$3:$E$54,
        IF(LEFT($H17,7)="varchar",_xlpm.可変bit数*8,
            IF(LEFT($H17,4)="char",_xlpm.可変bit数*8,
                IF(LEFT($H17,3)="bit",_xlpm.可変bit数,"???")
            )
        )
    )
)</f>
        <v>64</v>
      </c>
      <c r="J17" s="11"/>
      <c r="K17" s="11"/>
      <c r="L17" s="9"/>
      <c r="M17" s="11" t="str">
        <f>_xlfn.SINGLE(IF(K17="","",IF(L17="","参照先未定義",_xlfn.XLOOKUP(L17,B:B,C:C,"エラー"))))</f>
        <v/>
      </c>
      <c r="N17" s="11" t="s">
        <v>51</v>
      </c>
      <c r="O17" s="11"/>
      <c r="P17" s="11" t="s">
        <v>112</v>
      </c>
      <c r="Q17" s="11"/>
      <c r="R17" s="9"/>
      <c r="S17" s="9"/>
      <c r="T17" s="9"/>
      <c r="U17" s="11"/>
    </row>
    <row r="18" spans="1:21" ht="18.75" customHeight="1">
      <c r="A18" s="9" t="s">
        <v>46</v>
      </c>
      <c r="B18" s="9" t="str">
        <f t="shared" ca="1" si="1"/>
        <v>join_group.create_user</v>
      </c>
      <c r="C18" s="10">
        <f t="shared" si="0"/>
        <v>17</v>
      </c>
      <c r="D18" s="11" t="str" cm="1">
        <f t="array" aca="1" ref="D18" ca="1">INDIRECT(ADDRESS(ROW()-1,COLUMN()))</f>
        <v>join_group</v>
      </c>
      <c r="E18" s="11" t="str" cm="1">
        <f t="array" aca="1" ref="E18" ca="1">INDIRECT(ADDRESS(ROW()-1,COLUMN()))</f>
        <v>所属</v>
      </c>
      <c r="F18" s="11" t="s">
        <v>113</v>
      </c>
      <c r="G18" s="11" t="s">
        <v>114</v>
      </c>
      <c r="H18" s="11" t="s">
        <v>71</v>
      </c>
      <c r="I18" s="11">
        <f>_xlfn.LET(
    _xlpm.可変bit数,--MID(H18,FIND("(",H18)+1,FIND(")",H18)-FIND("(",H18)-1),
    _xlfn.XLOOKUP(
        $H18,
        型とバイト数!$B$3:$B$54,
        型とバイト数!$E$3:$E$54,
        IF(LEFT($H18,7)="varchar",_xlpm.可変bit数*8,
            IF(LEFT($H18,4)="char",_xlpm.可変bit数*8,
                IF(LEFT($H18,3)="bit",_xlpm.可変bit数,"???")
            )
        )
    )
)</f>
        <v>256</v>
      </c>
      <c r="J18" s="11"/>
      <c r="K18" s="11"/>
      <c r="L18" s="9"/>
      <c r="M18" s="11" t="str">
        <f>_xlfn.SINGLE(IF(K18="","",IF(L18="","参照先未定義",_xlfn.XLOOKUP(L18,B:B,C:C,"エラー"))))</f>
        <v/>
      </c>
      <c r="N18" s="11" t="s">
        <v>51</v>
      </c>
      <c r="O18" s="11"/>
      <c r="P18" s="11" t="s">
        <v>115</v>
      </c>
      <c r="Q18" s="11"/>
      <c r="R18" s="9"/>
      <c r="S18" s="9"/>
      <c r="T18" s="9"/>
      <c r="U18" s="11" t="s">
        <v>116</v>
      </c>
    </row>
    <row r="19" spans="1:21" ht="18.75" customHeight="1">
      <c r="A19" s="9" t="s">
        <v>46</v>
      </c>
      <c r="B19" s="9" t="str">
        <f t="shared" ca="1" si="1"/>
        <v>join_group.update_datetime</v>
      </c>
      <c r="C19" s="10">
        <f t="shared" si="0"/>
        <v>18</v>
      </c>
      <c r="D19" s="11" t="str" cm="1">
        <f t="array" aca="1" ref="D19" ca="1">INDIRECT(ADDRESS(ROW()-1,COLUMN()))</f>
        <v>join_group</v>
      </c>
      <c r="E19" s="11" t="str" cm="1">
        <f t="array" aca="1" ref="E19" ca="1">INDIRECT(ADDRESS(ROW()-1,COLUMN()))</f>
        <v>所属</v>
      </c>
      <c r="F19" s="11" t="s">
        <v>117</v>
      </c>
      <c r="G19" s="11" t="s">
        <v>118</v>
      </c>
      <c r="H19" s="11" t="s">
        <v>515</v>
      </c>
      <c r="I19" s="11">
        <f>_xlfn.LET(
    _xlpm.可変bit数,--MID(H19,FIND("(",H19)+1,FIND(")",H19)-FIND("(",H19)-1),
    _xlfn.XLOOKUP(
        $H19,
        型とバイト数!$B$3:$B$54,
        型とバイト数!$E$3:$E$54,
        IF(LEFT($H19,7)="varchar",_xlpm.可変bit数*8,
            IF(LEFT($H19,4)="char",_xlpm.可変bit数*8,
                IF(LEFT($H19,3)="bit",_xlpm.可変bit数,"???")
            )
        )
    )
)</f>
        <v>64</v>
      </c>
      <c r="J19" s="11"/>
      <c r="K19" s="11"/>
      <c r="L19" s="9"/>
      <c r="M19" s="11" t="str">
        <f>_xlfn.SINGLE(IF(K19="","",IF(L19="","参照先未定義",_xlfn.XLOOKUP(L19,B:B,C:C,"エラー"))))</f>
        <v/>
      </c>
      <c r="N19" s="11" t="s">
        <v>51</v>
      </c>
      <c r="O19" s="11"/>
      <c r="P19" s="11" t="s">
        <v>112</v>
      </c>
      <c r="Q19" s="11"/>
      <c r="R19" s="9"/>
      <c r="S19" s="9"/>
      <c r="T19" s="9"/>
      <c r="U19" s="11"/>
    </row>
    <row r="20" spans="1:21" ht="18.75" customHeight="1">
      <c r="A20" s="9" t="s">
        <v>46</v>
      </c>
      <c r="B20" s="9" t="str">
        <f t="shared" ca="1" si="1"/>
        <v>join_group.update_user</v>
      </c>
      <c r="C20" s="10">
        <f t="shared" si="0"/>
        <v>19</v>
      </c>
      <c r="D20" s="11" t="str" cm="1">
        <f t="array" aca="1" ref="D20" ca="1">INDIRECT(ADDRESS(ROW()-1,COLUMN()))</f>
        <v>join_group</v>
      </c>
      <c r="E20" s="11" t="str" cm="1">
        <f t="array" aca="1" ref="E20" ca="1">INDIRECT(ADDRESS(ROW()-1,COLUMN()))</f>
        <v>所属</v>
      </c>
      <c r="F20" s="11" t="s">
        <v>119</v>
      </c>
      <c r="G20" s="11" t="s">
        <v>120</v>
      </c>
      <c r="H20" s="11" t="s">
        <v>71</v>
      </c>
      <c r="I20" s="11">
        <f>_xlfn.LET(
    _xlpm.可変bit数,--MID(H20,FIND("(",H20)+1,FIND(")",H20)-FIND("(",H20)-1),
    _xlfn.XLOOKUP(
        $H20,
        型とバイト数!$B$3:$B$54,
        型とバイト数!$E$3:$E$54,
        IF(LEFT($H20,7)="varchar",_xlpm.可変bit数*8,
            IF(LEFT($H20,4)="char",_xlpm.可変bit数*8,
                IF(LEFT($H20,3)="bit",_xlpm.可変bit数,"???")
            )
        )
    )
)</f>
        <v>256</v>
      </c>
      <c r="J20" s="11"/>
      <c r="K20" s="11"/>
      <c r="L20" s="9"/>
      <c r="M20" s="11" t="str">
        <f>_xlfn.SINGLE(IF(K20="","",IF(L20="","参照先未定義",_xlfn.XLOOKUP(L20,B:B,C:C,"エラー"))))</f>
        <v/>
      </c>
      <c r="N20" s="11" t="s">
        <v>51</v>
      </c>
      <c r="O20" s="11"/>
      <c r="P20" s="11" t="s">
        <v>115</v>
      </c>
      <c r="Q20" s="11"/>
      <c r="R20" s="9"/>
      <c r="S20" s="9"/>
      <c r="T20" s="9"/>
      <c r="U20" s="11" t="s">
        <v>116</v>
      </c>
    </row>
    <row r="21" spans="1:21" ht="18.75" customHeight="1">
      <c r="A21" s="9" t="s">
        <v>46</v>
      </c>
      <c r="B21" s="9" t="str">
        <f t="shared" ca="1" si="1"/>
        <v>join_group.soft_delete_flag</v>
      </c>
      <c r="C21" s="10">
        <f t="shared" si="0"/>
        <v>20</v>
      </c>
      <c r="D21" s="11" t="str" cm="1">
        <f t="array" aca="1" ref="D21" ca="1">INDIRECT(ADDRESS(ROW()-1,COLUMN()))</f>
        <v>join_group</v>
      </c>
      <c r="E21" s="11" t="str" cm="1">
        <f t="array" aca="1" ref="E21" ca="1">INDIRECT(ADDRESS(ROW()-1,COLUMN()))</f>
        <v>所属</v>
      </c>
      <c r="F21" s="11" t="s">
        <v>121</v>
      </c>
      <c r="G21" s="11" t="s">
        <v>122</v>
      </c>
      <c r="H21" s="11" t="s">
        <v>517</v>
      </c>
      <c r="I21" s="11">
        <f>_xlfn.LET(
    _xlpm.可変bit数,--MID(H21,FIND("(",H21)+1,FIND(")",H21)-FIND("(",H21)-1),
    _xlfn.XLOOKUP(
        $H21,
        型とバイト数!$B$3:$B$54,
        型とバイト数!$E$3:$E$54,
        IF(LEFT($H21,7)="varchar",_xlpm.可変bit数*8,
            IF(LEFT($H21,4)="char",_xlpm.可変bit数*8,
                IF(LEFT($H21,3)="bit",_xlpm.可変bit数,"???")
            )
        )
    )
)</f>
        <v>8</v>
      </c>
      <c r="J21" s="11"/>
      <c r="K21" s="11"/>
      <c r="L21" s="9"/>
      <c r="M21" s="11" t="str">
        <f>_xlfn.SINGLE(IF(K21="","",IF(L21="","参照先未定義",_xlfn.XLOOKUP(L21,B:B,C:C,"エラー"))))</f>
        <v/>
      </c>
      <c r="N21" s="11" t="s">
        <v>51</v>
      </c>
      <c r="O21" s="11"/>
      <c r="P21" s="11">
        <v>0</v>
      </c>
      <c r="Q21" s="11"/>
      <c r="R21" s="9"/>
      <c r="S21" s="9"/>
      <c r="T21" s="9"/>
      <c r="U21" s="11"/>
    </row>
    <row r="22" spans="1:21" ht="18.75" customHeight="1">
      <c r="A22" s="9" t="s">
        <v>46</v>
      </c>
      <c r="B22" s="9" t="str">
        <f t="shared" si="1"/>
        <v>tag.tag_uuid</v>
      </c>
      <c r="C22" s="10">
        <f t="shared" si="0"/>
        <v>21</v>
      </c>
      <c r="D22" s="11" t="s">
        <v>129</v>
      </c>
      <c r="E22" s="11" t="s">
        <v>80</v>
      </c>
      <c r="F22" s="11" t="str">
        <f>D22&amp;"_uuid"</f>
        <v>tag_uuid</v>
      </c>
      <c r="G22" s="11" t="s">
        <v>50</v>
      </c>
      <c r="H22" s="11" t="s">
        <v>49</v>
      </c>
      <c r="I22" s="11">
        <f>_xlfn.LET(
    _xlpm.可変bit数,--MID(H22,FIND("(",H22)+1,FIND(")",H22)-FIND("(",H22)-1),
    _xlfn.XLOOKUP(
        $H22,
        型とバイト数!$B$3:$B$54,
        型とバイト数!$E$3:$E$54,
        IF(LEFT($H22,7)="varchar",_xlpm.可変bit数*8,
            IF(LEFT($H22,4)="char",_xlpm.可変bit数*8,
                IF(LEFT($H22,3)="bit",_xlpm.可変bit数,"???")
            )
        )
    )
)</f>
        <v>128</v>
      </c>
      <c r="J22" s="11" t="s">
        <v>488</v>
      </c>
      <c r="K22" s="11"/>
      <c r="L22" s="9"/>
      <c r="M22" s="11" t="str">
        <f>_xlfn.SINGLE(IF(K22="","",IF(L22="","参照先未定義",_xlfn.XLOOKUP(L22,B:B,C:C,"エラー"))))</f>
        <v/>
      </c>
      <c r="N22" s="11" t="s">
        <v>499</v>
      </c>
      <c r="O22" s="11" t="s">
        <v>499</v>
      </c>
      <c r="P22" s="11" t="s">
        <v>52</v>
      </c>
      <c r="Q22" s="11"/>
      <c r="R22" s="9"/>
      <c r="S22" s="9"/>
      <c r="T22" s="9"/>
      <c r="U22" s="11"/>
    </row>
    <row r="23" spans="1:21" ht="18.75" customHeight="1">
      <c r="A23" s="9" t="s">
        <v>46</v>
      </c>
      <c r="B23" s="9" t="str">
        <f t="shared" ca="1" si="1"/>
        <v>tag.tag</v>
      </c>
      <c r="C23" s="10">
        <f t="shared" si="0"/>
        <v>22</v>
      </c>
      <c r="D23" s="11" t="str" cm="1">
        <f t="array" aca="1" ref="D23" ca="1">INDIRECT(ADDRESS(ROW()-1,COLUMN()))</f>
        <v>tag</v>
      </c>
      <c r="E23" s="11" t="str" cm="1">
        <f t="array" aca="1" ref="E23" ca="1">INDIRECT(ADDRESS(ROW()-1,COLUMN()))</f>
        <v>タグ</v>
      </c>
      <c r="F23" s="11" t="s">
        <v>129</v>
      </c>
      <c r="G23" s="11" t="s">
        <v>130</v>
      </c>
      <c r="H23" s="11" t="s">
        <v>87</v>
      </c>
      <c r="I23" s="11" t="str">
        <f>_xlfn.LET(
    _xlpm.可変bit数,--MID(H23,FIND("(",H23)+1,FIND(")",H23)-FIND("(",H23)-1),
    _xlfn.XLOOKUP(
        $H23,
        型とバイト数!$B$3:$B$54,
        型とバイト数!$E$3:$E$54,
        IF(LEFT($H23,7)="varchar",_xlpm.可変bit数*8,
            IF(LEFT($H23,4)="char",_xlpm.可変bit数*8,
                IF(LEFT($H23,3)="bit",_xlpm.可変bit数,"???")
            )
        )
    )
)</f>
        <v>-</v>
      </c>
      <c r="J23" s="11"/>
      <c r="K23" s="11"/>
      <c r="L23" s="9"/>
      <c r="M23" s="11" t="str">
        <f>_xlfn.SINGLE(IF(K23="","",IF(L23="","参照先未定義",_xlfn.XLOOKUP(L23,B:B,C:C,"エラー"))))</f>
        <v/>
      </c>
      <c r="N23" s="11" t="s">
        <v>488</v>
      </c>
      <c r="O23" s="11" t="s">
        <v>488</v>
      </c>
      <c r="P23" s="11"/>
      <c r="Q23" s="11"/>
      <c r="R23" s="9"/>
      <c r="S23" s="9"/>
      <c r="T23" s="9" t="s">
        <v>51</v>
      </c>
      <c r="U23" s="11"/>
    </row>
    <row r="24" spans="1:21" ht="18.75" customHeight="1">
      <c r="A24" s="9" t="s">
        <v>46</v>
      </c>
      <c r="B24" s="9" t="str">
        <f t="shared" ca="1" si="1"/>
        <v>tag.create_datetime</v>
      </c>
      <c r="C24" s="10">
        <f t="shared" si="0"/>
        <v>23</v>
      </c>
      <c r="D24" s="11" t="str" cm="1">
        <f t="array" aca="1" ref="D24" ca="1">INDIRECT(ADDRESS(ROW()-1,COLUMN()))</f>
        <v>tag</v>
      </c>
      <c r="E24" s="11" t="str" cm="1">
        <f t="array" aca="1" ref="E24" ca="1">INDIRECT(ADDRESS(ROW()-1,COLUMN()))</f>
        <v>タグ</v>
      </c>
      <c r="F24" s="11" t="s">
        <v>110</v>
      </c>
      <c r="G24" s="11" t="s">
        <v>111</v>
      </c>
      <c r="H24" s="11" t="s">
        <v>515</v>
      </c>
      <c r="I24" s="11">
        <f>_xlfn.LET(
    _xlpm.可変bit数,--MID(H24,FIND("(",H24)+1,FIND(")",H24)-FIND("(",H24)-1),
    _xlfn.XLOOKUP(
        $H24,
        型とバイト数!$B$3:$B$54,
        型とバイト数!$E$3:$E$54,
        IF(LEFT($H24,7)="varchar",_xlpm.可変bit数*8,
            IF(LEFT($H24,4)="char",_xlpm.可変bit数*8,
                IF(LEFT($H24,3)="bit",_xlpm.可変bit数,"???")
            )
        )
    )
)</f>
        <v>64</v>
      </c>
      <c r="J24" s="11"/>
      <c r="K24" s="11"/>
      <c r="L24" s="9"/>
      <c r="M24" s="11" t="str">
        <f>_xlfn.SINGLE(IF(K24="","",IF(L24="","参照先未定義",_xlfn.XLOOKUP(L24,B:B,C:C,"エラー"))))</f>
        <v/>
      </c>
      <c r="N24" s="11" t="s">
        <v>51</v>
      </c>
      <c r="O24" s="11"/>
      <c r="P24" s="11" t="s">
        <v>112</v>
      </c>
      <c r="Q24" s="11"/>
      <c r="R24" s="9"/>
      <c r="S24" s="9"/>
      <c r="T24" s="9"/>
      <c r="U24" s="11"/>
    </row>
    <row r="25" spans="1:21" ht="18.75" customHeight="1">
      <c r="A25" s="9" t="s">
        <v>46</v>
      </c>
      <c r="B25" s="9" t="str">
        <f t="shared" ca="1" si="1"/>
        <v>tag.create_user</v>
      </c>
      <c r="C25" s="10">
        <f t="shared" si="0"/>
        <v>24</v>
      </c>
      <c r="D25" s="11" t="str" cm="1">
        <f t="array" aca="1" ref="D25" ca="1">INDIRECT(ADDRESS(ROW()-1,COLUMN()))</f>
        <v>tag</v>
      </c>
      <c r="E25" s="11" t="str" cm="1">
        <f t="array" aca="1" ref="E25" ca="1">INDIRECT(ADDRESS(ROW()-1,COLUMN()))</f>
        <v>タグ</v>
      </c>
      <c r="F25" s="11" t="s">
        <v>113</v>
      </c>
      <c r="G25" s="11" t="s">
        <v>114</v>
      </c>
      <c r="H25" s="11" t="s">
        <v>71</v>
      </c>
      <c r="I25" s="11">
        <f>_xlfn.LET(
    _xlpm.可変bit数,--MID(H25,FIND("(",H25)+1,FIND(")",H25)-FIND("(",H25)-1),
    _xlfn.XLOOKUP(
        $H25,
        型とバイト数!$B$3:$B$54,
        型とバイト数!$E$3:$E$54,
        IF(LEFT($H25,7)="varchar",_xlpm.可変bit数*8,
            IF(LEFT($H25,4)="char",_xlpm.可変bit数*8,
                IF(LEFT($H25,3)="bit",_xlpm.可変bit数,"???")
            )
        )
    )
)</f>
        <v>256</v>
      </c>
      <c r="J25" s="11"/>
      <c r="K25" s="11"/>
      <c r="L25" s="9"/>
      <c r="M25" s="11" t="str">
        <f>_xlfn.SINGLE(IF(K25="","",IF(L25="","参照先未定義",_xlfn.XLOOKUP(L25,B:B,C:C,"エラー"))))</f>
        <v/>
      </c>
      <c r="N25" s="11" t="s">
        <v>51</v>
      </c>
      <c r="O25" s="11"/>
      <c r="P25" s="11" t="s">
        <v>115</v>
      </c>
      <c r="Q25" s="11"/>
      <c r="R25" s="9"/>
      <c r="S25" s="9"/>
      <c r="T25" s="9"/>
      <c r="U25" s="11" t="s">
        <v>116</v>
      </c>
    </row>
    <row r="26" spans="1:21" ht="18.75" customHeight="1">
      <c r="A26" s="9" t="s">
        <v>46</v>
      </c>
      <c r="B26" s="9" t="str">
        <f t="shared" ca="1" si="1"/>
        <v>tag.update_datetime</v>
      </c>
      <c r="C26" s="10">
        <f t="shared" si="0"/>
        <v>25</v>
      </c>
      <c r="D26" s="11" t="str" cm="1">
        <f t="array" aca="1" ref="D26" ca="1">INDIRECT(ADDRESS(ROW()-1,COLUMN()))</f>
        <v>tag</v>
      </c>
      <c r="E26" s="11" t="str" cm="1">
        <f t="array" aca="1" ref="E26" ca="1">INDIRECT(ADDRESS(ROW()-1,COLUMN()))</f>
        <v>タグ</v>
      </c>
      <c r="F26" s="11" t="s">
        <v>117</v>
      </c>
      <c r="G26" s="11" t="s">
        <v>118</v>
      </c>
      <c r="H26" s="11" t="s">
        <v>515</v>
      </c>
      <c r="I26" s="11">
        <f>_xlfn.LET(
    _xlpm.可変bit数,--MID(H26,FIND("(",H26)+1,FIND(")",H26)-FIND("(",H26)-1),
    _xlfn.XLOOKUP(
        $H26,
        型とバイト数!$B$3:$B$54,
        型とバイト数!$E$3:$E$54,
        IF(LEFT($H26,7)="varchar",_xlpm.可変bit数*8,
            IF(LEFT($H26,4)="char",_xlpm.可変bit数*8,
                IF(LEFT($H26,3)="bit",_xlpm.可変bit数,"???")
            )
        )
    )
)</f>
        <v>64</v>
      </c>
      <c r="J26" s="11"/>
      <c r="K26" s="11"/>
      <c r="L26" s="9"/>
      <c r="M26" s="11" t="str">
        <f>_xlfn.SINGLE(IF(K26="","",IF(L26="","参照先未定義",_xlfn.XLOOKUP(L26,B:B,C:C,"エラー"))))</f>
        <v/>
      </c>
      <c r="N26" s="11" t="s">
        <v>51</v>
      </c>
      <c r="O26" s="11"/>
      <c r="P26" s="11" t="s">
        <v>112</v>
      </c>
      <c r="Q26" s="11"/>
      <c r="R26" s="9"/>
      <c r="S26" s="9"/>
      <c r="T26" s="9"/>
      <c r="U26" s="11"/>
    </row>
    <row r="27" spans="1:21" ht="18.75" customHeight="1">
      <c r="A27" s="9" t="s">
        <v>46</v>
      </c>
      <c r="B27" s="9" t="str">
        <f t="shared" ca="1" si="1"/>
        <v>tag.update_user</v>
      </c>
      <c r="C27" s="10">
        <f t="shared" si="0"/>
        <v>26</v>
      </c>
      <c r="D27" s="11" t="str" cm="1">
        <f t="array" aca="1" ref="D27" ca="1">INDIRECT(ADDRESS(ROW()-1,COLUMN()))</f>
        <v>tag</v>
      </c>
      <c r="E27" s="11" t="str" cm="1">
        <f t="array" aca="1" ref="E27" ca="1">INDIRECT(ADDRESS(ROW()-1,COLUMN()))</f>
        <v>タグ</v>
      </c>
      <c r="F27" s="11" t="s">
        <v>119</v>
      </c>
      <c r="G27" s="11" t="s">
        <v>120</v>
      </c>
      <c r="H27" s="11" t="s">
        <v>71</v>
      </c>
      <c r="I27" s="11">
        <f>_xlfn.LET(
    _xlpm.可変bit数,--MID(H27,FIND("(",H27)+1,FIND(")",H27)-FIND("(",H27)-1),
    _xlfn.XLOOKUP(
        $H27,
        型とバイト数!$B$3:$B$54,
        型とバイト数!$E$3:$E$54,
        IF(LEFT($H27,7)="varchar",_xlpm.可変bit数*8,
            IF(LEFT($H27,4)="char",_xlpm.可変bit数*8,
                IF(LEFT($H27,3)="bit",_xlpm.可変bit数,"???")
            )
        )
    )
)</f>
        <v>256</v>
      </c>
      <c r="J27" s="11"/>
      <c r="K27" s="11"/>
      <c r="L27" s="9"/>
      <c r="M27" s="11" t="str">
        <f>_xlfn.SINGLE(IF(K27="","",IF(L27="","参照先未定義",_xlfn.XLOOKUP(L27,B:B,C:C,"エラー"))))</f>
        <v/>
      </c>
      <c r="N27" s="11" t="s">
        <v>51</v>
      </c>
      <c r="O27" s="11"/>
      <c r="P27" s="11" t="s">
        <v>115</v>
      </c>
      <c r="Q27" s="11"/>
      <c r="R27" s="9"/>
      <c r="S27" s="9"/>
      <c r="T27" s="9"/>
      <c r="U27" s="11" t="s">
        <v>116</v>
      </c>
    </row>
    <row r="28" spans="1:21" ht="18.75" customHeight="1">
      <c r="A28" s="9" t="s">
        <v>46</v>
      </c>
      <c r="B28" s="9" t="str">
        <f t="shared" ca="1" si="1"/>
        <v>tag.soft_delete_flag</v>
      </c>
      <c r="C28" s="10">
        <f t="shared" si="0"/>
        <v>27</v>
      </c>
      <c r="D28" s="11" t="str" cm="1">
        <f t="array" aca="1" ref="D28" ca="1">INDIRECT(ADDRESS(ROW()-1,COLUMN()))</f>
        <v>tag</v>
      </c>
      <c r="E28" s="11" t="str" cm="1">
        <f t="array" aca="1" ref="E28" ca="1">INDIRECT(ADDRESS(ROW()-1,COLUMN()))</f>
        <v>タグ</v>
      </c>
      <c r="F28" s="11" t="s">
        <v>121</v>
      </c>
      <c r="G28" s="11" t="s">
        <v>122</v>
      </c>
      <c r="H28" s="11" t="s">
        <v>517</v>
      </c>
      <c r="I28" s="11">
        <f>_xlfn.LET(
    _xlpm.可変bit数,--MID(H28,FIND("(",H28)+1,FIND(")",H28)-FIND("(",H28)-1),
    _xlfn.XLOOKUP(
        $H28,
        型とバイト数!$B$3:$B$54,
        型とバイト数!$E$3:$E$54,
        IF(LEFT($H28,7)="varchar",_xlpm.可変bit数*8,
            IF(LEFT($H28,4)="char",_xlpm.可変bit数*8,
                IF(LEFT($H28,3)="bit",_xlpm.可変bit数,"???")
            )
        )
    )
)</f>
        <v>8</v>
      </c>
      <c r="J28" s="11"/>
      <c r="K28" s="11"/>
      <c r="L28" s="9"/>
      <c r="M28" s="11" t="str">
        <f>_xlfn.SINGLE(IF(K28="","",IF(L28="","参照先未定義",_xlfn.XLOOKUP(L28,B:B,C:C,"エラー"))))</f>
        <v/>
      </c>
      <c r="N28" s="11" t="s">
        <v>51</v>
      </c>
      <c r="O28" s="11"/>
      <c r="P28" s="11">
        <v>0</v>
      </c>
      <c r="Q28" s="11"/>
      <c r="R28" s="9"/>
      <c r="S28" s="9"/>
      <c r="T28" s="9"/>
      <c r="U28" s="11"/>
    </row>
    <row r="29" spans="1:21" ht="18.75" customHeight="1">
      <c r="A29" s="9" t="s">
        <v>46</v>
      </c>
      <c r="B29" s="9" t="str">
        <f t="shared" si="1"/>
        <v>badge.badge_uuid</v>
      </c>
      <c r="C29" s="10">
        <f t="shared" si="0"/>
        <v>28</v>
      </c>
      <c r="D29" s="11" t="s">
        <v>131</v>
      </c>
      <c r="E29" s="11" t="s">
        <v>132</v>
      </c>
      <c r="F29" s="11" t="str">
        <f>D29&amp;"_uuid"</f>
        <v>badge_uuid</v>
      </c>
      <c r="G29" s="11" t="s">
        <v>50</v>
      </c>
      <c r="H29" s="11" t="s">
        <v>49</v>
      </c>
      <c r="I29" s="11">
        <f>_xlfn.LET(
    _xlpm.可変bit数,--MID(H29,FIND("(",H29)+1,FIND(")",H29)-FIND("(",H29)-1),
    _xlfn.XLOOKUP(
        $H29,
        型とバイト数!$B$3:$B$54,
        型とバイト数!$E$3:$E$54,
        IF(LEFT($H29,7)="varchar",_xlpm.可変bit数*8,
            IF(LEFT($H29,4)="char",_xlpm.可変bit数*8,
                IF(LEFT($H29,3)="bit",_xlpm.可変bit数,"???")
            )
        )
    )
)</f>
        <v>128</v>
      </c>
      <c r="J29" s="11" t="s">
        <v>488</v>
      </c>
      <c r="K29" s="11"/>
      <c r="L29" s="9"/>
      <c r="M29" s="11" t="str">
        <f>_xlfn.SINGLE(IF(K29="","",IF(L29="","参照先未定義",_xlfn.XLOOKUP(L29,B:B,C:C,"エラー"))))</f>
        <v/>
      </c>
      <c r="N29" s="11" t="s">
        <v>499</v>
      </c>
      <c r="O29" s="11" t="s">
        <v>499</v>
      </c>
      <c r="P29" s="11" t="s">
        <v>52</v>
      </c>
      <c r="Q29" s="11"/>
      <c r="R29" s="9"/>
      <c r="S29" s="9"/>
      <c r="T29" s="9"/>
      <c r="U29" s="11"/>
    </row>
    <row r="30" spans="1:21" ht="18.75" customHeight="1">
      <c r="A30" s="9" t="s">
        <v>46</v>
      </c>
      <c r="B30" s="9" t="str">
        <f t="shared" ca="1" si="1"/>
        <v>badge.badge_physical_name</v>
      </c>
      <c r="C30" s="10">
        <f t="shared" si="0"/>
        <v>29</v>
      </c>
      <c r="D30" s="11" t="str" cm="1">
        <f t="array" aca="1" ref="D30" ca="1">INDIRECT(ADDRESS(ROW()-1,COLUMN()))</f>
        <v>badge</v>
      </c>
      <c r="E30" s="11" t="str" cm="1">
        <f t="array" aca="1" ref="E30" ca="1">INDIRECT(ADDRESS(ROW()-1,COLUMN()))</f>
        <v>バッジ</v>
      </c>
      <c r="F30" s="11" t="s">
        <v>133</v>
      </c>
      <c r="G30" s="11" t="s">
        <v>134</v>
      </c>
      <c r="H30" s="11" t="s">
        <v>135</v>
      </c>
      <c r="I30" s="11">
        <f>_xlfn.LET(
    _xlpm.可変bit数,--MID(H30,FIND("(",H30)+1,FIND(")",H30)-FIND("(",H30)-1),
    _xlfn.XLOOKUP(
        $H30,
        型とバイト数!$B$3:$B$54,
        型とバイト数!$E$3:$E$54,
        IF(LEFT($H30,7)="varchar",_xlpm.可変bit数*8,
            IF(LEFT($H30,4)="char",_xlpm.可変bit数*8,
                IF(LEFT($H30,3)="bit",_xlpm.可変bit数,"???")
            )
        )
    )
)</f>
        <v>192</v>
      </c>
      <c r="J30" s="11"/>
      <c r="K30" s="11"/>
      <c r="L30" s="9"/>
      <c r="M30" s="11" t="str">
        <f>_xlfn.SINGLE(IF(K30="","",IF(L30="","参照先未定義",_xlfn.XLOOKUP(L30,B:B,C:C,"エラー"))))</f>
        <v/>
      </c>
      <c r="N30" s="11" t="s">
        <v>488</v>
      </c>
      <c r="O30" s="11" t="s">
        <v>488</v>
      </c>
      <c r="P30" s="11"/>
      <c r="Q30" s="11"/>
      <c r="R30" s="9"/>
      <c r="S30" s="9"/>
      <c r="T30" s="9" t="s">
        <v>51</v>
      </c>
      <c r="U30" s="11"/>
    </row>
    <row r="31" spans="1:21" ht="18.75" customHeight="1">
      <c r="A31" s="9" t="s">
        <v>46</v>
      </c>
      <c r="B31" s="9" t="str">
        <f t="shared" ca="1" si="1"/>
        <v>badge.badge_logical_name</v>
      </c>
      <c r="C31" s="10">
        <f t="shared" si="0"/>
        <v>30</v>
      </c>
      <c r="D31" s="11" t="str" cm="1">
        <f t="array" aca="1" ref="D31" ca="1">INDIRECT(ADDRESS(ROW()-1,COLUMN()))</f>
        <v>badge</v>
      </c>
      <c r="E31" s="11" t="str" cm="1">
        <f t="array" aca="1" ref="E31" ca="1">INDIRECT(ADDRESS(ROW()-1,COLUMN()))</f>
        <v>バッジ</v>
      </c>
      <c r="F31" s="11" t="s">
        <v>136</v>
      </c>
      <c r="G31" s="11" t="s">
        <v>137</v>
      </c>
      <c r="H31" s="11" t="s">
        <v>135</v>
      </c>
      <c r="I31" s="11">
        <f>_xlfn.LET(
    _xlpm.可変bit数,--MID(H31,FIND("(",H31)+1,FIND(")",H31)-FIND("(",H31)-1),
    _xlfn.XLOOKUP(
        $H31,
        型とバイト数!$B$3:$B$54,
        型とバイト数!$E$3:$E$54,
        IF(LEFT($H31,7)="varchar",_xlpm.可変bit数*8,
            IF(LEFT($H31,4)="char",_xlpm.可変bit数*8,
                IF(LEFT($H31,3)="bit",_xlpm.可変bit数,"???")
            )
        )
    )
)</f>
        <v>192</v>
      </c>
      <c r="J31" s="11"/>
      <c r="K31" s="11"/>
      <c r="L31" s="9"/>
      <c r="M31" s="11" t="str">
        <f>_xlfn.SINGLE(IF(K31="","",IF(L31="","参照先未定義",_xlfn.XLOOKUP(L31,B:B,C:C,"エラー"))))</f>
        <v/>
      </c>
      <c r="N31" s="11"/>
      <c r="O31" s="11"/>
      <c r="P31" s="11"/>
      <c r="Q31" s="11"/>
      <c r="R31" s="9"/>
      <c r="S31" s="9"/>
      <c r="T31" s="9" t="s">
        <v>51</v>
      </c>
      <c r="U31" s="11" t="s">
        <v>138</v>
      </c>
    </row>
    <row r="32" spans="1:21" ht="18.75" customHeight="1">
      <c r="A32" s="9" t="s">
        <v>46</v>
      </c>
      <c r="B32" s="9" t="str">
        <f t="shared" ca="1" si="1"/>
        <v>badge.create_datetime</v>
      </c>
      <c r="C32" s="10">
        <f t="shared" si="0"/>
        <v>31</v>
      </c>
      <c r="D32" s="11" t="str" cm="1">
        <f t="array" aca="1" ref="D32" ca="1">INDIRECT(ADDRESS(ROW()-1,COLUMN()))</f>
        <v>badge</v>
      </c>
      <c r="E32" s="11" t="str" cm="1">
        <f t="array" aca="1" ref="E32" ca="1">INDIRECT(ADDRESS(ROW()-1,COLUMN()))</f>
        <v>バッジ</v>
      </c>
      <c r="F32" s="11" t="s">
        <v>110</v>
      </c>
      <c r="G32" s="11" t="s">
        <v>111</v>
      </c>
      <c r="H32" s="11" t="s">
        <v>515</v>
      </c>
      <c r="I32" s="11">
        <f>_xlfn.LET(
    _xlpm.可変bit数,--MID(H32,FIND("(",H32)+1,FIND(")",H32)-FIND("(",H32)-1),
    _xlfn.XLOOKUP(
        $H32,
        型とバイト数!$B$3:$B$54,
        型とバイト数!$E$3:$E$54,
        IF(LEFT($H32,7)="varchar",_xlpm.可変bit数*8,
            IF(LEFT($H32,4)="char",_xlpm.可変bit数*8,
                IF(LEFT($H32,3)="bit",_xlpm.可変bit数,"???")
            )
        )
    )
)</f>
        <v>64</v>
      </c>
      <c r="J32" s="11"/>
      <c r="K32" s="11"/>
      <c r="L32" s="9"/>
      <c r="M32" s="11" t="str">
        <f>_xlfn.SINGLE(IF(K32="","",IF(L32="","参照先未定義",_xlfn.XLOOKUP(L32,B:B,C:C,"エラー"))))</f>
        <v/>
      </c>
      <c r="N32" s="11" t="s">
        <v>51</v>
      </c>
      <c r="O32" s="11"/>
      <c r="P32" s="11" t="s">
        <v>112</v>
      </c>
      <c r="Q32" s="11"/>
      <c r="R32" s="9"/>
      <c r="S32" s="9"/>
      <c r="T32" s="9"/>
      <c r="U32" s="11"/>
    </row>
    <row r="33" spans="1:21" ht="18.75" customHeight="1">
      <c r="A33" s="9" t="s">
        <v>46</v>
      </c>
      <c r="B33" s="9" t="str">
        <f t="shared" ca="1" si="1"/>
        <v>badge.create_user</v>
      </c>
      <c r="C33" s="10">
        <f t="shared" si="0"/>
        <v>32</v>
      </c>
      <c r="D33" s="11" t="str" cm="1">
        <f t="array" aca="1" ref="D33" ca="1">INDIRECT(ADDRESS(ROW()-1,COLUMN()))</f>
        <v>badge</v>
      </c>
      <c r="E33" s="11" t="str" cm="1">
        <f t="array" aca="1" ref="E33" ca="1">INDIRECT(ADDRESS(ROW()-1,COLUMN()))</f>
        <v>バッジ</v>
      </c>
      <c r="F33" s="11" t="s">
        <v>113</v>
      </c>
      <c r="G33" s="11" t="s">
        <v>114</v>
      </c>
      <c r="H33" s="11" t="s">
        <v>71</v>
      </c>
      <c r="I33" s="11">
        <f>_xlfn.LET(
    _xlpm.可変bit数,--MID(H33,FIND("(",H33)+1,FIND(")",H33)-FIND("(",H33)-1),
    _xlfn.XLOOKUP(
        $H33,
        型とバイト数!$B$3:$B$54,
        型とバイト数!$E$3:$E$54,
        IF(LEFT($H33,7)="varchar",_xlpm.可変bit数*8,
            IF(LEFT($H33,4)="char",_xlpm.可変bit数*8,
                IF(LEFT($H33,3)="bit",_xlpm.可変bit数,"???")
            )
        )
    )
)</f>
        <v>256</v>
      </c>
      <c r="J33" s="11"/>
      <c r="K33" s="11"/>
      <c r="L33" s="9"/>
      <c r="M33" s="11" t="str">
        <f>_xlfn.SINGLE(IF(K33="","",IF(L33="","参照先未定義",_xlfn.XLOOKUP(L33,B:B,C:C,"エラー"))))</f>
        <v/>
      </c>
      <c r="N33" s="11" t="s">
        <v>51</v>
      </c>
      <c r="O33" s="11"/>
      <c r="P33" s="11" t="s">
        <v>115</v>
      </c>
      <c r="Q33" s="11"/>
      <c r="R33" s="9"/>
      <c r="S33" s="9"/>
      <c r="T33" s="9"/>
      <c r="U33" s="11" t="s">
        <v>116</v>
      </c>
    </row>
    <row r="34" spans="1:21" ht="18.75" customHeight="1">
      <c r="A34" s="9" t="s">
        <v>46</v>
      </c>
      <c r="B34" s="9" t="str">
        <f t="shared" ca="1" si="1"/>
        <v>badge.update_datetime</v>
      </c>
      <c r="C34" s="10">
        <f t="shared" si="0"/>
        <v>33</v>
      </c>
      <c r="D34" s="11" t="str" cm="1">
        <f t="array" aca="1" ref="D34" ca="1">INDIRECT(ADDRESS(ROW()-1,COLUMN()))</f>
        <v>badge</v>
      </c>
      <c r="E34" s="11" t="str" cm="1">
        <f t="array" aca="1" ref="E34" ca="1">INDIRECT(ADDRESS(ROW()-1,COLUMN()))</f>
        <v>バッジ</v>
      </c>
      <c r="F34" s="11" t="s">
        <v>117</v>
      </c>
      <c r="G34" s="11" t="s">
        <v>118</v>
      </c>
      <c r="H34" s="11" t="s">
        <v>515</v>
      </c>
      <c r="I34" s="11">
        <f>_xlfn.LET(
    _xlpm.可変bit数,--MID(H34,FIND("(",H34)+1,FIND(")",H34)-FIND("(",H34)-1),
    _xlfn.XLOOKUP(
        $H34,
        型とバイト数!$B$3:$B$54,
        型とバイト数!$E$3:$E$54,
        IF(LEFT($H34,7)="varchar",_xlpm.可変bit数*8,
            IF(LEFT($H34,4)="char",_xlpm.可変bit数*8,
                IF(LEFT($H34,3)="bit",_xlpm.可変bit数,"???")
            )
        )
    )
)</f>
        <v>64</v>
      </c>
      <c r="J34" s="11"/>
      <c r="K34" s="11"/>
      <c r="L34" s="9"/>
      <c r="M34" s="11" t="str">
        <f>_xlfn.SINGLE(IF(K34="","",IF(L34="","参照先未定義",_xlfn.XLOOKUP(L34,B:B,C:C,"エラー"))))</f>
        <v/>
      </c>
      <c r="N34" s="11" t="s">
        <v>51</v>
      </c>
      <c r="O34" s="11"/>
      <c r="P34" s="11" t="s">
        <v>112</v>
      </c>
      <c r="Q34" s="11"/>
      <c r="R34" s="9"/>
      <c r="S34" s="9"/>
      <c r="T34" s="9"/>
      <c r="U34" s="11"/>
    </row>
    <row r="35" spans="1:21" ht="18.75" customHeight="1">
      <c r="A35" s="9" t="s">
        <v>46</v>
      </c>
      <c r="B35" s="9" t="str">
        <f t="shared" ca="1" si="1"/>
        <v>badge.update_user</v>
      </c>
      <c r="C35" s="10">
        <f t="shared" si="0"/>
        <v>34</v>
      </c>
      <c r="D35" s="11" t="str" cm="1">
        <f t="array" aca="1" ref="D35" ca="1">INDIRECT(ADDRESS(ROW()-1,COLUMN()))</f>
        <v>badge</v>
      </c>
      <c r="E35" s="11" t="str" cm="1">
        <f t="array" aca="1" ref="E35" ca="1">INDIRECT(ADDRESS(ROW()-1,COLUMN()))</f>
        <v>バッジ</v>
      </c>
      <c r="F35" s="11" t="s">
        <v>119</v>
      </c>
      <c r="G35" s="11" t="s">
        <v>120</v>
      </c>
      <c r="H35" s="11" t="s">
        <v>71</v>
      </c>
      <c r="I35" s="11">
        <f>_xlfn.LET(
    _xlpm.可変bit数,--MID(H35,FIND("(",H35)+1,FIND(")",H35)-FIND("(",H35)-1),
    _xlfn.XLOOKUP(
        $H35,
        型とバイト数!$B$3:$B$54,
        型とバイト数!$E$3:$E$54,
        IF(LEFT($H35,7)="varchar",_xlpm.可変bit数*8,
            IF(LEFT($H35,4)="char",_xlpm.可変bit数*8,
                IF(LEFT($H35,3)="bit",_xlpm.可変bit数,"???")
            )
        )
    )
)</f>
        <v>256</v>
      </c>
      <c r="J35" s="11"/>
      <c r="K35" s="11"/>
      <c r="L35" s="9"/>
      <c r="M35" s="11" t="str">
        <f>_xlfn.SINGLE(IF(K35="","",IF(L35="","参照先未定義",_xlfn.XLOOKUP(L35,B:B,C:C,"エラー"))))</f>
        <v/>
      </c>
      <c r="N35" s="11" t="s">
        <v>51</v>
      </c>
      <c r="O35" s="11"/>
      <c r="P35" s="11" t="s">
        <v>115</v>
      </c>
      <c r="Q35" s="11"/>
      <c r="R35" s="9"/>
      <c r="S35" s="9"/>
      <c r="T35" s="9"/>
      <c r="U35" s="11" t="s">
        <v>116</v>
      </c>
    </row>
    <row r="36" spans="1:21" ht="18.75" customHeight="1">
      <c r="A36" s="9" t="s">
        <v>46</v>
      </c>
      <c r="B36" s="9" t="str">
        <f t="shared" ca="1" si="1"/>
        <v>badge.soft_delete_flag</v>
      </c>
      <c r="C36" s="10">
        <f t="shared" si="0"/>
        <v>35</v>
      </c>
      <c r="D36" s="11" t="str" cm="1">
        <f t="array" aca="1" ref="D36" ca="1">INDIRECT(ADDRESS(ROW()-1,COLUMN()))</f>
        <v>badge</v>
      </c>
      <c r="E36" s="11" t="str" cm="1">
        <f t="array" aca="1" ref="E36" ca="1">INDIRECT(ADDRESS(ROW()-1,COLUMN()))</f>
        <v>バッジ</v>
      </c>
      <c r="F36" s="11" t="s">
        <v>121</v>
      </c>
      <c r="G36" s="11" t="s">
        <v>122</v>
      </c>
      <c r="H36" s="11" t="s">
        <v>517</v>
      </c>
      <c r="I36" s="11">
        <f>_xlfn.LET(
    _xlpm.可変bit数,--MID(H36,FIND("(",H36)+1,FIND(")",H36)-FIND("(",H36)-1),
    _xlfn.XLOOKUP(
        $H36,
        型とバイト数!$B$3:$B$54,
        型とバイト数!$E$3:$E$54,
        IF(LEFT($H36,7)="varchar",_xlpm.可変bit数*8,
            IF(LEFT($H36,4)="char",_xlpm.可変bit数*8,
                IF(LEFT($H36,3)="bit",_xlpm.可変bit数,"???")
            )
        )
    )
)</f>
        <v>8</v>
      </c>
      <c r="J36" s="11"/>
      <c r="K36" s="11"/>
      <c r="L36" s="9"/>
      <c r="M36" s="11" t="str">
        <f>_xlfn.SINGLE(IF(K36="","",IF(L36="","参照先未定義",_xlfn.XLOOKUP(L36,B:B,C:C,"エラー"))))</f>
        <v/>
      </c>
      <c r="N36" s="11" t="s">
        <v>51</v>
      </c>
      <c r="O36" s="11"/>
      <c r="P36" s="11">
        <v>0</v>
      </c>
      <c r="Q36" s="11"/>
      <c r="R36" s="9"/>
      <c r="S36" s="9"/>
      <c r="T36" s="9"/>
      <c r="U36" s="11"/>
    </row>
    <row r="37" spans="1:21" ht="18.75" customHeight="1">
      <c r="A37" s="9" t="s">
        <v>46</v>
      </c>
      <c r="B37" s="9" t="str">
        <f t="shared" si="1"/>
        <v>activity_status.activity_status_uuid</v>
      </c>
      <c r="C37" s="10">
        <f t="shared" si="0"/>
        <v>36</v>
      </c>
      <c r="D37" s="11" t="s">
        <v>106</v>
      </c>
      <c r="E37" s="11" t="s">
        <v>107</v>
      </c>
      <c r="F37" s="11" t="str">
        <f>D37&amp;"_uuid"</f>
        <v>activity_status_uuid</v>
      </c>
      <c r="G37" s="11" t="s">
        <v>50</v>
      </c>
      <c r="H37" s="11" t="s">
        <v>49</v>
      </c>
      <c r="I37" s="11">
        <f>_xlfn.LET(
    _xlpm.可変bit数,--MID(H37,FIND("(",H37)+1,FIND(")",H37)-FIND("(",H37)-1),
    _xlfn.XLOOKUP(
        $H37,
        型とバイト数!$B$3:$B$54,
        型とバイト数!$E$3:$E$54,
        IF(LEFT($H37,7)="varchar",_xlpm.可変bit数*8,
            IF(LEFT($H37,4)="char",_xlpm.可変bit数*8,
                IF(LEFT($H37,3)="bit",_xlpm.可変bit数,"???")
            )
        )
    )
)</f>
        <v>128</v>
      </c>
      <c r="J37" s="11" t="s">
        <v>488</v>
      </c>
      <c r="K37" s="11"/>
      <c r="L37" s="9"/>
      <c r="M37" s="11" t="str">
        <f>_xlfn.SINGLE(IF(K37="","",IF(L37="","参照先未定義",_xlfn.XLOOKUP(L37,B:B,C:C,"エラー"))))</f>
        <v/>
      </c>
      <c r="N37" s="11" t="s">
        <v>499</v>
      </c>
      <c r="O37" s="11" t="s">
        <v>499</v>
      </c>
      <c r="P37" s="11" t="s">
        <v>52</v>
      </c>
      <c r="Q37" s="11"/>
      <c r="R37" s="9"/>
      <c r="S37" s="9"/>
      <c r="T37" s="9"/>
      <c r="U37" s="11"/>
    </row>
    <row r="38" spans="1:21" ht="18.75" customHeight="1">
      <c r="A38" s="9" t="s">
        <v>46</v>
      </c>
      <c r="B38" s="9" t="str">
        <f t="shared" ca="1" si="1"/>
        <v>activity_status.activity_status_physical_name</v>
      </c>
      <c r="C38" s="10">
        <f t="shared" si="0"/>
        <v>37</v>
      </c>
      <c r="D38" s="11" t="str" cm="1">
        <f t="array" aca="1" ref="D38" ca="1">INDIRECT(ADDRESS(ROW()-1,COLUMN()))</f>
        <v>activity_status</v>
      </c>
      <c r="E38" s="11" t="str" cm="1">
        <f t="array" aca="1" ref="E38" ca="1">INDIRECT(ADDRESS(ROW()-1,COLUMN()))</f>
        <v>活動状態</v>
      </c>
      <c r="F38" s="11" t="s">
        <v>139</v>
      </c>
      <c r="G38" s="11" t="s">
        <v>140</v>
      </c>
      <c r="H38" s="11" t="s">
        <v>55</v>
      </c>
      <c r="I38" s="11">
        <f>_xlfn.LET(
    _xlpm.可変bit数,--MID(H38,FIND("(",H38)+1,FIND(")",H38)-FIND("(",H38)-1),
    _xlfn.XLOOKUP(
        $H38,
        型とバイト数!$B$3:$B$54,
        型とバイト数!$E$3:$E$54,
        IF(LEFT($H38,7)="varchar",_xlpm.可変bit数*8,
            IF(LEFT($H38,4)="char",_xlpm.可変bit数*8,
                IF(LEFT($H38,3)="bit",_xlpm.可変bit数,"???")
            )
        )
    )
)</f>
        <v>64</v>
      </c>
      <c r="J38" s="11"/>
      <c r="K38" s="11"/>
      <c r="L38" s="9"/>
      <c r="M38" s="11" t="str">
        <f>_xlfn.SINGLE(IF(K38="","",IF(L38="","参照先未定義",_xlfn.XLOOKUP(L38,B:B,C:C,"エラー"))))</f>
        <v/>
      </c>
      <c r="N38" s="11" t="s">
        <v>488</v>
      </c>
      <c r="O38" s="11" t="s">
        <v>488</v>
      </c>
      <c r="P38" s="11"/>
      <c r="Q38" s="11"/>
      <c r="R38" s="9"/>
      <c r="S38" s="9"/>
      <c r="T38" s="9"/>
      <c r="U38" s="11"/>
    </row>
    <row r="39" spans="1:21" ht="18.75" customHeight="1">
      <c r="A39" s="9" t="s">
        <v>46</v>
      </c>
      <c r="B39" s="9" t="str">
        <f t="shared" ca="1" si="1"/>
        <v>activity_status.activity_status_logical_name</v>
      </c>
      <c r="C39" s="10">
        <f t="shared" si="0"/>
        <v>38</v>
      </c>
      <c r="D39" s="11" t="str" cm="1">
        <f t="array" aca="1" ref="D39" ca="1">INDIRECT(ADDRESS(ROW()-1,COLUMN()))</f>
        <v>activity_status</v>
      </c>
      <c r="E39" s="11" t="str" cm="1">
        <f t="array" aca="1" ref="E39" ca="1">INDIRECT(ADDRESS(ROW()-1,COLUMN()))</f>
        <v>活動状態</v>
      </c>
      <c r="F39" s="11" t="s">
        <v>141</v>
      </c>
      <c r="G39" s="11" t="s">
        <v>142</v>
      </c>
      <c r="H39" s="11" t="s">
        <v>55</v>
      </c>
      <c r="I39" s="11">
        <f>_xlfn.LET(
    _xlpm.可変bit数,--MID(H39,FIND("(",H39)+1,FIND(")",H39)-FIND("(",H39)-1),
    _xlfn.XLOOKUP(
        $H39,
        型とバイト数!$B$3:$B$54,
        型とバイト数!$E$3:$E$54,
        IF(LEFT($H39,7)="varchar",_xlpm.可変bit数*8,
            IF(LEFT($H39,4)="char",_xlpm.可変bit数*8,
                IF(LEFT($H39,3)="bit",_xlpm.可変bit数,"???")
            )
        )
    )
)</f>
        <v>64</v>
      </c>
      <c r="J39" s="11"/>
      <c r="K39" s="11"/>
      <c r="L39" s="9"/>
      <c r="M39" s="11" t="str">
        <f>_xlfn.SINGLE(IF(K39="","",IF(L39="","参照先未定義",_xlfn.XLOOKUP(L39,B:B,C:C,"エラー"))))</f>
        <v/>
      </c>
      <c r="N39" s="11"/>
      <c r="O39" s="11"/>
      <c r="P39" s="11"/>
      <c r="Q39" s="11"/>
      <c r="R39" s="9"/>
      <c r="S39" s="9"/>
      <c r="T39" s="9"/>
      <c r="U39" s="11" t="s">
        <v>143</v>
      </c>
    </row>
    <row r="40" spans="1:21" ht="18.75" customHeight="1">
      <c r="A40" s="9" t="s">
        <v>46</v>
      </c>
      <c r="B40" s="9" t="str">
        <f t="shared" ca="1" si="1"/>
        <v>activity_status.create_datetime</v>
      </c>
      <c r="C40" s="10">
        <f t="shared" si="0"/>
        <v>39</v>
      </c>
      <c r="D40" s="11" t="str" cm="1">
        <f t="array" aca="1" ref="D40" ca="1">INDIRECT(ADDRESS(ROW()-1,COLUMN()))</f>
        <v>activity_status</v>
      </c>
      <c r="E40" s="11" t="str" cm="1">
        <f t="array" aca="1" ref="E40" ca="1">INDIRECT(ADDRESS(ROW()-1,COLUMN()))</f>
        <v>活動状態</v>
      </c>
      <c r="F40" s="11" t="s">
        <v>110</v>
      </c>
      <c r="G40" s="11" t="s">
        <v>111</v>
      </c>
      <c r="H40" s="11" t="s">
        <v>515</v>
      </c>
      <c r="I40" s="11">
        <f>_xlfn.LET(
    _xlpm.可変bit数,--MID(H40,FIND("(",H40)+1,FIND(")",H40)-FIND("(",H40)-1),
    _xlfn.XLOOKUP(
        $H40,
        型とバイト数!$B$3:$B$54,
        型とバイト数!$E$3:$E$54,
        IF(LEFT($H40,7)="varchar",_xlpm.可変bit数*8,
            IF(LEFT($H40,4)="char",_xlpm.可変bit数*8,
                IF(LEFT($H40,3)="bit",_xlpm.可変bit数,"???")
            )
        )
    )
)</f>
        <v>64</v>
      </c>
      <c r="J40" s="11"/>
      <c r="K40" s="11"/>
      <c r="L40" s="9"/>
      <c r="M40" s="11" t="str">
        <f>_xlfn.SINGLE(IF(K40="","",IF(L40="","参照先未定義",_xlfn.XLOOKUP(L40,B:B,C:C,"エラー"))))</f>
        <v/>
      </c>
      <c r="N40" s="11" t="s">
        <v>51</v>
      </c>
      <c r="O40" s="11"/>
      <c r="P40" s="11" t="s">
        <v>112</v>
      </c>
      <c r="Q40" s="11"/>
      <c r="R40" s="9"/>
      <c r="S40" s="9"/>
      <c r="T40" s="9"/>
      <c r="U40" s="11"/>
    </row>
    <row r="41" spans="1:21" ht="18.75" customHeight="1">
      <c r="A41" s="9" t="s">
        <v>46</v>
      </c>
      <c r="B41" s="9" t="str">
        <f t="shared" ca="1" si="1"/>
        <v>activity_status.create_user</v>
      </c>
      <c r="C41" s="10">
        <f t="shared" si="0"/>
        <v>40</v>
      </c>
      <c r="D41" s="11" t="str" cm="1">
        <f t="array" aca="1" ref="D41" ca="1">INDIRECT(ADDRESS(ROW()-1,COLUMN()))</f>
        <v>activity_status</v>
      </c>
      <c r="E41" s="11" t="str" cm="1">
        <f t="array" aca="1" ref="E41" ca="1">INDIRECT(ADDRESS(ROW()-1,COLUMN()))</f>
        <v>活動状態</v>
      </c>
      <c r="F41" s="11" t="s">
        <v>113</v>
      </c>
      <c r="G41" s="11" t="s">
        <v>114</v>
      </c>
      <c r="H41" s="11" t="s">
        <v>71</v>
      </c>
      <c r="I41" s="11">
        <f>_xlfn.LET(
    _xlpm.可変bit数,--MID(H41,FIND("(",H41)+1,FIND(")",H41)-FIND("(",H41)-1),
    _xlfn.XLOOKUP(
        $H41,
        型とバイト数!$B$3:$B$54,
        型とバイト数!$E$3:$E$54,
        IF(LEFT($H41,7)="varchar",_xlpm.可変bit数*8,
            IF(LEFT($H41,4)="char",_xlpm.可変bit数*8,
                IF(LEFT($H41,3)="bit",_xlpm.可変bit数,"???")
            )
        )
    )
)</f>
        <v>256</v>
      </c>
      <c r="J41" s="11"/>
      <c r="K41" s="11"/>
      <c r="L41" s="9"/>
      <c r="M41" s="11" t="str">
        <f>_xlfn.SINGLE(IF(K41="","",IF(L41="","参照先未定義",_xlfn.XLOOKUP(L41,B:B,C:C,"エラー"))))</f>
        <v/>
      </c>
      <c r="N41" s="11" t="s">
        <v>51</v>
      </c>
      <c r="O41" s="11"/>
      <c r="P41" s="11" t="s">
        <v>115</v>
      </c>
      <c r="Q41" s="11"/>
      <c r="R41" s="9"/>
      <c r="S41" s="9"/>
      <c r="T41" s="9"/>
      <c r="U41" s="11" t="s">
        <v>116</v>
      </c>
    </row>
    <row r="42" spans="1:21" ht="18.75" customHeight="1">
      <c r="A42" s="9" t="s">
        <v>46</v>
      </c>
      <c r="B42" s="9" t="str">
        <f t="shared" ca="1" si="1"/>
        <v>activity_status.update_datetime</v>
      </c>
      <c r="C42" s="10">
        <f t="shared" si="0"/>
        <v>41</v>
      </c>
      <c r="D42" s="11" t="str" cm="1">
        <f t="array" aca="1" ref="D42" ca="1">INDIRECT(ADDRESS(ROW()-1,COLUMN()))</f>
        <v>activity_status</v>
      </c>
      <c r="E42" s="11" t="str" cm="1">
        <f t="array" aca="1" ref="E42" ca="1">INDIRECT(ADDRESS(ROW()-1,COLUMN()))</f>
        <v>活動状態</v>
      </c>
      <c r="F42" s="11" t="s">
        <v>117</v>
      </c>
      <c r="G42" s="11" t="s">
        <v>118</v>
      </c>
      <c r="H42" s="11" t="s">
        <v>515</v>
      </c>
      <c r="I42" s="11">
        <f>_xlfn.LET(
    _xlpm.可変bit数,--MID(H42,FIND("(",H42)+1,FIND(")",H42)-FIND("(",H42)-1),
    _xlfn.XLOOKUP(
        $H42,
        型とバイト数!$B$3:$B$54,
        型とバイト数!$E$3:$E$54,
        IF(LEFT($H42,7)="varchar",_xlpm.可変bit数*8,
            IF(LEFT($H42,4)="char",_xlpm.可変bit数*8,
                IF(LEFT($H42,3)="bit",_xlpm.可変bit数,"???")
            )
        )
    )
)</f>
        <v>64</v>
      </c>
      <c r="J42" s="11"/>
      <c r="K42" s="11"/>
      <c r="L42" s="9"/>
      <c r="M42" s="11" t="str">
        <f>_xlfn.SINGLE(IF(K42="","",IF(L42="","参照先未定義",_xlfn.XLOOKUP(L42,B:B,C:C,"エラー"))))</f>
        <v/>
      </c>
      <c r="N42" s="11" t="s">
        <v>51</v>
      </c>
      <c r="O42" s="11"/>
      <c r="P42" s="11" t="s">
        <v>112</v>
      </c>
      <c r="Q42" s="11"/>
      <c r="R42" s="9"/>
      <c r="S42" s="9"/>
      <c r="T42" s="9"/>
      <c r="U42" s="11"/>
    </row>
    <row r="43" spans="1:21" ht="18.75" customHeight="1">
      <c r="A43" s="9" t="s">
        <v>46</v>
      </c>
      <c r="B43" s="9" t="str">
        <f t="shared" ca="1" si="1"/>
        <v>activity_status.update_user</v>
      </c>
      <c r="C43" s="10">
        <f t="shared" si="0"/>
        <v>42</v>
      </c>
      <c r="D43" s="11" t="str" cm="1">
        <f t="array" aca="1" ref="D43" ca="1">INDIRECT(ADDRESS(ROW()-1,COLUMN()))</f>
        <v>activity_status</v>
      </c>
      <c r="E43" s="11" t="str" cm="1">
        <f t="array" aca="1" ref="E43" ca="1">INDIRECT(ADDRESS(ROW()-1,COLUMN()))</f>
        <v>活動状態</v>
      </c>
      <c r="F43" s="11" t="s">
        <v>119</v>
      </c>
      <c r="G43" s="11" t="s">
        <v>120</v>
      </c>
      <c r="H43" s="11" t="s">
        <v>71</v>
      </c>
      <c r="I43" s="11">
        <f>_xlfn.LET(
    _xlpm.可変bit数,--MID(H43,FIND("(",H43)+1,FIND(")",H43)-FIND("(",H43)-1),
    _xlfn.XLOOKUP(
        $H43,
        型とバイト数!$B$3:$B$54,
        型とバイト数!$E$3:$E$54,
        IF(LEFT($H43,7)="varchar",_xlpm.可変bit数*8,
            IF(LEFT($H43,4)="char",_xlpm.可変bit数*8,
                IF(LEFT($H43,3)="bit",_xlpm.可変bit数,"???")
            )
        )
    )
)</f>
        <v>256</v>
      </c>
      <c r="J43" s="11"/>
      <c r="K43" s="11"/>
      <c r="L43" s="9"/>
      <c r="M43" s="11" t="str">
        <f>_xlfn.SINGLE(IF(K43="","",IF(L43="","参照先未定義",_xlfn.XLOOKUP(L43,B:B,C:C,"エラー"))))</f>
        <v/>
      </c>
      <c r="N43" s="11" t="s">
        <v>51</v>
      </c>
      <c r="O43" s="11"/>
      <c r="P43" s="11" t="s">
        <v>115</v>
      </c>
      <c r="Q43" s="11"/>
      <c r="R43" s="9"/>
      <c r="S43" s="9"/>
      <c r="T43" s="9"/>
      <c r="U43" s="11" t="s">
        <v>116</v>
      </c>
    </row>
    <row r="44" spans="1:21" ht="18.75" customHeight="1">
      <c r="A44" s="9" t="s">
        <v>46</v>
      </c>
      <c r="B44" s="9" t="str">
        <f t="shared" ca="1" si="1"/>
        <v>activity_status.soft_delete_flag</v>
      </c>
      <c r="C44" s="10">
        <f t="shared" si="0"/>
        <v>43</v>
      </c>
      <c r="D44" s="11" t="str" cm="1">
        <f t="array" aca="1" ref="D44" ca="1">INDIRECT(ADDRESS(ROW()-1,COLUMN()))</f>
        <v>activity_status</v>
      </c>
      <c r="E44" s="11" t="str" cm="1">
        <f t="array" aca="1" ref="E44" ca="1">INDIRECT(ADDRESS(ROW()-1,COLUMN()))</f>
        <v>活動状態</v>
      </c>
      <c r="F44" s="11" t="s">
        <v>121</v>
      </c>
      <c r="G44" s="11" t="s">
        <v>122</v>
      </c>
      <c r="H44" s="11" t="s">
        <v>517</v>
      </c>
      <c r="I44" s="11">
        <f>_xlfn.LET(
    _xlpm.可変bit数,--MID(H44,FIND("(",H44)+1,FIND(")",H44)-FIND("(",H44)-1),
    _xlfn.XLOOKUP(
        $H44,
        型とバイト数!$B$3:$B$54,
        型とバイト数!$E$3:$E$54,
        IF(LEFT($H44,7)="varchar",_xlpm.可変bit数*8,
            IF(LEFT($H44,4)="char",_xlpm.可変bit数*8,
                IF(LEFT($H44,3)="bit",_xlpm.可変bit数,"???")
            )
        )
    )
)</f>
        <v>8</v>
      </c>
      <c r="J44" s="11"/>
      <c r="K44" s="11"/>
      <c r="L44" s="9"/>
      <c r="M44" s="11" t="str">
        <f>_xlfn.SINGLE(IF(K44="","",IF(L44="","参照先未定義",_xlfn.XLOOKUP(L44,B:B,C:C,"エラー"))))</f>
        <v/>
      </c>
      <c r="N44" s="11" t="s">
        <v>51</v>
      </c>
      <c r="O44" s="11"/>
      <c r="P44" s="11">
        <v>0</v>
      </c>
      <c r="Q44" s="11"/>
      <c r="R44" s="9"/>
      <c r="S44" s="9"/>
      <c r="T44" s="9"/>
      <c r="U44" s="11"/>
    </row>
    <row r="45" spans="1:21" ht="18.75" customHeight="1">
      <c r="A45" s="9" t="s">
        <v>46</v>
      </c>
      <c r="B45" s="9" t="str">
        <f t="shared" si="1"/>
        <v>sns_link.sns_link_uuid</v>
      </c>
      <c r="C45" s="10">
        <f t="shared" si="0"/>
        <v>44</v>
      </c>
      <c r="D45" s="11" t="s">
        <v>144</v>
      </c>
      <c r="E45" s="11" t="s">
        <v>81</v>
      </c>
      <c r="F45" s="11" t="str">
        <f>D45&amp;"_uuid"</f>
        <v>sns_link_uuid</v>
      </c>
      <c r="G45" s="11" t="s">
        <v>50</v>
      </c>
      <c r="H45" s="11" t="s">
        <v>49</v>
      </c>
      <c r="I45" s="11">
        <f>_xlfn.LET(
    _xlpm.可変bit数,--MID(H45,FIND("(",H45)+1,FIND(")",H45)-FIND("(",H45)-1),
    _xlfn.XLOOKUP(
        $H45,
        型とバイト数!$B$3:$B$54,
        型とバイト数!$E$3:$E$54,
        IF(LEFT($H45,7)="varchar",_xlpm.可変bit数*8,
            IF(LEFT($H45,4)="char",_xlpm.可変bit数*8,
                IF(LEFT($H45,3)="bit",_xlpm.可変bit数,"???")
            )
        )
    )
)</f>
        <v>128</v>
      </c>
      <c r="J45" s="11" t="s">
        <v>488</v>
      </c>
      <c r="K45" s="11"/>
      <c r="L45" s="9"/>
      <c r="M45" s="11" t="str">
        <f>_xlfn.SINGLE(IF(K45="","",IF(L45="","参照先未定義",_xlfn.XLOOKUP(L45,B:B,C:C,"エラー"))))</f>
        <v/>
      </c>
      <c r="N45" s="11" t="s">
        <v>499</v>
      </c>
      <c r="O45" s="11" t="s">
        <v>499</v>
      </c>
      <c r="P45" s="11" t="s">
        <v>52</v>
      </c>
      <c r="Q45" s="11"/>
      <c r="R45" s="9"/>
      <c r="S45" s="9"/>
      <c r="T45" s="9"/>
      <c r="U45" s="11"/>
    </row>
    <row r="46" spans="1:21" ht="18.75" customHeight="1">
      <c r="A46" s="9" t="s">
        <v>46</v>
      </c>
      <c r="B46" s="9" t="str">
        <f t="shared" ca="1" si="1"/>
        <v>sns_link.vtuber_profiles_id</v>
      </c>
      <c r="C46" s="10">
        <f t="shared" si="0"/>
        <v>45</v>
      </c>
      <c r="D46" s="11" t="str" cm="1">
        <f t="array" aca="1" ref="D46" ca="1">INDIRECT(ADDRESS(ROW()-1,COLUMN()))</f>
        <v>sns_link</v>
      </c>
      <c r="E46" s="11" t="str" cm="1">
        <f t="array" aca="1" ref="E46" ca="1">INDIRECT(ADDRESS(ROW()-1,COLUMN()))</f>
        <v>SNSリンク</v>
      </c>
      <c r="F46" s="11" t="s">
        <v>53</v>
      </c>
      <c r="G46" s="11" t="s">
        <v>54</v>
      </c>
      <c r="H46" s="11" t="s">
        <v>49</v>
      </c>
      <c r="I46" s="11">
        <f>_xlfn.LET(
    _xlpm.可変bit数,--MID(H46,FIND("(",H46)+1,FIND(")",H46)-FIND("(",H46)-1),
    _xlfn.XLOOKUP(
        $H46,
        型とバイト数!$B$3:$B$54,
        型とバイト数!$E$3:$E$54,
        IF(LEFT($H46,7)="varchar",_xlpm.可変bit数*8,
            IF(LEFT($H46,4)="char",_xlpm.可変bit数*8,
                IF(LEFT($H46,3)="bit",_xlpm.可変bit数,"???")
            )
        )
    )
)</f>
        <v>128</v>
      </c>
      <c r="J46" s="11"/>
      <c r="K46" s="11" t="s">
        <v>51</v>
      </c>
      <c r="L46" s="9" t="s">
        <v>522</v>
      </c>
      <c r="M46" s="11">
        <f>_xlfn.SINGLE(IF(K46="","",IF(L46="","参照先未定義",_xlfn.XLOOKUP(L46,B:B,C:C,"エラー"))))</f>
        <v>1</v>
      </c>
      <c r="N46" s="11" t="s">
        <v>51</v>
      </c>
      <c r="O46" s="11"/>
      <c r="P46" s="11"/>
      <c r="Q46" s="11"/>
      <c r="R46" s="9"/>
      <c r="S46" s="9"/>
      <c r="T46" s="9"/>
      <c r="U46" s="11"/>
    </row>
    <row r="47" spans="1:21" ht="18.75" customHeight="1">
      <c r="A47" s="9" t="s">
        <v>46</v>
      </c>
      <c r="B47" s="9" t="str">
        <f t="shared" ca="1" si="1"/>
        <v>sns_link.sns_icon</v>
      </c>
      <c r="C47" s="10">
        <f t="shared" si="0"/>
        <v>46</v>
      </c>
      <c r="D47" s="11" t="str" cm="1">
        <f t="array" aca="1" ref="D47" ca="1">INDIRECT(ADDRESS(ROW()-1,COLUMN()))</f>
        <v>sns_link</v>
      </c>
      <c r="E47" s="11" t="str" cm="1">
        <f t="array" aca="1" ref="E47" ca="1">INDIRECT(ADDRESS(ROW()-1,COLUMN()))</f>
        <v>SNSリンク</v>
      </c>
      <c r="F47" s="11" t="s">
        <v>145</v>
      </c>
      <c r="G47" s="11" t="s">
        <v>146</v>
      </c>
      <c r="H47" s="11" t="s">
        <v>49</v>
      </c>
      <c r="I47" s="11">
        <f>_xlfn.LET(
    _xlpm.可変bit数,--MID(H47,FIND("(",H47)+1,FIND(")",H47)-FIND("(",H47)-1),
    _xlfn.XLOOKUP(
        $H47,
        型とバイト数!$B$3:$B$54,
        型とバイト数!$E$3:$E$54,
        IF(LEFT($H47,7)="varchar",_xlpm.可変bit数*8,
            IF(LEFT($H47,4)="char",_xlpm.可変bit数*8,
                IF(LEFT($H47,3)="bit",_xlpm.可変bit数,"???")
            )
        )
    )
)</f>
        <v>128</v>
      </c>
      <c r="J47" s="11"/>
      <c r="K47" s="11" t="s">
        <v>51</v>
      </c>
      <c r="L47" s="9" t="s">
        <v>523</v>
      </c>
      <c r="M47" s="11">
        <f ca="1">_xlfn.SINGLE(IF(K47="","",IF(L47="","参照先未定義",_xlfn.XLOOKUP(L47,B:B,C:C,"エラー"))))</f>
        <v>123</v>
      </c>
      <c r="N47" s="11"/>
      <c r="O47" s="11"/>
      <c r="P47" s="11"/>
      <c r="Q47" s="11"/>
      <c r="R47" s="9"/>
      <c r="S47" s="9"/>
      <c r="T47" s="9"/>
      <c r="U47" s="11" t="s">
        <v>148</v>
      </c>
    </row>
    <row r="48" spans="1:21" ht="18.75" customHeight="1">
      <c r="A48" s="9" t="s">
        <v>46</v>
      </c>
      <c r="B48" s="9" t="str">
        <f t="shared" ca="1" si="1"/>
        <v>sns_link.sns_link_label</v>
      </c>
      <c r="C48" s="10">
        <f t="shared" si="0"/>
        <v>47</v>
      </c>
      <c r="D48" s="11" t="str" cm="1">
        <f t="array" aca="1" ref="D48" ca="1">INDIRECT(ADDRESS(ROW()-1,COLUMN()))</f>
        <v>sns_link</v>
      </c>
      <c r="E48" s="11" t="str" cm="1">
        <f t="array" aca="1" ref="E48" ca="1">INDIRECT(ADDRESS(ROW()-1,COLUMN()))</f>
        <v>SNSリンク</v>
      </c>
      <c r="F48" s="11" t="s">
        <v>149</v>
      </c>
      <c r="G48" s="11" t="s">
        <v>150</v>
      </c>
      <c r="H48" s="11" t="s">
        <v>71</v>
      </c>
      <c r="I48" s="11">
        <f>_xlfn.LET(
    _xlpm.可変bit数,--MID(H48,FIND("(",H48)+1,FIND(")",H48)-FIND("(",H48)-1),
    _xlfn.XLOOKUP(
        $H48,
        型とバイト数!$B$3:$B$54,
        型とバイト数!$E$3:$E$54,
        IF(LEFT($H48,7)="varchar",_xlpm.可変bit数*8,
            IF(LEFT($H48,4)="char",_xlpm.可変bit数*8,
                IF(LEFT($H48,3)="bit",_xlpm.可変bit数,"???")
            )
        )
    )
)</f>
        <v>256</v>
      </c>
      <c r="J48" s="11"/>
      <c r="K48" s="11"/>
      <c r="L48" s="9"/>
      <c r="M48" s="11" t="str">
        <f>_xlfn.SINGLE(IF(K48="","",IF(L48="","参照先未定義",_xlfn.XLOOKUP(L48,B:B,C:C,"エラー"))))</f>
        <v/>
      </c>
      <c r="N48" s="11"/>
      <c r="O48" s="11"/>
      <c r="P48" s="11" t="s">
        <v>151</v>
      </c>
      <c r="Q48" s="11"/>
      <c r="R48" s="9"/>
      <c r="S48" s="9"/>
      <c r="T48" s="9"/>
      <c r="U48" s="11"/>
    </row>
    <row r="49" spans="1:21" ht="18.75" customHeight="1">
      <c r="A49" s="9" t="s">
        <v>46</v>
      </c>
      <c r="B49" s="9" t="str">
        <f t="shared" ca="1" si="1"/>
        <v>sns_link.sns_url</v>
      </c>
      <c r="C49" s="10">
        <f t="shared" si="0"/>
        <v>48</v>
      </c>
      <c r="D49" s="11" t="str" cm="1">
        <f t="array" aca="1" ref="D49" ca="1">INDIRECT(ADDRESS(ROW()-1,COLUMN()))</f>
        <v>sns_link</v>
      </c>
      <c r="E49" s="11" t="str" cm="1">
        <f t="array" aca="1" ref="E49" ca="1">INDIRECT(ADDRESS(ROW()-1,COLUMN()))</f>
        <v>SNSリンク</v>
      </c>
      <c r="F49" s="11" t="s">
        <v>152</v>
      </c>
      <c r="G49" s="11" t="s">
        <v>84</v>
      </c>
      <c r="H49" s="11" t="s">
        <v>87</v>
      </c>
      <c r="I49" s="11" t="str">
        <f>_xlfn.LET(
    _xlpm.可変bit数,--MID(H49,FIND("(",H49)+1,FIND(")",H49)-FIND("(",H49)-1),
    _xlfn.XLOOKUP(
        $H49,
        型とバイト数!$B$3:$B$54,
        型とバイト数!$E$3:$E$54,
        IF(LEFT($H49,7)="varchar",_xlpm.可変bit数*8,
            IF(LEFT($H49,4)="char",_xlpm.可変bit数*8,
                IF(LEFT($H49,3)="bit",_xlpm.可変bit数,"???")
            )
        )
    )
)</f>
        <v>-</v>
      </c>
      <c r="J49" s="11"/>
      <c r="K49" s="11"/>
      <c r="L49" s="9"/>
      <c r="M49" s="11" t="str">
        <f>_xlfn.SINGLE(IF(K49="","",IF(L49="","参照先未定義",_xlfn.XLOOKUP(L49,B:B,C:C,"エラー"))))</f>
        <v/>
      </c>
      <c r="N49" s="11" t="s">
        <v>51</v>
      </c>
      <c r="O49" s="11"/>
      <c r="P49" s="11"/>
      <c r="Q49" s="11"/>
      <c r="R49" s="9"/>
      <c r="S49" s="9"/>
      <c r="T49" s="9"/>
      <c r="U49" s="11"/>
    </row>
    <row r="50" spans="1:21" ht="18.75" customHeight="1">
      <c r="A50" s="9" t="s">
        <v>46</v>
      </c>
      <c r="B50" s="9" t="str">
        <f t="shared" ca="1" si="1"/>
        <v>sns_link.create_datetime</v>
      </c>
      <c r="C50" s="10">
        <f t="shared" si="0"/>
        <v>49</v>
      </c>
      <c r="D50" s="11" t="str" cm="1">
        <f t="array" aca="1" ref="D50" ca="1">INDIRECT(ADDRESS(ROW()-1,COLUMN()))</f>
        <v>sns_link</v>
      </c>
      <c r="E50" s="11" t="str" cm="1">
        <f t="array" aca="1" ref="E50" ca="1">INDIRECT(ADDRESS(ROW()-1,COLUMN()))</f>
        <v>SNSリンク</v>
      </c>
      <c r="F50" s="11" t="s">
        <v>110</v>
      </c>
      <c r="G50" s="11" t="s">
        <v>111</v>
      </c>
      <c r="H50" s="11" t="s">
        <v>515</v>
      </c>
      <c r="I50" s="11">
        <f>_xlfn.LET(
    _xlpm.可変bit数,--MID(H50,FIND("(",H50)+1,FIND(")",H50)-FIND("(",H50)-1),
    _xlfn.XLOOKUP(
        $H50,
        型とバイト数!$B$3:$B$54,
        型とバイト数!$E$3:$E$54,
        IF(LEFT($H50,7)="varchar",_xlpm.可変bit数*8,
            IF(LEFT($H50,4)="char",_xlpm.可変bit数*8,
                IF(LEFT($H50,3)="bit",_xlpm.可変bit数,"???")
            )
        )
    )
)</f>
        <v>64</v>
      </c>
      <c r="J50" s="11"/>
      <c r="K50" s="11"/>
      <c r="L50" s="9"/>
      <c r="M50" s="11" t="str">
        <f>_xlfn.SINGLE(IF(K50="","",IF(L50="","参照先未定義",_xlfn.XLOOKUP(L50,B:B,C:C,"エラー"))))</f>
        <v/>
      </c>
      <c r="N50" s="11" t="s">
        <v>51</v>
      </c>
      <c r="O50" s="11"/>
      <c r="P50" s="11" t="s">
        <v>112</v>
      </c>
      <c r="Q50" s="11"/>
      <c r="R50" s="9"/>
      <c r="S50" s="9"/>
      <c r="T50" s="9"/>
      <c r="U50" s="11"/>
    </row>
    <row r="51" spans="1:21" ht="18.75" customHeight="1">
      <c r="A51" s="9" t="s">
        <v>46</v>
      </c>
      <c r="B51" s="9" t="str">
        <f t="shared" ca="1" si="1"/>
        <v>sns_link.create_user</v>
      </c>
      <c r="C51" s="10">
        <f t="shared" si="0"/>
        <v>50</v>
      </c>
      <c r="D51" s="11" t="str" cm="1">
        <f t="array" aca="1" ref="D51" ca="1">INDIRECT(ADDRESS(ROW()-1,COLUMN()))</f>
        <v>sns_link</v>
      </c>
      <c r="E51" s="11" t="str" cm="1">
        <f t="array" aca="1" ref="E51" ca="1">INDIRECT(ADDRESS(ROW()-1,COLUMN()))</f>
        <v>SNSリンク</v>
      </c>
      <c r="F51" s="11" t="s">
        <v>113</v>
      </c>
      <c r="G51" s="11" t="s">
        <v>114</v>
      </c>
      <c r="H51" s="11" t="s">
        <v>71</v>
      </c>
      <c r="I51" s="11">
        <f>_xlfn.LET(
    _xlpm.可変bit数,--MID(H51,FIND("(",H51)+1,FIND(")",H51)-FIND("(",H51)-1),
    _xlfn.XLOOKUP(
        $H51,
        型とバイト数!$B$3:$B$54,
        型とバイト数!$E$3:$E$54,
        IF(LEFT($H51,7)="varchar",_xlpm.可変bit数*8,
            IF(LEFT($H51,4)="char",_xlpm.可変bit数*8,
                IF(LEFT($H51,3)="bit",_xlpm.可変bit数,"???")
            )
        )
    )
)</f>
        <v>256</v>
      </c>
      <c r="J51" s="11"/>
      <c r="K51" s="11"/>
      <c r="L51" s="9"/>
      <c r="M51" s="11" t="str">
        <f>_xlfn.SINGLE(IF(K51="","",IF(L51="","参照先未定義",_xlfn.XLOOKUP(L51,B:B,C:C,"エラー"))))</f>
        <v/>
      </c>
      <c r="N51" s="11" t="s">
        <v>51</v>
      </c>
      <c r="O51" s="11"/>
      <c r="P51" s="11" t="s">
        <v>115</v>
      </c>
      <c r="Q51" s="11"/>
      <c r="R51" s="9"/>
      <c r="S51" s="9"/>
      <c r="T51" s="9"/>
      <c r="U51" s="11" t="s">
        <v>116</v>
      </c>
    </row>
    <row r="52" spans="1:21" ht="18.75" customHeight="1">
      <c r="A52" s="9" t="s">
        <v>46</v>
      </c>
      <c r="B52" s="9" t="str">
        <f t="shared" ca="1" si="1"/>
        <v>sns_link.update_datetime</v>
      </c>
      <c r="C52" s="10">
        <f t="shared" si="0"/>
        <v>51</v>
      </c>
      <c r="D52" s="11" t="str" cm="1">
        <f t="array" aca="1" ref="D52" ca="1">INDIRECT(ADDRESS(ROW()-1,COLUMN()))</f>
        <v>sns_link</v>
      </c>
      <c r="E52" s="11" t="str" cm="1">
        <f t="array" aca="1" ref="E52" ca="1">INDIRECT(ADDRESS(ROW()-1,COLUMN()))</f>
        <v>SNSリンク</v>
      </c>
      <c r="F52" s="11" t="s">
        <v>117</v>
      </c>
      <c r="G52" s="11" t="s">
        <v>118</v>
      </c>
      <c r="H52" s="11" t="s">
        <v>515</v>
      </c>
      <c r="I52" s="11">
        <f>_xlfn.LET(
    _xlpm.可変bit数,--MID(H52,FIND("(",H52)+1,FIND(")",H52)-FIND("(",H52)-1),
    _xlfn.XLOOKUP(
        $H52,
        型とバイト数!$B$3:$B$54,
        型とバイト数!$E$3:$E$54,
        IF(LEFT($H52,7)="varchar",_xlpm.可変bit数*8,
            IF(LEFT($H52,4)="char",_xlpm.可変bit数*8,
                IF(LEFT($H52,3)="bit",_xlpm.可変bit数,"???")
            )
        )
    )
)</f>
        <v>64</v>
      </c>
      <c r="J52" s="11"/>
      <c r="K52" s="11"/>
      <c r="L52" s="9"/>
      <c r="M52" s="11" t="str">
        <f>_xlfn.SINGLE(IF(K52="","",IF(L52="","参照先未定義",_xlfn.XLOOKUP(L52,B:B,C:C,"エラー"))))</f>
        <v/>
      </c>
      <c r="N52" s="11" t="s">
        <v>51</v>
      </c>
      <c r="O52" s="11"/>
      <c r="P52" s="11" t="s">
        <v>112</v>
      </c>
      <c r="Q52" s="11"/>
      <c r="R52" s="9"/>
      <c r="S52" s="9"/>
      <c r="T52" s="9"/>
      <c r="U52" s="11"/>
    </row>
    <row r="53" spans="1:21" ht="18.75" customHeight="1">
      <c r="A53" s="9" t="s">
        <v>46</v>
      </c>
      <c r="B53" s="9" t="str">
        <f t="shared" ca="1" si="1"/>
        <v>sns_link.update_user</v>
      </c>
      <c r="C53" s="10">
        <f t="shared" si="0"/>
        <v>52</v>
      </c>
      <c r="D53" s="11" t="str" cm="1">
        <f t="array" aca="1" ref="D53" ca="1">INDIRECT(ADDRESS(ROW()-1,COLUMN()))</f>
        <v>sns_link</v>
      </c>
      <c r="E53" s="11" t="str" cm="1">
        <f t="array" aca="1" ref="E53" ca="1">INDIRECT(ADDRESS(ROW()-1,COLUMN()))</f>
        <v>SNSリンク</v>
      </c>
      <c r="F53" s="11" t="s">
        <v>119</v>
      </c>
      <c r="G53" s="11" t="s">
        <v>120</v>
      </c>
      <c r="H53" s="11" t="s">
        <v>71</v>
      </c>
      <c r="I53" s="11">
        <f>_xlfn.LET(
    _xlpm.可変bit数,--MID(H53,FIND("(",H53)+1,FIND(")",H53)-FIND("(",H53)-1),
    _xlfn.XLOOKUP(
        $H53,
        型とバイト数!$B$3:$B$54,
        型とバイト数!$E$3:$E$54,
        IF(LEFT($H53,7)="varchar",_xlpm.可変bit数*8,
            IF(LEFT($H53,4)="char",_xlpm.可変bit数*8,
                IF(LEFT($H53,3)="bit",_xlpm.可変bit数,"???")
            )
        )
    )
)</f>
        <v>256</v>
      </c>
      <c r="J53" s="11"/>
      <c r="K53" s="11"/>
      <c r="L53" s="9"/>
      <c r="M53" s="11" t="str">
        <f>_xlfn.SINGLE(IF(K53="","",IF(L53="","参照先未定義",_xlfn.XLOOKUP(L53,B:B,C:C,"エラー"))))</f>
        <v/>
      </c>
      <c r="N53" s="11" t="s">
        <v>51</v>
      </c>
      <c r="O53" s="11"/>
      <c r="P53" s="11" t="s">
        <v>115</v>
      </c>
      <c r="Q53" s="11"/>
      <c r="R53" s="9"/>
      <c r="S53" s="9"/>
      <c r="T53" s="9"/>
      <c r="U53" s="11" t="s">
        <v>116</v>
      </c>
    </row>
    <row r="54" spans="1:21" ht="18.75" customHeight="1">
      <c r="A54" s="9" t="s">
        <v>46</v>
      </c>
      <c r="B54" s="9" t="str">
        <f t="shared" ca="1" si="1"/>
        <v>sns_link.soft_delete_flag</v>
      </c>
      <c r="C54" s="10">
        <f t="shared" si="0"/>
        <v>53</v>
      </c>
      <c r="D54" s="11" t="str" cm="1">
        <f t="array" aca="1" ref="D54" ca="1">INDIRECT(ADDRESS(ROW()-1,COLUMN()))</f>
        <v>sns_link</v>
      </c>
      <c r="E54" s="11" t="str" cm="1">
        <f t="array" aca="1" ref="E54" ca="1">INDIRECT(ADDRESS(ROW()-1,COLUMN()))</f>
        <v>SNSリンク</v>
      </c>
      <c r="F54" s="11" t="s">
        <v>121</v>
      </c>
      <c r="G54" s="11" t="s">
        <v>122</v>
      </c>
      <c r="H54" s="11" t="s">
        <v>517</v>
      </c>
      <c r="I54" s="11">
        <f>_xlfn.LET(
    _xlpm.可変bit数,--MID(H54,FIND("(",H54)+1,FIND(")",H54)-FIND("(",H54)-1),
    _xlfn.XLOOKUP(
        $H54,
        型とバイト数!$B$3:$B$54,
        型とバイト数!$E$3:$E$54,
        IF(LEFT($H54,7)="varchar",_xlpm.可変bit数*8,
            IF(LEFT($H54,4)="char",_xlpm.可変bit数*8,
                IF(LEFT($H54,3)="bit",_xlpm.可変bit数,"???")
            )
        )
    )
)</f>
        <v>8</v>
      </c>
      <c r="J54" s="11"/>
      <c r="K54" s="11"/>
      <c r="L54" s="9"/>
      <c r="M54" s="11" t="str">
        <f>_xlfn.SINGLE(IF(K54="","",IF(L54="","参照先未定義",_xlfn.XLOOKUP(L54,B:B,C:C,"エラー"))))</f>
        <v/>
      </c>
      <c r="N54" s="11" t="s">
        <v>51</v>
      </c>
      <c r="O54" s="11"/>
      <c r="P54" s="11">
        <v>0</v>
      </c>
      <c r="Q54" s="11"/>
      <c r="R54" s="9"/>
      <c r="S54" s="9"/>
      <c r="T54" s="9"/>
      <c r="U54" s="11"/>
    </row>
    <row r="55" spans="1:21" ht="18.75" customHeight="1">
      <c r="A55" s="9" t="s">
        <v>46</v>
      </c>
      <c r="B55" s="9" t="str">
        <f t="shared" si="1"/>
        <v>bbs_res.bbs_res_uuid</v>
      </c>
      <c r="C55" s="10">
        <f t="shared" si="0"/>
        <v>54</v>
      </c>
      <c r="D55" s="11" t="s">
        <v>153</v>
      </c>
      <c r="E55" s="11" t="s">
        <v>108</v>
      </c>
      <c r="F55" s="11" t="str">
        <f>D55&amp;"_uuid"</f>
        <v>bbs_res_uuid</v>
      </c>
      <c r="G55" s="11" t="s">
        <v>50</v>
      </c>
      <c r="H55" s="11" t="s">
        <v>49</v>
      </c>
      <c r="I55" s="11">
        <f>_xlfn.LET(
    _xlpm.可変bit数,--MID(H55,FIND("(",H55)+1,FIND(")",H55)-FIND("(",H55)-1),
    _xlfn.XLOOKUP(
        $H55,
        型とバイト数!$B$3:$B$54,
        型とバイト数!$E$3:$E$54,
        IF(LEFT($H55,7)="varchar",_xlpm.可変bit数*8,
            IF(LEFT($H55,4)="char",_xlpm.可変bit数*8,
                IF(LEFT($H55,3)="bit",_xlpm.可変bit数,"???")
            )
        )
    )
)</f>
        <v>128</v>
      </c>
      <c r="J55" s="11" t="s">
        <v>488</v>
      </c>
      <c r="K55" s="11"/>
      <c r="L55" s="9"/>
      <c r="M55" s="11" t="str">
        <f>_xlfn.SINGLE(IF(K55="","",IF(L55="","参照先未定義",_xlfn.XLOOKUP(L55,B:B,C:C,"エラー"))))</f>
        <v/>
      </c>
      <c r="N55" s="11" t="s">
        <v>499</v>
      </c>
      <c r="O55" s="11" t="s">
        <v>499</v>
      </c>
      <c r="P55" s="11" t="s">
        <v>52</v>
      </c>
      <c r="Q55" s="11"/>
      <c r="R55" s="9"/>
      <c r="S55" s="9"/>
      <c r="T55" s="9"/>
      <c r="U55" s="11"/>
    </row>
    <row r="56" spans="1:21" ht="18.75" customHeight="1">
      <c r="A56" s="9" t="s">
        <v>46</v>
      </c>
      <c r="B56" s="9" t="str">
        <f t="shared" ca="1" si="1"/>
        <v>bbs_res.vtuber_profiles_id</v>
      </c>
      <c r="C56" s="10">
        <f t="shared" si="0"/>
        <v>55</v>
      </c>
      <c r="D56" s="11" t="str" cm="1">
        <f t="array" aca="1" ref="D56" ca="1">INDIRECT(ADDRESS(ROW()-1,COLUMN()))</f>
        <v>bbs_res</v>
      </c>
      <c r="E56" s="11" t="str" cm="1">
        <f t="array" aca="1" ref="E56" ca="1">INDIRECT(ADDRESS(ROW()-1,COLUMN()))</f>
        <v>BBS</v>
      </c>
      <c r="F56" s="11" t="s">
        <v>53</v>
      </c>
      <c r="G56" s="11" t="s">
        <v>54</v>
      </c>
      <c r="H56" s="11" t="s">
        <v>49</v>
      </c>
      <c r="I56" s="11">
        <f>_xlfn.LET(
    _xlpm.可変bit数,--MID(H56,FIND("(",H56)+1,FIND(")",H56)-FIND("(",H56)-1),
    _xlfn.XLOOKUP(
        $H56,
        型とバイト数!$B$3:$B$54,
        型とバイト数!$E$3:$E$54,
        IF(LEFT($H56,7)="varchar",_xlpm.可変bit数*8,
            IF(LEFT($H56,4)="char",_xlpm.可変bit数*8,
                IF(LEFT($H56,3)="bit",_xlpm.可変bit数,"???")
            )
        )
    )
)</f>
        <v>128</v>
      </c>
      <c r="J56" s="11"/>
      <c r="K56" s="11" t="s">
        <v>51</v>
      </c>
      <c r="L56" s="9" t="s">
        <v>522</v>
      </c>
      <c r="M56" s="11">
        <f>_xlfn.SINGLE(IF(K56="","",IF(L56="","参照先未定義",_xlfn.XLOOKUP(L56,B:B,C:C,"エラー"))))</f>
        <v>1</v>
      </c>
      <c r="N56" s="11" t="s">
        <v>51</v>
      </c>
      <c r="O56" s="11"/>
      <c r="P56" s="11"/>
      <c r="Q56" s="11"/>
      <c r="R56" s="9"/>
      <c r="S56" s="9"/>
      <c r="T56" s="9"/>
      <c r="U56" s="11"/>
    </row>
    <row r="57" spans="1:21" ht="18.75" customHeight="1">
      <c r="A57" s="9" t="s">
        <v>46</v>
      </c>
      <c r="B57" s="9" t="str">
        <f t="shared" ca="1" si="1"/>
        <v>bbs_res.user_id</v>
      </c>
      <c r="C57" s="10">
        <f t="shared" si="0"/>
        <v>56</v>
      </c>
      <c r="D57" s="11" t="str" cm="1">
        <f t="array" aca="1" ref="D57" ca="1">INDIRECT(ADDRESS(ROW()-1,COLUMN()))</f>
        <v>bbs_res</v>
      </c>
      <c r="E57" s="11" t="str" cm="1">
        <f t="array" aca="1" ref="E57" ca="1">INDIRECT(ADDRESS(ROW()-1,COLUMN()))</f>
        <v>BBS</v>
      </c>
      <c r="F57" s="11" t="s">
        <v>58</v>
      </c>
      <c r="G57" s="11" t="s">
        <v>59</v>
      </c>
      <c r="H57" s="11" t="s">
        <v>49</v>
      </c>
      <c r="I57" s="11">
        <f>_xlfn.LET(
    _xlpm.可変bit数,--MID(H57,FIND("(",H57)+1,FIND(")",H57)-FIND("(",H57)-1),
    _xlfn.XLOOKUP(
        $H57,
        型とバイト数!$B$3:$B$54,
        型とバイト数!$E$3:$E$54,
        IF(LEFT($H57,7)="varchar",_xlpm.可変bit数*8,
            IF(LEFT($H57,4)="char",_xlpm.可変bit数*8,
                IF(LEFT($H57,3)="bit",_xlpm.可変bit数,"???")
            )
        )
    )
)</f>
        <v>128</v>
      </c>
      <c r="J57" s="11"/>
      <c r="K57" s="11" t="s">
        <v>51</v>
      </c>
      <c r="L57" s="9" t="s">
        <v>519</v>
      </c>
      <c r="M57" s="11">
        <f ca="1">_xlfn.SINGLE(IF(K57="","",IF(L57="","参照先未定義",_xlfn.XLOOKUP(L57,B:B,C:C,"エラー"))))</f>
        <v>153</v>
      </c>
      <c r="N57" s="11" t="s">
        <v>51</v>
      </c>
      <c r="O57" s="11"/>
      <c r="P57" s="11"/>
      <c r="Q57" s="11"/>
      <c r="R57" s="9"/>
      <c r="S57" s="9"/>
      <c r="T57" s="9"/>
      <c r="U57" s="11"/>
    </row>
    <row r="58" spans="1:21" ht="18.75" customHeight="1">
      <c r="A58" s="9" t="s">
        <v>46</v>
      </c>
      <c r="B58" s="9" t="str">
        <f t="shared" ca="1" si="1"/>
        <v>bbs_res.res_text</v>
      </c>
      <c r="C58" s="10">
        <f t="shared" si="0"/>
        <v>57</v>
      </c>
      <c r="D58" s="11" t="str" cm="1">
        <f t="array" aca="1" ref="D58" ca="1">INDIRECT(ADDRESS(ROW()-1,COLUMN()))</f>
        <v>bbs_res</v>
      </c>
      <c r="E58" s="11" t="str" cm="1">
        <f t="array" aca="1" ref="E58" ca="1">INDIRECT(ADDRESS(ROW()-1,COLUMN()))</f>
        <v>BBS</v>
      </c>
      <c r="F58" s="11" t="s">
        <v>156</v>
      </c>
      <c r="G58" s="11" t="s">
        <v>157</v>
      </c>
      <c r="H58" s="11" t="s">
        <v>87</v>
      </c>
      <c r="I58" s="11" t="str">
        <f>_xlfn.LET(
    _xlpm.可変bit数,--MID(H58,FIND("(",H58)+1,FIND(")",H58)-FIND("(",H58)-1),
    _xlfn.XLOOKUP(
        $H58,
        型とバイト数!$B$3:$B$54,
        型とバイト数!$E$3:$E$54,
        IF(LEFT($H58,7)="varchar",_xlpm.可変bit数*8,
            IF(LEFT($H58,4)="char",_xlpm.可変bit数*8,
                IF(LEFT($H58,3)="bit",_xlpm.可変bit数,"???")
            )
        )
    )
)</f>
        <v>-</v>
      </c>
      <c r="J58" s="11"/>
      <c r="K58" s="11"/>
      <c r="L58" s="9"/>
      <c r="M58" s="11" t="str">
        <f>_xlfn.SINGLE(IF(K58="","",IF(L58="","参照先未定義",_xlfn.XLOOKUP(L58,B:B,C:C,"エラー"))))</f>
        <v/>
      </c>
      <c r="N58" s="11" t="s">
        <v>51</v>
      </c>
      <c r="O58" s="11"/>
      <c r="P58" s="11"/>
      <c r="Q58" s="11"/>
      <c r="R58" s="9"/>
      <c r="S58" s="9"/>
      <c r="T58" s="9"/>
      <c r="U58" s="11"/>
    </row>
    <row r="59" spans="1:21" ht="18.75" customHeight="1">
      <c r="A59" s="9" t="s">
        <v>46</v>
      </c>
      <c r="B59" s="9" t="str">
        <f t="shared" ca="1" si="1"/>
        <v>bbs_res.res_datetime</v>
      </c>
      <c r="C59" s="10">
        <f t="shared" si="0"/>
        <v>58</v>
      </c>
      <c r="D59" s="11" t="str" cm="1">
        <f t="array" aca="1" ref="D59" ca="1">INDIRECT(ADDRESS(ROW()-1,COLUMN()))</f>
        <v>bbs_res</v>
      </c>
      <c r="E59" s="11" t="str" cm="1">
        <f t="array" aca="1" ref="E59" ca="1">INDIRECT(ADDRESS(ROW()-1,COLUMN()))</f>
        <v>BBS</v>
      </c>
      <c r="F59" s="11" t="s">
        <v>158</v>
      </c>
      <c r="G59" s="11" t="s">
        <v>159</v>
      </c>
      <c r="H59" s="11" t="s">
        <v>515</v>
      </c>
      <c r="I59" s="11">
        <f>_xlfn.LET(
    _xlpm.可変bit数,--MID(H59,FIND("(",H59)+1,FIND(")",H59)-FIND("(",H59)-1),
    _xlfn.XLOOKUP(
        $H59,
        型とバイト数!$B$3:$B$54,
        型とバイト数!$E$3:$E$54,
        IF(LEFT($H59,7)="varchar",_xlpm.可変bit数*8,
            IF(LEFT($H59,4)="char",_xlpm.可変bit数*8,
                IF(LEFT($H59,3)="bit",_xlpm.可変bit数,"???")
            )
        )
    )
)</f>
        <v>64</v>
      </c>
      <c r="J59" s="11"/>
      <c r="K59" s="11"/>
      <c r="L59" s="9"/>
      <c r="M59" s="11" t="str">
        <f>_xlfn.SINGLE(IF(K59="","",IF(L59="","参照先未定義",_xlfn.XLOOKUP(L59,B:B,C:C,"エラー"))))</f>
        <v/>
      </c>
      <c r="N59" s="11" t="s">
        <v>51</v>
      </c>
      <c r="O59" s="11"/>
      <c r="P59" s="11"/>
      <c r="Q59" s="11"/>
      <c r="R59" s="9"/>
      <c r="S59" s="9"/>
      <c r="T59" s="9"/>
      <c r="U59" s="11"/>
    </row>
    <row r="60" spans="1:21" ht="18.75" customHeight="1">
      <c r="A60" s="9" t="s">
        <v>46</v>
      </c>
      <c r="B60" s="9" t="str">
        <f t="shared" ca="1" si="1"/>
        <v>bbs_res.create_datetime</v>
      </c>
      <c r="C60" s="10">
        <f t="shared" si="0"/>
        <v>59</v>
      </c>
      <c r="D60" s="11" t="str" cm="1">
        <f t="array" aca="1" ref="D60" ca="1">INDIRECT(ADDRESS(ROW()-1,COLUMN()))</f>
        <v>bbs_res</v>
      </c>
      <c r="E60" s="11" t="str" cm="1">
        <f t="array" aca="1" ref="E60" ca="1">INDIRECT(ADDRESS(ROW()-1,COLUMN()))</f>
        <v>BBS</v>
      </c>
      <c r="F60" s="11" t="s">
        <v>110</v>
      </c>
      <c r="G60" s="11" t="s">
        <v>111</v>
      </c>
      <c r="H60" s="11" t="s">
        <v>515</v>
      </c>
      <c r="I60" s="11">
        <f>_xlfn.LET(
    _xlpm.可変bit数,--MID(H60,FIND("(",H60)+1,FIND(")",H60)-FIND("(",H60)-1),
    _xlfn.XLOOKUP(
        $H60,
        型とバイト数!$B$3:$B$54,
        型とバイト数!$E$3:$E$54,
        IF(LEFT($H60,7)="varchar",_xlpm.可変bit数*8,
            IF(LEFT($H60,4)="char",_xlpm.可変bit数*8,
                IF(LEFT($H60,3)="bit",_xlpm.可変bit数,"???")
            )
        )
    )
)</f>
        <v>64</v>
      </c>
      <c r="J60" s="11"/>
      <c r="K60" s="11"/>
      <c r="L60" s="9"/>
      <c r="M60" s="11" t="str">
        <f>_xlfn.SINGLE(IF(K60="","",IF(L60="","参照先未定義",_xlfn.XLOOKUP(L60,B:B,C:C,"エラー"))))</f>
        <v/>
      </c>
      <c r="N60" s="11" t="s">
        <v>51</v>
      </c>
      <c r="O60" s="11"/>
      <c r="P60" s="11" t="s">
        <v>112</v>
      </c>
      <c r="Q60" s="11"/>
      <c r="R60" s="9"/>
      <c r="S60" s="9"/>
      <c r="T60" s="9"/>
      <c r="U60" s="11"/>
    </row>
    <row r="61" spans="1:21" ht="18.75" customHeight="1">
      <c r="A61" s="9" t="s">
        <v>46</v>
      </c>
      <c r="B61" s="9" t="str">
        <f t="shared" ca="1" si="1"/>
        <v>bbs_res.create_user</v>
      </c>
      <c r="C61" s="10">
        <f t="shared" si="0"/>
        <v>60</v>
      </c>
      <c r="D61" s="11" t="str" cm="1">
        <f t="array" aca="1" ref="D61" ca="1">INDIRECT(ADDRESS(ROW()-1,COLUMN()))</f>
        <v>bbs_res</v>
      </c>
      <c r="E61" s="11" t="str" cm="1">
        <f t="array" aca="1" ref="E61" ca="1">INDIRECT(ADDRESS(ROW()-1,COLUMN()))</f>
        <v>BBS</v>
      </c>
      <c r="F61" s="11" t="s">
        <v>113</v>
      </c>
      <c r="G61" s="11" t="s">
        <v>114</v>
      </c>
      <c r="H61" s="11" t="s">
        <v>71</v>
      </c>
      <c r="I61" s="11">
        <f>_xlfn.LET(
    _xlpm.可変bit数,--MID(H61,FIND("(",H61)+1,FIND(")",H61)-FIND("(",H61)-1),
    _xlfn.XLOOKUP(
        $H61,
        型とバイト数!$B$3:$B$54,
        型とバイト数!$E$3:$E$54,
        IF(LEFT($H61,7)="varchar",_xlpm.可変bit数*8,
            IF(LEFT($H61,4)="char",_xlpm.可変bit数*8,
                IF(LEFT($H61,3)="bit",_xlpm.可変bit数,"???")
            )
        )
    )
)</f>
        <v>256</v>
      </c>
      <c r="J61" s="11"/>
      <c r="K61" s="11"/>
      <c r="L61" s="9"/>
      <c r="M61" s="11" t="str">
        <f>_xlfn.SINGLE(IF(K61="","",IF(L61="","参照先未定義",_xlfn.XLOOKUP(L61,B:B,C:C,"エラー"))))</f>
        <v/>
      </c>
      <c r="N61" s="11" t="s">
        <v>51</v>
      </c>
      <c r="O61" s="11"/>
      <c r="P61" s="11" t="s">
        <v>115</v>
      </c>
      <c r="Q61" s="11"/>
      <c r="R61" s="9"/>
      <c r="S61" s="9"/>
      <c r="T61" s="9"/>
      <c r="U61" s="11" t="s">
        <v>116</v>
      </c>
    </row>
    <row r="62" spans="1:21" ht="18.75" customHeight="1">
      <c r="A62" s="9" t="s">
        <v>46</v>
      </c>
      <c r="B62" s="9" t="str">
        <f t="shared" ca="1" si="1"/>
        <v>bbs_res.update_datetime</v>
      </c>
      <c r="C62" s="10">
        <f t="shared" si="0"/>
        <v>61</v>
      </c>
      <c r="D62" s="11" t="str" cm="1">
        <f t="array" aca="1" ref="D62" ca="1">INDIRECT(ADDRESS(ROW()-1,COLUMN()))</f>
        <v>bbs_res</v>
      </c>
      <c r="E62" s="11" t="str" cm="1">
        <f t="array" aca="1" ref="E62" ca="1">INDIRECT(ADDRESS(ROW()-1,COLUMN()))</f>
        <v>BBS</v>
      </c>
      <c r="F62" s="11" t="s">
        <v>117</v>
      </c>
      <c r="G62" s="11" t="s">
        <v>118</v>
      </c>
      <c r="H62" s="11" t="s">
        <v>515</v>
      </c>
      <c r="I62" s="11">
        <f>_xlfn.LET(
    _xlpm.可変bit数,--MID(H62,FIND("(",H62)+1,FIND(")",H62)-FIND("(",H62)-1),
    _xlfn.XLOOKUP(
        $H62,
        型とバイト数!$B$3:$B$54,
        型とバイト数!$E$3:$E$54,
        IF(LEFT($H62,7)="varchar",_xlpm.可変bit数*8,
            IF(LEFT($H62,4)="char",_xlpm.可変bit数*8,
                IF(LEFT($H62,3)="bit",_xlpm.可変bit数,"???")
            )
        )
    )
)</f>
        <v>64</v>
      </c>
      <c r="J62" s="11"/>
      <c r="K62" s="11"/>
      <c r="L62" s="9"/>
      <c r="M62" s="11" t="str">
        <f>_xlfn.SINGLE(IF(K62="","",IF(L62="","参照先未定義",_xlfn.XLOOKUP(L62,B:B,C:C,"エラー"))))</f>
        <v/>
      </c>
      <c r="N62" s="11" t="s">
        <v>51</v>
      </c>
      <c r="O62" s="11"/>
      <c r="P62" s="11" t="s">
        <v>112</v>
      </c>
      <c r="Q62" s="11"/>
      <c r="R62" s="9"/>
      <c r="S62" s="9"/>
      <c r="T62" s="9"/>
      <c r="U62" s="11"/>
    </row>
    <row r="63" spans="1:21" ht="18.75" customHeight="1">
      <c r="A63" s="9" t="s">
        <v>46</v>
      </c>
      <c r="B63" s="9" t="str">
        <f t="shared" ca="1" si="1"/>
        <v>bbs_res.update_user</v>
      </c>
      <c r="C63" s="10">
        <f t="shared" si="0"/>
        <v>62</v>
      </c>
      <c r="D63" s="11" t="str" cm="1">
        <f t="array" aca="1" ref="D63" ca="1">INDIRECT(ADDRESS(ROW()-1,COLUMN()))</f>
        <v>bbs_res</v>
      </c>
      <c r="E63" s="11" t="str" cm="1">
        <f t="array" aca="1" ref="E63" ca="1">INDIRECT(ADDRESS(ROW()-1,COLUMN()))</f>
        <v>BBS</v>
      </c>
      <c r="F63" s="11" t="s">
        <v>119</v>
      </c>
      <c r="G63" s="11" t="s">
        <v>120</v>
      </c>
      <c r="H63" s="11" t="s">
        <v>71</v>
      </c>
      <c r="I63" s="11">
        <f>_xlfn.LET(
    _xlpm.可変bit数,--MID(H63,FIND("(",H63)+1,FIND(")",H63)-FIND("(",H63)-1),
    _xlfn.XLOOKUP(
        $H63,
        型とバイト数!$B$3:$B$54,
        型とバイト数!$E$3:$E$54,
        IF(LEFT($H63,7)="varchar",_xlpm.可変bit数*8,
            IF(LEFT($H63,4)="char",_xlpm.可変bit数*8,
                IF(LEFT($H63,3)="bit",_xlpm.可変bit数,"???")
            )
        )
    )
)</f>
        <v>256</v>
      </c>
      <c r="J63" s="11"/>
      <c r="K63" s="11"/>
      <c r="L63" s="9"/>
      <c r="M63" s="11" t="str">
        <f>_xlfn.SINGLE(IF(K63="","",IF(L63="","参照先未定義",_xlfn.XLOOKUP(L63,B:B,C:C,"エラー"))))</f>
        <v/>
      </c>
      <c r="N63" s="11" t="s">
        <v>51</v>
      </c>
      <c r="O63" s="11"/>
      <c r="P63" s="11" t="s">
        <v>115</v>
      </c>
      <c r="Q63" s="11"/>
      <c r="R63" s="9"/>
      <c r="S63" s="9"/>
      <c r="T63" s="9"/>
      <c r="U63" s="11" t="s">
        <v>116</v>
      </c>
    </row>
    <row r="64" spans="1:21" ht="18.75" customHeight="1">
      <c r="A64" s="9" t="s">
        <v>46</v>
      </c>
      <c r="B64" s="9" t="str">
        <f t="shared" ca="1" si="1"/>
        <v>bbs_res.soft_delete_flag</v>
      </c>
      <c r="C64" s="10">
        <f t="shared" si="0"/>
        <v>63</v>
      </c>
      <c r="D64" s="11" t="str" cm="1">
        <f t="array" aca="1" ref="D64" ca="1">INDIRECT(ADDRESS(ROW()-1,COLUMN()))</f>
        <v>bbs_res</v>
      </c>
      <c r="E64" s="11" t="str" cm="1">
        <f t="array" aca="1" ref="E64" ca="1">INDIRECT(ADDRESS(ROW()-1,COLUMN()))</f>
        <v>BBS</v>
      </c>
      <c r="F64" s="11" t="s">
        <v>121</v>
      </c>
      <c r="G64" s="11" t="s">
        <v>122</v>
      </c>
      <c r="H64" s="11" t="s">
        <v>517</v>
      </c>
      <c r="I64" s="11">
        <f>_xlfn.LET(
    _xlpm.可変bit数,--MID(H64,FIND("(",H64)+1,FIND(")",H64)-FIND("(",H64)-1),
    _xlfn.XLOOKUP(
        $H64,
        型とバイト数!$B$3:$B$54,
        型とバイト数!$E$3:$E$54,
        IF(LEFT($H64,7)="varchar",_xlpm.可変bit数*8,
            IF(LEFT($H64,4)="char",_xlpm.可変bit数*8,
                IF(LEFT($H64,3)="bit",_xlpm.可変bit数,"???")
            )
        )
    )
)</f>
        <v>8</v>
      </c>
      <c r="J64" s="11"/>
      <c r="K64" s="11"/>
      <c r="L64" s="9"/>
      <c r="M64" s="11" t="str">
        <f>_xlfn.SINGLE(IF(K64="","",IF(L64="","参照先未定義",_xlfn.XLOOKUP(L64,B:B,C:C,"エラー"))))</f>
        <v/>
      </c>
      <c r="N64" s="11" t="s">
        <v>51</v>
      </c>
      <c r="O64" s="11"/>
      <c r="P64" s="11">
        <v>0</v>
      </c>
      <c r="Q64" s="11"/>
      <c r="R64" s="9"/>
      <c r="S64" s="9"/>
      <c r="T64" s="9"/>
      <c r="U64" s="11"/>
    </row>
    <row r="65" spans="1:21" ht="18.75" customHeight="1">
      <c r="A65" s="9" t="s">
        <v>46</v>
      </c>
      <c r="B65" s="9" t="str">
        <f t="shared" ref="B65:B128" si="2">D65&amp;"."&amp;F65</f>
        <v>page_author.page_author_uuid</v>
      </c>
      <c r="C65" s="10">
        <f t="shared" si="0"/>
        <v>64</v>
      </c>
      <c r="D65" s="11" t="s">
        <v>160</v>
      </c>
      <c r="E65" s="11" t="s">
        <v>103</v>
      </c>
      <c r="F65" s="11" t="str">
        <f>D65&amp;"_uuid"</f>
        <v>page_author_uuid</v>
      </c>
      <c r="G65" s="11" t="s">
        <v>50</v>
      </c>
      <c r="H65" s="11" t="s">
        <v>49</v>
      </c>
      <c r="I65" s="11">
        <f>_xlfn.LET(
    _xlpm.可変bit数,--MID(H65,FIND("(",H65)+1,FIND(")",H65)-FIND("(",H65)-1),
    _xlfn.XLOOKUP(
        $H65,
        型とバイト数!$B$3:$B$54,
        型とバイト数!$E$3:$E$54,
        IF(LEFT($H65,7)="varchar",_xlpm.可変bit数*8,
            IF(LEFT($H65,4)="char",_xlpm.可変bit数*8,
                IF(LEFT($H65,3)="bit",_xlpm.可変bit数,"???")
            )
        )
    )
)</f>
        <v>128</v>
      </c>
      <c r="J65" s="11" t="s">
        <v>488</v>
      </c>
      <c r="K65" s="11"/>
      <c r="L65" s="9"/>
      <c r="M65" s="11" t="str">
        <f>_xlfn.SINGLE(IF(K65="","",IF(L65="","参照先未定義",_xlfn.XLOOKUP(L65,B:B,C:C,"エラー"))))</f>
        <v/>
      </c>
      <c r="N65" s="11" t="s">
        <v>499</v>
      </c>
      <c r="O65" s="11" t="s">
        <v>499</v>
      </c>
      <c r="P65" s="11" t="s">
        <v>52</v>
      </c>
      <c r="Q65" s="11"/>
      <c r="R65" s="9"/>
      <c r="S65" s="9"/>
      <c r="T65" s="9"/>
      <c r="U65" s="11"/>
    </row>
    <row r="66" spans="1:21" ht="18.75" customHeight="1">
      <c r="A66" s="9" t="s">
        <v>46</v>
      </c>
      <c r="B66" s="9" t="str">
        <f t="shared" ca="1" si="2"/>
        <v>page_author.user_id</v>
      </c>
      <c r="C66" s="10">
        <f t="shared" si="0"/>
        <v>65</v>
      </c>
      <c r="D66" s="11" t="str" cm="1">
        <f t="array" aca="1" ref="D66" ca="1">INDIRECT(ADDRESS(ROW()-1,COLUMN()))</f>
        <v>page_author</v>
      </c>
      <c r="E66" s="11" t="str" cm="1">
        <f t="array" aca="1" ref="E66" ca="1">INDIRECT(ADDRESS(ROW()-1,COLUMN()))</f>
        <v>ページ編集者</v>
      </c>
      <c r="F66" s="11" t="s">
        <v>58</v>
      </c>
      <c r="G66" s="11" t="s">
        <v>59</v>
      </c>
      <c r="H66" s="11" t="s">
        <v>49</v>
      </c>
      <c r="I66" s="11">
        <f>_xlfn.LET(
    _xlpm.可変bit数,--MID(H66,FIND("(",H66)+1,FIND(")",H66)-FIND("(",H66)-1),
    _xlfn.XLOOKUP(
        $H66,
        型とバイト数!$B$3:$B$54,
        型とバイト数!$E$3:$E$54,
        IF(LEFT($H66,7)="varchar",_xlpm.可変bit数*8,
            IF(LEFT($H66,4)="char",_xlpm.可変bit数*8,
                IF(LEFT($H66,3)="bit",_xlpm.可変bit数,"???")
            )
        )
    )
)</f>
        <v>128</v>
      </c>
      <c r="J66" s="11"/>
      <c r="K66" s="11" t="s">
        <v>51</v>
      </c>
      <c r="L66" s="9" t="s">
        <v>519</v>
      </c>
      <c r="M66" s="11">
        <f ca="1">_xlfn.SINGLE(IF(K66="","",IF(L66="","参照先未定義",_xlfn.XLOOKUP(L66,B:B,C:C,"エラー"))))</f>
        <v>153</v>
      </c>
      <c r="N66" s="11" t="s">
        <v>51</v>
      </c>
      <c r="O66" s="11"/>
      <c r="P66" s="11"/>
      <c r="Q66" s="11"/>
      <c r="R66" s="9"/>
      <c r="S66" s="9"/>
      <c r="T66" s="9"/>
      <c r="U66" s="11"/>
    </row>
    <row r="67" spans="1:21" ht="18.75" customHeight="1">
      <c r="A67" s="9" t="s">
        <v>46</v>
      </c>
      <c r="B67" s="9" t="str">
        <f t="shared" ca="1" si="2"/>
        <v>page_author.vtuber_profiles_id</v>
      </c>
      <c r="C67" s="10">
        <f t="shared" si="0"/>
        <v>66</v>
      </c>
      <c r="D67" s="11" t="str" cm="1">
        <f t="array" aca="1" ref="D67" ca="1">INDIRECT(ADDRESS(ROW()-1,COLUMN()))</f>
        <v>page_author</v>
      </c>
      <c r="E67" s="11" t="str" cm="1">
        <f t="array" aca="1" ref="E67" ca="1">INDIRECT(ADDRESS(ROW()-1,COLUMN()))</f>
        <v>ページ編集者</v>
      </c>
      <c r="F67" s="11" t="s">
        <v>53</v>
      </c>
      <c r="G67" s="11" t="s">
        <v>59</v>
      </c>
      <c r="H67" s="11" t="s">
        <v>49</v>
      </c>
      <c r="I67" s="11">
        <f>_xlfn.LET(
    _xlpm.可変bit数,--MID(H67,FIND("(",H67)+1,FIND(")",H67)-FIND("(",H67)-1),
    _xlfn.XLOOKUP(
        $H67,
        型とバイト数!$B$3:$B$54,
        型とバイト数!$E$3:$E$54,
        IF(LEFT($H67,7)="varchar",_xlpm.可変bit数*8,
            IF(LEFT($H67,4)="char",_xlpm.可変bit数*8,
                IF(LEFT($H67,3)="bit",_xlpm.可変bit数,"???")
            )
        )
    )
)</f>
        <v>128</v>
      </c>
      <c r="J67" s="11"/>
      <c r="K67" s="11" t="s">
        <v>51</v>
      </c>
      <c r="L67" s="9" t="s">
        <v>522</v>
      </c>
      <c r="M67" s="11">
        <f>_xlfn.SINGLE(IF(K67="","",IF(L67="","参照先未定義",_xlfn.XLOOKUP(L67,B:B,C:C,"エラー"))))</f>
        <v>1</v>
      </c>
      <c r="N67" s="11" t="s">
        <v>51</v>
      </c>
      <c r="O67" s="11"/>
      <c r="P67" s="11"/>
      <c r="Q67" s="11"/>
      <c r="R67" s="9"/>
      <c r="S67" s="9"/>
      <c r="T67" s="9"/>
      <c r="U67" s="11"/>
    </row>
    <row r="68" spans="1:21" ht="18.75" customHeight="1">
      <c r="A68" s="9" t="s">
        <v>46</v>
      </c>
      <c r="B68" s="9" t="str">
        <f t="shared" ca="1" si="2"/>
        <v>page_author.fix_item</v>
      </c>
      <c r="C68" s="10">
        <f t="shared" si="0"/>
        <v>67</v>
      </c>
      <c r="D68" s="11" t="str" cm="1">
        <f t="array" aca="1" ref="D68" ca="1">INDIRECT(ADDRESS(ROW()-1,COLUMN()))</f>
        <v>page_author</v>
      </c>
      <c r="E68" s="11" t="str" cm="1">
        <f t="array" aca="1" ref="E68" ca="1">INDIRECT(ADDRESS(ROW()-1,COLUMN()))</f>
        <v>ページ編集者</v>
      </c>
      <c r="F68" s="11" t="s">
        <v>161</v>
      </c>
      <c r="G68" s="11" t="s">
        <v>162</v>
      </c>
      <c r="H68" s="11" t="s">
        <v>49</v>
      </c>
      <c r="I68" s="11">
        <f>_xlfn.LET(
    _xlpm.可変bit数,--MID(H68,FIND("(",H68)+1,FIND(")",H68)-FIND("(",H68)-1),
    _xlfn.XLOOKUP(
        $H68,
        型とバイト数!$B$3:$B$54,
        型とバイト数!$E$3:$E$54,
        IF(LEFT($H68,7)="varchar",_xlpm.可変bit数*8,
            IF(LEFT($H68,4)="char",_xlpm.可変bit数*8,
                IF(LEFT($H68,3)="bit",_xlpm.可変bit数,"???")
            )
        )
    )
)</f>
        <v>128</v>
      </c>
      <c r="J68" s="11"/>
      <c r="K68" s="11" t="s">
        <v>51</v>
      </c>
      <c r="L68" s="9" t="s">
        <v>524</v>
      </c>
      <c r="M68" s="11">
        <f ca="1">_xlfn.SINGLE(IF(K68="","",IF(L68="","参照先未定義",_xlfn.XLOOKUP(L68,B:B,C:C,"エラー"))))</f>
        <v>114</v>
      </c>
      <c r="N68" s="11" t="s">
        <v>51</v>
      </c>
      <c r="O68" s="11"/>
      <c r="P68" s="11"/>
      <c r="Q68" s="11"/>
      <c r="R68" s="9"/>
      <c r="S68" s="9"/>
      <c r="T68" s="9"/>
      <c r="U68" s="11"/>
    </row>
    <row r="69" spans="1:21" ht="18.75" customHeight="1">
      <c r="A69" s="9" t="s">
        <v>46</v>
      </c>
      <c r="B69" s="9" t="str">
        <f t="shared" ca="1" si="2"/>
        <v>page_author.fix_before</v>
      </c>
      <c r="C69" s="10">
        <f t="shared" si="0"/>
        <v>68</v>
      </c>
      <c r="D69" s="11" t="str" cm="1">
        <f t="array" aca="1" ref="D69" ca="1">INDIRECT(ADDRESS(ROW()-1,COLUMN()))</f>
        <v>page_author</v>
      </c>
      <c r="E69" s="11" t="str" cm="1">
        <f t="array" aca="1" ref="E69" ca="1">INDIRECT(ADDRESS(ROW()-1,COLUMN()))</f>
        <v>ページ編集者</v>
      </c>
      <c r="F69" s="11" t="s">
        <v>163</v>
      </c>
      <c r="G69" s="11" t="s">
        <v>164</v>
      </c>
      <c r="H69" s="11" t="s">
        <v>87</v>
      </c>
      <c r="I69" s="11" t="str">
        <f>_xlfn.LET(
    _xlpm.可変bit数,--MID(H69,FIND("(",H69)+1,FIND(")",H69)-FIND("(",H69)-1),
    _xlfn.XLOOKUP(
        $H69,
        型とバイト数!$B$3:$B$54,
        型とバイト数!$E$3:$E$54,
        IF(LEFT($H69,7)="varchar",_xlpm.可変bit数*8,
            IF(LEFT($H69,4)="char",_xlpm.可変bit数*8,
                IF(LEFT($H69,3)="bit",_xlpm.可変bit数,"???")
            )
        )
    )
)</f>
        <v>-</v>
      </c>
      <c r="J69" s="11"/>
      <c r="K69" s="11"/>
      <c r="L69" s="9"/>
      <c r="M69" s="11" t="str">
        <f>_xlfn.SINGLE(IF(K69="","",IF(L69="","参照先未定義",_xlfn.XLOOKUP(L69,B:B,C:C,"エラー"))))</f>
        <v/>
      </c>
      <c r="N69" s="11" t="s">
        <v>51</v>
      </c>
      <c r="O69" s="11"/>
      <c r="P69" s="11"/>
      <c r="Q69" s="11"/>
      <c r="R69" s="9"/>
      <c r="S69" s="9"/>
      <c r="T69" s="9"/>
      <c r="U69" s="11"/>
    </row>
    <row r="70" spans="1:21" ht="18.75" customHeight="1">
      <c r="A70" s="9" t="s">
        <v>46</v>
      </c>
      <c r="B70" s="9" t="str">
        <f t="shared" ca="1" si="2"/>
        <v>page_author.fix_after</v>
      </c>
      <c r="C70" s="10">
        <f t="shared" si="0"/>
        <v>69</v>
      </c>
      <c r="D70" s="11" t="str" cm="1">
        <f t="array" aca="1" ref="D70" ca="1">INDIRECT(ADDRESS(ROW()-1,COLUMN()))</f>
        <v>page_author</v>
      </c>
      <c r="E70" s="11" t="str" cm="1">
        <f t="array" aca="1" ref="E70" ca="1">INDIRECT(ADDRESS(ROW()-1,COLUMN()))</f>
        <v>ページ編集者</v>
      </c>
      <c r="F70" s="11" t="s">
        <v>165</v>
      </c>
      <c r="G70" s="11" t="s">
        <v>166</v>
      </c>
      <c r="H70" s="11" t="s">
        <v>87</v>
      </c>
      <c r="I70" s="11" t="str">
        <f>_xlfn.LET(
    _xlpm.可変bit数,--MID(H70,FIND("(",H70)+1,FIND(")",H70)-FIND("(",H70)-1),
    _xlfn.XLOOKUP(
        $H70,
        型とバイト数!$B$3:$B$54,
        型とバイト数!$E$3:$E$54,
        IF(LEFT($H70,7)="varchar",_xlpm.可変bit数*8,
            IF(LEFT($H70,4)="char",_xlpm.可変bit数*8,
                IF(LEFT($H70,3)="bit",_xlpm.可変bit数,"???")
            )
        )
    )
)</f>
        <v>-</v>
      </c>
      <c r="J70" s="11"/>
      <c r="K70" s="11"/>
      <c r="L70" s="9"/>
      <c r="M70" s="11" t="str">
        <f>_xlfn.SINGLE(IF(K70="","",IF(L70="","参照先未定義",_xlfn.XLOOKUP(L70,B:B,C:C,"エラー"))))</f>
        <v/>
      </c>
      <c r="N70" s="11" t="s">
        <v>51</v>
      </c>
      <c r="O70" s="11"/>
      <c r="P70" s="11"/>
      <c r="Q70" s="11"/>
      <c r="R70" s="9"/>
      <c r="S70" s="9"/>
      <c r="T70" s="9"/>
      <c r="U70" s="11"/>
    </row>
    <row r="71" spans="1:21" ht="18.75" customHeight="1">
      <c r="A71" s="9" t="s">
        <v>46</v>
      </c>
      <c r="B71" s="9" t="str">
        <f t="shared" ca="1" si="2"/>
        <v>page_author.fix_datetime</v>
      </c>
      <c r="C71" s="10">
        <f t="shared" si="0"/>
        <v>70</v>
      </c>
      <c r="D71" s="11" t="str" cm="1">
        <f t="array" aca="1" ref="D71" ca="1">INDIRECT(ADDRESS(ROW()-1,COLUMN()))</f>
        <v>page_author</v>
      </c>
      <c r="E71" s="11" t="str" cm="1">
        <f t="array" aca="1" ref="E71" ca="1">INDIRECT(ADDRESS(ROW()-1,COLUMN()))</f>
        <v>ページ編集者</v>
      </c>
      <c r="F71" s="11" t="s">
        <v>167</v>
      </c>
      <c r="G71" s="11" t="s">
        <v>168</v>
      </c>
      <c r="H71" s="11" t="s">
        <v>515</v>
      </c>
      <c r="I71" s="11">
        <f>_xlfn.LET(
    _xlpm.可変bit数,--MID(H71,FIND("(",H71)+1,FIND(")",H71)-FIND("(",H71)-1),
    _xlfn.XLOOKUP(
        $H71,
        型とバイト数!$B$3:$B$54,
        型とバイト数!$E$3:$E$54,
        IF(LEFT($H71,7)="varchar",_xlpm.可変bit数*8,
            IF(LEFT($H71,4)="char",_xlpm.可変bit数*8,
                IF(LEFT($H71,3)="bit",_xlpm.可変bit数,"???")
            )
        )
    )
)</f>
        <v>64</v>
      </c>
      <c r="J71" s="11"/>
      <c r="K71" s="11"/>
      <c r="L71" s="9"/>
      <c r="M71" s="11" t="str">
        <f>_xlfn.SINGLE(IF(K71="","",IF(L71="","参照先未定義",_xlfn.XLOOKUP(L71,B:B,C:C,"エラー"))))</f>
        <v/>
      </c>
      <c r="N71" s="11" t="s">
        <v>51</v>
      </c>
      <c r="O71" s="11"/>
      <c r="P71" s="11" t="s">
        <v>112</v>
      </c>
      <c r="Q71" s="11"/>
      <c r="R71" s="9"/>
      <c r="S71" s="9"/>
      <c r="T71" s="9"/>
      <c r="U71" s="11"/>
    </row>
    <row r="72" spans="1:21" ht="18.75" customHeight="1">
      <c r="A72" s="9" t="s">
        <v>46</v>
      </c>
      <c r="B72" s="9" t="str">
        <f t="shared" ca="1" si="2"/>
        <v>page_author.report_count</v>
      </c>
      <c r="C72" s="10">
        <f t="shared" si="0"/>
        <v>71</v>
      </c>
      <c r="D72" s="11" t="str" cm="1">
        <f t="array" aca="1" ref="D72" ca="1">INDIRECT(ADDRESS(ROW()-1,COLUMN()))</f>
        <v>page_author</v>
      </c>
      <c r="E72" s="11" t="str" cm="1">
        <f t="array" aca="1" ref="E72" ca="1">INDIRECT(ADDRESS(ROW()-1,COLUMN()))</f>
        <v>ページ編集者</v>
      </c>
      <c r="F72" s="11" t="s">
        <v>109</v>
      </c>
      <c r="G72" s="11" t="s">
        <v>169</v>
      </c>
      <c r="H72" s="11" t="s">
        <v>105</v>
      </c>
      <c r="I72" s="11">
        <f>_xlfn.LET(
    _xlpm.可変bit数,--MID(H72,FIND("(",H72)+1,FIND(")",H72)-FIND("(",H72)-1),
    _xlfn.XLOOKUP(
        $H72,
        型とバイト数!$B$3:$B$54,
        型とバイト数!$E$3:$E$54,
        IF(LEFT($H72,7)="varchar",_xlpm.可変bit数*8,
            IF(LEFT($H72,4)="char",_xlpm.可変bit数*8,
                IF(LEFT($H72,3)="bit",_xlpm.可変bit数,"???")
            )
        )
    )
)</f>
        <v>32</v>
      </c>
      <c r="J72" s="11"/>
      <c r="K72" s="11"/>
      <c r="L72" s="9"/>
      <c r="M72" s="11" t="str">
        <f>_xlfn.SINGLE(IF(K72="","",IF(L72="","参照先未定義",_xlfn.XLOOKUP(L72,B:B,C:C,"エラー"))))</f>
        <v/>
      </c>
      <c r="N72" s="11" t="s">
        <v>51</v>
      </c>
      <c r="O72" s="11"/>
      <c r="P72" s="11">
        <v>0</v>
      </c>
      <c r="Q72" s="11"/>
      <c r="R72" s="9"/>
      <c r="S72" s="9"/>
      <c r="T72" s="9"/>
      <c r="U72" s="11"/>
    </row>
    <row r="73" spans="1:21" ht="18.75" customHeight="1">
      <c r="A73" s="9" t="s">
        <v>46</v>
      </c>
      <c r="B73" s="9" t="str">
        <f t="shared" ca="1" si="2"/>
        <v>page_author.create_datetime</v>
      </c>
      <c r="C73" s="10">
        <f t="shared" si="0"/>
        <v>72</v>
      </c>
      <c r="D73" s="11" t="str" cm="1">
        <f t="array" aca="1" ref="D73" ca="1">INDIRECT(ADDRESS(ROW()-1,COLUMN()))</f>
        <v>page_author</v>
      </c>
      <c r="E73" s="11" t="str" cm="1">
        <f t="array" aca="1" ref="E73" ca="1">INDIRECT(ADDRESS(ROW()-1,COLUMN()))</f>
        <v>ページ編集者</v>
      </c>
      <c r="F73" s="11" t="s">
        <v>110</v>
      </c>
      <c r="G73" s="11" t="s">
        <v>111</v>
      </c>
      <c r="H73" s="11" t="s">
        <v>515</v>
      </c>
      <c r="I73" s="11">
        <f>_xlfn.LET(
    _xlpm.可変bit数,--MID(H73,FIND("(",H73)+1,FIND(")",H73)-FIND("(",H73)-1),
    _xlfn.XLOOKUP(
        $H73,
        型とバイト数!$B$3:$B$54,
        型とバイト数!$E$3:$E$54,
        IF(LEFT($H73,7)="varchar",_xlpm.可変bit数*8,
            IF(LEFT($H73,4)="char",_xlpm.可変bit数*8,
                IF(LEFT($H73,3)="bit",_xlpm.可変bit数,"???")
            )
        )
    )
)</f>
        <v>64</v>
      </c>
      <c r="J73" s="11"/>
      <c r="K73" s="11"/>
      <c r="L73" s="9"/>
      <c r="M73" s="11" t="str">
        <f>_xlfn.SINGLE(IF(K73="","",IF(L73="","参照先未定義",_xlfn.XLOOKUP(L73,B:B,C:C,"エラー"))))</f>
        <v/>
      </c>
      <c r="N73" s="11" t="s">
        <v>51</v>
      </c>
      <c r="O73" s="11"/>
      <c r="P73" s="11" t="s">
        <v>112</v>
      </c>
      <c r="Q73" s="11"/>
      <c r="R73" s="9"/>
      <c r="S73" s="9"/>
      <c r="T73" s="9"/>
      <c r="U73" s="11"/>
    </row>
    <row r="74" spans="1:21" ht="18.75" customHeight="1">
      <c r="A74" s="9" t="s">
        <v>46</v>
      </c>
      <c r="B74" s="9" t="str">
        <f t="shared" ca="1" si="2"/>
        <v>page_author.create_user</v>
      </c>
      <c r="C74" s="10">
        <f t="shared" si="0"/>
        <v>73</v>
      </c>
      <c r="D74" s="11" t="str" cm="1">
        <f t="array" aca="1" ref="D74" ca="1">INDIRECT(ADDRESS(ROW()-1,COLUMN()))</f>
        <v>page_author</v>
      </c>
      <c r="E74" s="11" t="str" cm="1">
        <f t="array" aca="1" ref="E74" ca="1">INDIRECT(ADDRESS(ROW()-1,COLUMN()))</f>
        <v>ページ編集者</v>
      </c>
      <c r="F74" s="11" t="s">
        <v>113</v>
      </c>
      <c r="G74" s="11" t="s">
        <v>114</v>
      </c>
      <c r="H74" s="11" t="s">
        <v>71</v>
      </c>
      <c r="I74" s="11">
        <f>_xlfn.LET(
    _xlpm.可変bit数,--MID(H74,FIND("(",H74)+1,FIND(")",H74)-FIND("(",H74)-1),
    _xlfn.XLOOKUP(
        $H74,
        型とバイト数!$B$3:$B$54,
        型とバイト数!$E$3:$E$54,
        IF(LEFT($H74,7)="varchar",_xlpm.可変bit数*8,
            IF(LEFT($H74,4)="char",_xlpm.可変bit数*8,
                IF(LEFT($H74,3)="bit",_xlpm.可変bit数,"???")
            )
        )
    )
)</f>
        <v>256</v>
      </c>
      <c r="J74" s="11"/>
      <c r="K74" s="11"/>
      <c r="L74" s="9"/>
      <c r="M74" s="11" t="str">
        <f>_xlfn.SINGLE(IF(K74="","",IF(L74="","参照先未定義",_xlfn.XLOOKUP(L74,B:B,C:C,"エラー"))))</f>
        <v/>
      </c>
      <c r="N74" s="11" t="s">
        <v>51</v>
      </c>
      <c r="O74" s="11"/>
      <c r="P74" s="11" t="s">
        <v>115</v>
      </c>
      <c r="Q74" s="11"/>
      <c r="R74" s="9"/>
      <c r="S74" s="9"/>
      <c r="T74" s="9"/>
      <c r="U74" s="11" t="s">
        <v>116</v>
      </c>
    </row>
    <row r="75" spans="1:21" ht="18.75" customHeight="1">
      <c r="A75" s="9" t="s">
        <v>46</v>
      </c>
      <c r="B75" s="9" t="str">
        <f t="shared" ca="1" si="2"/>
        <v>page_author.update_datetime</v>
      </c>
      <c r="C75" s="10">
        <f t="shared" si="0"/>
        <v>74</v>
      </c>
      <c r="D75" s="11" t="str" cm="1">
        <f t="array" aca="1" ref="D75" ca="1">INDIRECT(ADDRESS(ROW()-1,COLUMN()))</f>
        <v>page_author</v>
      </c>
      <c r="E75" s="11" t="str" cm="1">
        <f t="array" aca="1" ref="E75" ca="1">INDIRECT(ADDRESS(ROW()-1,COLUMN()))</f>
        <v>ページ編集者</v>
      </c>
      <c r="F75" s="11" t="s">
        <v>117</v>
      </c>
      <c r="G75" s="11" t="s">
        <v>118</v>
      </c>
      <c r="H75" s="11" t="s">
        <v>515</v>
      </c>
      <c r="I75" s="11">
        <f>_xlfn.LET(
    _xlpm.可変bit数,--MID(H75,FIND("(",H75)+1,FIND(")",H75)-FIND("(",H75)-1),
    _xlfn.XLOOKUP(
        $H75,
        型とバイト数!$B$3:$B$54,
        型とバイト数!$E$3:$E$54,
        IF(LEFT($H75,7)="varchar",_xlpm.可変bit数*8,
            IF(LEFT($H75,4)="char",_xlpm.可変bit数*8,
                IF(LEFT($H75,3)="bit",_xlpm.可変bit数,"???")
            )
        )
    )
)</f>
        <v>64</v>
      </c>
      <c r="J75" s="11"/>
      <c r="K75" s="11"/>
      <c r="L75" s="9"/>
      <c r="M75" s="11" t="str">
        <f>_xlfn.SINGLE(IF(K75="","",IF(L75="","参照先未定義",_xlfn.XLOOKUP(L75,B:B,C:C,"エラー"))))</f>
        <v/>
      </c>
      <c r="N75" s="11" t="s">
        <v>51</v>
      </c>
      <c r="O75" s="11"/>
      <c r="P75" s="11" t="s">
        <v>112</v>
      </c>
      <c r="Q75" s="11"/>
      <c r="R75" s="9"/>
      <c r="S75" s="9"/>
      <c r="T75" s="9"/>
      <c r="U75" s="11"/>
    </row>
    <row r="76" spans="1:21" ht="18.75" customHeight="1">
      <c r="A76" s="9" t="s">
        <v>46</v>
      </c>
      <c r="B76" s="9" t="str">
        <f t="shared" ca="1" si="2"/>
        <v>page_author.update_user</v>
      </c>
      <c r="C76" s="10">
        <f t="shared" si="0"/>
        <v>75</v>
      </c>
      <c r="D76" s="11" t="str" cm="1">
        <f t="array" aca="1" ref="D76" ca="1">INDIRECT(ADDRESS(ROW()-1,COLUMN()))</f>
        <v>page_author</v>
      </c>
      <c r="E76" s="11" t="str" cm="1">
        <f t="array" aca="1" ref="E76" ca="1">INDIRECT(ADDRESS(ROW()-1,COLUMN()))</f>
        <v>ページ編集者</v>
      </c>
      <c r="F76" s="11" t="s">
        <v>119</v>
      </c>
      <c r="G76" s="11" t="s">
        <v>120</v>
      </c>
      <c r="H76" s="11" t="s">
        <v>71</v>
      </c>
      <c r="I76" s="11">
        <f>_xlfn.LET(
    _xlpm.可変bit数,--MID(H76,FIND("(",H76)+1,FIND(")",H76)-FIND("(",H76)-1),
    _xlfn.XLOOKUP(
        $H76,
        型とバイト数!$B$3:$B$54,
        型とバイト数!$E$3:$E$54,
        IF(LEFT($H76,7)="varchar",_xlpm.可変bit数*8,
            IF(LEFT($H76,4)="char",_xlpm.可変bit数*8,
                IF(LEFT($H76,3)="bit",_xlpm.可変bit数,"???")
            )
        )
    )
)</f>
        <v>256</v>
      </c>
      <c r="J76" s="11"/>
      <c r="K76" s="11"/>
      <c r="L76" s="9"/>
      <c r="M76" s="11" t="str">
        <f>_xlfn.SINGLE(IF(K76="","",IF(L76="","参照先未定義",_xlfn.XLOOKUP(L76,B:B,C:C,"エラー"))))</f>
        <v/>
      </c>
      <c r="N76" s="11" t="s">
        <v>51</v>
      </c>
      <c r="O76" s="11"/>
      <c r="P76" s="11" t="s">
        <v>115</v>
      </c>
      <c r="Q76" s="11"/>
      <c r="R76" s="9"/>
      <c r="S76" s="9"/>
      <c r="T76" s="9"/>
      <c r="U76" s="11" t="s">
        <v>116</v>
      </c>
    </row>
    <row r="77" spans="1:21" ht="18.75" customHeight="1">
      <c r="A77" s="9" t="s">
        <v>46</v>
      </c>
      <c r="B77" s="9" t="str">
        <f t="shared" ca="1" si="2"/>
        <v>page_author.soft_delete_flag</v>
      </c>
      <c r="C77" s="10">
        <f t="shared" si="0"/>
        <v>76</v>
      </c>
      <c r="D77" s="11" t="str" cm="1">
        <f t="array" aca="1" ref="D77" ca="1">INDIRECT(ADDRESS(ROW()-1,COLUMN()))</f>
        <v>page_author</v>
      </c>
      <c r="E77" s="11" t="str" cm="1">
        <f t="array" aca="1" ref="E77" ca="1">INDIRECT(ADDRESS(ROW()-1,COLUMN()))</f>
        <v>ページ編集者</v>
      </c>
      <c r="F77" s="11" t="s">
        <v>121</v>
      </c>
      <c r="G77" s="11" t="s">
        <v>122</v>
      </c>
      <c r="H77" s="11" t="s">
        <v>517</v>
      </c>
      <c r="I77" s="11">
        <f>_xlfn.LET(
    _xlpm.可変bit数,--MID(H77,FIND("(",H77)+1,FIND(")",H77)-FIND("(",H77)-1),
    _xlfn.XLOOKUP(
        $H77,
        型とバイト数!$B$3:$B$54,
        型とバイト数!$E$3:$E$54,
        IF(LEFT($H77,7)="varchar",_xlpm.可変bit数*8,
            IF(LEFT($H77,4)="char",_xlpm.可変bit数*8,
                IF(LEFT($H77,3)="bit",_xlpm.可変bit数,"???")
            )
        )
    )
)</f>
        <v>8</v>
      </c>
      <c r="J77" s="11"/>
      <c r="K77" s="11"/>
      <c r="L77" s="9"/>
      <c r="M77" s="11" t="str">
        <f>_xlfn.SINGLE(IF(K77="","",IF(L77="","参照先未定義",_xlfn.XLOOKUP(L77,B:B,C:C,"エラー"))))</f>
        <v/>
      </c>
      <c r="N77" s="11" t="s">
        <v>51</v>
      </c>
      <c r="O77" s="11"/>
      <c r="P77" s="11">
        <v>0</v>
      </c>
      <c r="Q77" s="11"/>
      <c r="R77" s="9"/>
      <c r="S77" s="9"/>
      <c r="T77" s="9"/>
      <c r="U77" s="11"/>
    </row>
    <row r="78" spans="1:21" ht="18.75" customHeight="1">
      <c r="A78" s="9" t="s">
        <v>46</v>
      </c>
      <c r="B78" s="9" t="str">
        <f t="shared" si="2"/>
        <v>contact.contact_uuid</v>
      </c>
      <c r="C78" s="10">
        <f t="shared" si="0"/>
        <v>77</v>
      </c>
      <c r="D78" s="11" t="s">
        <v>171</v>
      </c>
      <c r="E78" s="11" t="s">
        <v>172</v>
      </c>
      <c r="F78" s="11" t="str">
        <f>D78&amp;"_uuid"</f>
        <v>contact_uuid</v>
      </c>
      <c r="G78" s="11" t="s">
        <v>50</v>
      </c>
      <c r="H78" s="11" t="s">
        <v>49</v>
      </c>
      <c r="I78" s="11">
        <f>_xlfn.LET(
    _xlpm.可変bit数,--MID(H78,FIND("(",H78)+1,FIND(")",H78)-FIND("(",H78)-1),
    _xlfn.XLOOKUP(
        $H78,
        型とバイト数!$B$3:$B$54,
        型とバイト数!$E$3:$E$54,
        IF(LEFT($H78,7)="varchar",_xlpm.可変bit数*8,
            IF(LEFT($H78,4)="char",_xlpm.可変bit数*8,
                IF(LEFT($H78,3)="bit",_xlpm.可変bit数,"???")
            )
        )
    )
)</f>
        <v>128</v>
      </c>
      <c r="J78" s="11" t="s">
        <v>488</v>
      </c>
      <c r="K78" s="11"/>
      <c r="L78" s="9"/>
      <c r="M78" s="11" t="str">
        <f>_xlfn.SINGLE(IF(K78="","",IF(L78="","参照先未定義",_xlfn.XLOOKUP(L78,B:B,C:C,"エラー"))))</f>
        <v/>
      </c>
      <c r="N78" s="11" t="s">
        <v>499</v>
      </c>
      <c r="O78" s="11" t="s">
        <v>499</v>
      </c>
      <c r="P78" s="11" t="s">
        <v>52</v>
      </c>
      <c r="Q78" s="11"/>
      <c r="R78" s="9"/>
      <c r="S78" s="9"/>
      <c r="T78" s="9"/>
      <c r="U78" s="11"/>
    </row>
    <row r="79" spans="1:21" ht="18.75" customHeight="1">
      <c r="A79" s="9" t="s">
        <v>46</v>
      </c>
      <c r="B79" s="9" t="str">
        <f t="shared" ca="1" si="2"/>
        <v>contact.mail_address</v>
      </c>
      <c r="C79" s="10">
        <f t="shared" si="0"/>
        <v>78</v>
      </c>
      <c r="D79" s="11" t="str" cm="1">
        <f t="array" aca="1" ref="D79" ca="1">INDIRECT(ADDRESS(ROW()-1,COLUMN()))</f>
        <v>contact</v>
      </c>
      <c r="E79" s="11" t="str" cm="1">
        <f t="array" aca="1" ref="E79" ca="1">INDIRECT(ADDRESS(ROW()-1,COLUMN()))</f>
        <v>問い合わせ</v>
      </c>
      <c r="F79" s="11" t="s">
        <v>173</v>
      </c>
      <c r="G79" s="11" t="s">
        <v>174</v>
      </c>
      <c r="H79" s="11" t="s">
        <v>175</v>
      </c>
      <c r="I79" s="11">
        <f>_xlfn.LET(
    _xlpm.可変bit数,--MID(H79,FIND("(",H79)+1,FIND(")",H79)-FIND("(",H79)-1),
    _xlfn.XLOOKUP(
        $H79,
        型とバイト数!$B$3:$B$54,
        型とバイト数!$E$3:$E$54,
        IF(LEFT($H79,7)="varchar",_xlpm.可変bit数*8,
            IF(LEFT($H79,4)="char",_xlpm.可変bit数*8,
                IF(LEFT($H79,3)="bit",_xlpm.可変bit数,"???")
            )
        )
    )
)</f>
        <v>2040</v>
      </c>
      <c r="J79" s="11"/>
      <c r="K79" s="11"/>
      <c r="L79" s="9"/>
      <c r="M79" s="11" t="str">
        <f>_xlfn.SINGLE(IF(K79="","",IF(L79="","参照先未定義",_xlfn.XLOOKUP(L79,B:B,C:C,"エラー"))))</f>
        <v/>
      </c>
      <c r="N79" s="11" t="s">
        <v>51</v>
      </c>
      <c r="O79" s="11"/>
      <c r="P79" s="11"/>
      <c r="Q79" s="11"/>
      <c r="R79" s="9" t="s">
        <v>51</v>
      </c>
      <c r="S79" s="9"/>
      <c r="T79" s="9"/>
      <c r="U79" s="11"/>
    </row>
    <row r="80" spans="1:21" ht="18.75" customHeight="1">
      <c r="A80" s="9" t="s">
        <v>46</v>
      </c>
      <c r="B80" s="9" t="str">
        <f t="shared" ca="1" si="2"/>
        <v>contact.subject</v>
      </c>
      <c r="C80" s="10">
        <f t="shared" si="0"/>
        <v>79</v>
      </c>
      <c r="D80" s="11" t="str" cm="1">
        <f t="array" aca="1" ref="D80" ca="1">INDIRECT(ADDRESS(ROW()-1,COLUMN()))</f>
        <v>contact</v>
      </c>
      <c r="E80" s="11" t="str" cm="1">
        <f t="array" aca="1" ref="E80" ca="1">INDIRECT(ADDRESS(ROW()-1,COLUMN()))</f>
        <v>問い合わせ</v>
      </c>
      <c r="F80" s="11" t="s">
        <v>176</v>
      </c>
      <c r="G80" s="11" t="s">
        <v>177</v>
      </c>
      <c r="H80" s="11" t="s">
        <v>175</v>
      </c>
      <c r="I80" s="11">
        <f>_xlfn.LET(
    _xlpm.可変bit数,--MID(H80,FIND("(",H80)+1,FIND(")",H80)-FIND("(",H80)-1),
    _xlfn.XLOOKUP(
        $H80,
        型とバイト数!$B$3:$B$54,
        型とバイト数!$E$3:$E$54,
        IF(LEFT($H80,7)="varchar",_xlpm.可変bit数*8,
            IF(LEFT($H80,4)="char",_xlpm.可変bit数*8,
                IF(LEFT($H80,3)="bit",_xlpm.可変bit数,"???")
            )
        )
    )
)</f>
        <v>2040</v>
      </c>
      <c r="J80" s="11"/>
      <c r="K80" s="11"/>
      <c r="L80" s="9"/>
      <c r="M80" s="11" t="str">
        <f>_xlfn.SINGLE(IF(K80="","",IF(L80="","参照先未定義",_xlfn.XLOOKUP(L80,B:B,C:C,"エラー"))))</f>
        <v/>
      </c>
      <c r="N80" s="11" t="s">
        <v>51</v>
      </c>
      <c r="O80" s="11"/>
      <c r="P80" s="11"/>
      <c r="Q80" s="11"/>
      <c r="R80" s="9" t="s">
        <v>51</v>
      </c>
      <c r="S80" s="9"/>
      <c r="T80" s="9"/>
      <c r="U80" s="11"/>
    </row>
    <row r="81" spans="1:21" ht="18.75" customHeight="1">
      <c r="A81" s="9" t="s">
        <v>46</v>
      </c>
      <c r="B81" s="9" t="str">
        <f t="shared" ca="1" si="2"/>
        <v>contact.contact_detail</v>
      </c>
      <c r="C81" s="10">
        <f t="shared" si="0"/>
        <v>80</v>
      </c>
      <c r="D81" s="11" t="str" cm="1">
        <f t="array" aca="1" ref="D81" ca="1">INDIRECT(ADDRESS(ROW()-1,COLUMN()))</f>
        <v>contact</v>
      </c>
      <c r="E81" s="11" t="str" cm="1">
        <f t="array" aca="1" ref="E81" ca="1">INDIRECT(ADDRESS(ROW()-1,COLUMN()))</f>
        <v>問い合わせ</v>
      </c>
      <c r="F81" s="11" t="s">
        <v>178</v>
      </c>
      <c r="G81" s="11" t="s">
        <v>179</v>
      </c>
      <c r="H81" s="11" t="s">
        <v>87</v>
      </c>
      <c r="I81" s="11" t="str">
        <f>_xlfn.LET(
    _xlpm.可変bit数,--MID(H81,FIND("(",H81)+1,FIND(")",H81)-FIND("(",H81)-1),
    _xlfn.XLOOKUP(
        $H81,
        型とバイト数!$B$3:$B$54,
        型とバイト数!$E$3:$E$54,
        IF(LEFT($H81,7)="varchar",_xlpm.可変bit数*8,
            IF(LEFT($H81,4)="char",_xlpm.可変bit数*8,
                IF(LEFT($H81,3)="bit",_xlpm.可変bit数,"???")
            )
        )
    )
)</f>
        <v>-</v>
      </c>
      <c r="J81" s="11"/>
      <c r="K81" s="11"/>
      <c r="L81" s="9"/>
      <c r="M81" s="11" t="str">
        <f>_xlfn.SINGLE(IF(K81="","",IF(L81="","参照先未定義",_xlfn.XLOOKUP(L81,B:B,C:C,"エラー"))))</f>
        <v/>
      </c>
      <c r="N81" s="11" t="s">
        <v>51</v>
      </c>
      <c r="O81" s="11"/>
      <c r="P81" s="11"/>
      <c r="Q81" s="11"/>
      <c r="R81" s="9" t="s">
        <v>51</v>
      </c>
      <c r="S81" s="9"/>
      <c r="T81" s="9"/>
      <c r="U81" s="11"/>
    </row>
    <row r="82" spans="1:21" ht="18.75" customHeight="1">
      <c r="A82" s="9" t="s">
        <v>46</v>
      </c>
      <c r="B82" s="9" t="str">
        <f t="shared" ca="1" si="2"/>
        <v>contact.priority_physical_name</v>
      </c>
      <c r="C82" s="10">
        <f t="shared" si="0"/>
        <v>81</v>
      </c>
      <c r="D82" s="11" t="str" cm="1">
        <f t="array" aca="1" ref="D82" ca="1">INDIRECT(ADDRESS(ROW()-1,COLUMN()))</f>
        <v>contact</v>
      </c>
      <c r="E82" s="11" t="str" cm="1">
        <f t="array" aca="1" ref="E82" ca="1">INDIRECT(ADDRESS(ROW()-1,COLUMN()))</f>
        <v>問い合わせ</v>
      </c>
      <c r="F82" s="11" t="s">
        <v>180</v>
      </c>
      <c r="G82" s="11" t="s">
        <v>181</v>
      </c>
      <c r="H82" s="11" t="s">
        <v>49</v>
      </c>
      <c r="I82" s="11">
        <f>_xlfn.LET(
    _xlpm.可変bit数,--MID(H82,FIND("(",H82)+1,FIND(")",H82)-FIND("(",H82)-1),
    _xlfn.XLOOKUP(
        $H82,
        型とバイト数!$B$3:$B$54,
        型とバイト数!$E$3:$E$54,
        IF(LEFT($H82,7)="varchar",_xlpm.可変bit数*8,
            IF(LEFT($H82,4)="char",_xlpm.可変bit数*8,
                IF(LEFT($H82,3)="bit",_xlpm.可変bit数,"???")
            )
        )
    )
)</f>
        <v>128</v>
      </c>
      <c r="J82" s="11"/>
      <c r="K82" s="11" t="s">
        <v>51</v>
      </c>
      <c r="L82" s="9" t="s">
        <v>526</v>
      </c>
      <c r="M82" s="11">
        <f ca="1">_xlfn.SINGLE(IF(K82="","",IF(L82="","参照先未定義",_xlfn.XLOOKUP(L82,B:B,C:C,"エラー"))))</f>
        <v>88</v>
      </c>
      <c r="N82" s="11"/>
      <c r="O82" s="11"/>
      <c r="P82" s="11"/>
      <c r="Q82" s="11"/>
      <c r="R82" s="9"/>
      <c r="S82" s="9"/>
      <c r="T82" s="9"/>
      <c r="U82" s="11"/>
    </row>
    <row r="83" spans="1:21" ht="18.75" customHeight="1">
      <c r="A83" s="9" t="s">
        <v>46</v>
      </c>
      <c r="B83" s="9" t="str">
        <f t="shared" ca="1" si="2"/>
        <v>contact.response_status_physical_name</v>
      </c>
      <c r="C83" s="10">
        <f t="shared" si="0"/>
        <v>82</v>
      </c>
      <c r="D83" s="11" t="str" cm="1">
        <f t="array" aca="1" ref="D83" ca="1">INDIRECT(ADDRESS(ROW()-1,COLUMN()))</f>
        <v>contact</v>
      </c>
      <c r="E83" s="11" t="str" cm="1">
        <f t="array" aca="1" ref="E83" ca="1">INDIRECT(ADDRESS(ROW()-1,COLUMN()))</f>
        <v>問い合わせ</v>
      </c>
      <c r="F83" s="11" t="s">
        <v>182</v>
      </c>
      <c r="G83" s="11" t="s">
        <v>183</v>
      </c>
      <c r="H83" s="11" t="s">
        <v>49</v>
      </c>
      <c r="I83" s="11">
        <f>_xlfn.LET(
    _xlpm.可変bit数,--MID(H83,FIND("(",H83)+1,FIND(")",H83)-FIND("(",H83)-1),
    _xlfn.XLOOKUP(
        $H83,
        型とバイト数!$B$3:$B$54,
        型とバイト数!$E$3:$E$54,
        IF(LEFT($H83,7)="varchar",_xlpm.可変bit数*8,
            IF(LEFT($H83,4)="char",_xlpm.可変bit数*8,
                IF(LEFT($H83,3)="bit",_xlpm.可変bit数,"???")
            )
        )
    )
)</f>
        <v>128</v>
      </c>
      <c r="J83" s="11"/>
      <c r="K83" s="11" t="s">
        <v>51</v>
      </c>
      <c r="L83" s="9" t="s">
        <v>525</v>
      </c>
      <c r="M83" s="11">
        <f ca="1">_xlfn.SINGLE(IF(K83="","",IF(L83="","参照先未定義",_xlfn.XLOOKUP(L83,B:B,C:C,"エラー"))))</f>
        <v>96</v>
      </c>
      <c r="N83" s="11"/>
      <c r="O83" s="11"/>
      <c r="P83" s="11"/>
      <c r="Q83" s="11"/>
      <c r="R83" s="9"/>
      <c r="S83" s="9"/>
      <c r="T83" s="9"/>
      <c r="U83" s="11"/>
    </row>
    <row r="84" spans="1:21" ht="18.75" customHeight="1">
      <c r="A84" s="9" t="s">
        <v>46</v>
      </c>
      <c r="B84" s="9" t="str">
        <f t="shared" ca="1" si="2"/>
        <v>contact.create_datetime</v>
      </c>
      <c r="C84" s="10">
        <f t="shared" si="0"/>
        <v>83</v>
      </c>
      <c r="D84" s="11" t="str" cm="1">
        <f t="array" aca="1" ref="D84" ca="1">INDIRECT(ADDRESS(ROW()-1,COLUMN()))</f>
        <v>contact</v>
      </c>
      <c r="E84" s="11" t="str" cm="1">
        <f t="array" aca="1" ref="E84" ca="1">INDIRECT(ADDRESS(ROW()-1,COLUMN()))</f>
        <v>問い合わせ</v>
      </c>
      <c r="F84" s="11" t="s">
        <v>110</v>
      </c>
      <c r="G84" s="11" t="s">
        <v>111</v>
      </c>
      <c r="H84" s="11" t="s">
        <v>515</v>
      </c>
      <c r="I84" s="11">
        <f>_xlfn.LET(
    _xlpm.可変bit数,--MID(H84,FIND("(",H84)+1,FIND(")",H84)-FIND("(",H84)-1),
    _xlfn.XLOOKUP(
        $H84,
        型とバイト数!$B$3:$B$54,
        型とバイト数!$E$3:$E$54,
        IF(LEFT($H84,7)="varchar",_xlpm.可変bit数*8,
            IF(LEFT($H84,4)="char",_xlpm.可変bit数*8,
                IF(LEFT($H84,3)="bit",_xlpm.可変bit数,"???")
            )
        )
    )
)</f>
        <v>64</v>
      </c>
      <c r="J84" s="11"/>
      <c r="K84" s="11"/>
      <c r="L84" s="9"/>
      <c r="M84" s="11" t="str">
        <f>_xlfn.SINGLE(IF(K84="","",IF(L84="","参照先未定義",_xlfn.XLOOKUP(L84,B:B,C:C,"エラー"))))</f>
        <v/>
      </c>
      <c r="N84" s="11" t="s">
        <v>51</v>
      </c>
      <c r="O84" s="11"/>
      <c r="P84" s="11" t="s">
        <v>112</v>
      </c>
      <c r="Q84" s="11"/>
      <c r="R84" s="9"/>
      <c r="S84" s="9"/>
      <c r="T84" s="9"/>
      <c r="U84" s="11"/>
    </row>
    <row r="85" spans="1:21" ht="18.75" customHeight="1">
      <c r="A85" s="9" t="s">
        <v>46</v>
      </c>
      <c r="B85" s="9" t="str">
        <f t="shared" ca="1" si="2"/>
        <v>contact.create_user</v>
      </c>
      <c r="C85" s="10">
        <f t="shared" si="0"/>
        <v>84</v>
      </c>
      <c r="D85" s="11" t="str" cm="1">
        <f t="array" aca="1" ref="D85" ca="1">INDIRECT(ADDRESS(ROW()-1,COLUMN()))</f>
        <v>contact</v>
      </c>
      <c r="E85" s="11" t="str" cm="1">
        <f t="array" aca="1" ref="E85" ca="1">INDIRECT(ADDRESS(ROW()-1,COLUMN()))</f>
        <v>問い合わせ</v>
      </c>
      <c r="F85" s="11" t="s">
        <v>113</v>
      </c>
      <c r="G85" s="11" t="s">
        <v>114</v>
      </c>
      <c r="H85" s="11" t="s">
        <v>71</v>
      </c>
      <c r="I85" s="11">
        <f>_xlfn.LET(
    _xlpm.可変bit数,--MID(H85,FIND("(",H85)+1,FIND(")",H85)-FIND("(",H85)-1),
    _xlfn.XLOOKUP(
        $H85,
        型とバイト数!$B$3:$B$54,
        型とバイト数!$E$3:$E$54,
        IF(LEFT($H85,7)="varchar",_xlpm.可変bit数*8,
            IF(LEFT($H85,4)="char",_xlpm.可変bit数*8,
                IF(LEFT($H85,3)="bit",_xlpm.可変bit数,"???")
            )
        )
    )
)</f>
        <v>256</v>
      </c>
      <c r="J85" s="11"/>
      <c r="K85" s="11"/>
      <c r="L85" s="9"/>
      <c r="M85" s="11" t="str">
        <f>_xlfn.SINGLE(IF(K85="","",IF(L85="","参照先未定義",_xlfn.XLOOKUP(L85,B:B,C:C,"エラー"))))</f>
        <v/>
      </c>
      <c r="N85" s="11" t="s">
        <v>51</v>
      </c>
      <c r="O85" s="11"/>
      <c r="P85" s="11" t="s">
        <v>115</v>
      </c>
      <c r="Q85" s="11"/>
      <c r="R85" s="9"/>
      <c r="S85" s="9"/>
      <c r="T85" s="9"/>
      <c r="U85" s="11" t="s">
        <v>116</v>
      </c>
    </row>
    <row r="86" spans="1:21" ht="18.75" customHeight="1">
      <c r="A86" s="9" t="s">
        <v>46</v>
      </c>
      <c r="B86" s="9" t="str">
        <f t="shared" ca="1" si="2"/>
        <v>contact.update_datetime</v>
      </c>
      <c r="C86" s="10">
        <f t="shared" si="0"/>
        <v>85</v>
      </c>
      <c r="D86" s="11" t="str" cm="1">
        <f t="array" aca="1" ref="D86" ca="1">INDIRECT(ADDRESS(ROW()-1,COLUMN()))</f>
        <v>contact</v>
      </c>
      <c r="E86" s="11" t="str" cm="1">
        <f t="array" aca="1" ref="E86" ca="1">INDIRECT(ADDRESS(ROW()-1,COLUMN()))</f>
        <v>問い合わせ</v>
      </c>
      <c r="F86" s="11" t="s">
        <v>117</v>
      </c>
      <c r="G86" s="11" t="s">
        <v>118</v>
      </c>
      <c r="H86" s="11" t="s">
        <v>515</v>
      </c>
      <c r="I86" s="11">
        <f>_xlfn.LET(
    _xlpm.可変bit数,--MID(H86,FIND("(",H86)+1,FIND(")",H86)-FIND("(",H86)-1),
    _xlfn.XLOOKUP(
        $H86,
        型とバイト数!$B$3:$B$54,
        型とバイト数!$E$3:$E$54,
        IF(LEFT($H86,7)="varchar",_xlpm.可変bit数*8,
            IF(LEFT($H86,4)="char",_xlpm.可変bit数*8,
                IF(LEFT($H86,3)="bit",_xlpm.可変bit数,"???")
            )
        )
    )
)</f>
        <v>64</v>
      </c>
      <c r="J86" s="11"/>
      <c r="K86" s="11"/>
      <c r="L86" s="9"/>
      <c r="M86" s="11" t="str">
        <f>_xlfn.SINGLE(IF(K86="","",IF(L86="","参照先未定義",_xlfn.XLOOKUP(L86,B:B,C:C,"エラー"))))</f>
        <v/>
      </c>
      <c r="N86" s="11" t="s">
        <v>51</v>
      </c>
      <c r="O86" s="11"/>
      <c r="P86" s="11" t="s">
        <v>112</v>
      </c>
      <c r="Q86" s="11"/>
      <c r="R86" s="9"/>
      <c r="S86" s="9"/>
      <c r="T86" s="9"/>
      <c r="U86" s="11"/>
    </row>
    <row r="87" spans="1:21" ht="18.75" customHeight="1">
      <c r="A87" s="9" t="s">
        <v>46</v>
      </c>
      <c r="B87" s="9" t="str">
        <f t="shared" ca="1" si="2"/>
        <v>contact.update_user</v>
      </c>
      <c r="C87" s="10">
        <f t="shared" si="0"/>
        <v>86</v>
      </c>
      <c r="D87" s="11" t="str" cm="1">
        <f t="array" aca="1" ref="D87" ca="1">INDIRECT(ADDRESS(ROW()-1,COLUMN()))</f>
        <v>contact</v>
      </c>
      <c r="E87" s="11" t="str" cm="1">
        <f t="array" aca="1" ref="E87" ca="1">INDIRECT(ADDRESS(ROW()-1,COLUMN()))</f>
        <v>問い合わせ</v>
      </c>
      <c r="F87" s="11" t="s">
        <v>119</v>
      </c>
      <c r="G87" s="11" t="s">
        <v>120</v>
      </c>
      <c r="H87" s="11" t="s">
        <v>71</v>
      </c>
      <c r="I87" s="11">
        <f>_xlfn.LET(
    _xlpm.可変bit数,--MID(H87,FIND("(",H87)+1,FIND(")",H87)-FIND("(",H87)-1),
    _xlfn.XLOOKUP(
        $H87,
        型とバイト数!$B$3:$B$54,
        型とバイト数!$E$3:$E$54,
        IF(LEFT($H87,7)="varchar",_xlpm.可変bit数*8,
            IF(LEFT($H87,4)="char",_xlpm.可変bit数*8,
                IF(LEFT($H87,3)="bit",_xlpm.可変bit数,"???")
            )
        )
    )
)</f>
        <v>256</v>
      </c>
      <c r="J87" s="11"/>
      <c r="K87" s="11"/>
      <c r="L87" s="9"/>
      <c r="M87" s="11" t="str">
        <f>_xlfn.SINGLE(IF(K87="","",IF(L87="","参照先未定義",_xlfn.XLOOKUP(L87,B:B,C:C,"エラー"))))</f>
        <v/>
      </c>
      <c r="N87" s="11" t="s">
        <v>51</v>
      </c>
      <c r="O87" s="11"/>
      <c r="P87" s="11" t="s">
        <v>115</v>
      </c>
      <c r="Q87" s="11"/>
      <c r="R87" s="9"/>
      <c r="S87" s="9"/>
      <c r="T87" s="9"/>
      <c r="U87" s="11" t="s">
        <v>116</v>
      </c>
    </row>
    <row r="88" spans="1:21" ht="18.75" customHeight="1">
      <c r="A88" s="9" t="s">
        <v>46</v>
      </c>
      <c r="B88" s="9" t="str">
        <f t="shared" ca="1" si="2"/>
        <v>contact.soft_delete_flag</v>
      </c>
      <c r="C88" s="10">
        <f t="shared" si="0"/>
        <v>87</v>
      </c>
      <c r="D88" s="11" t="str" cm="1">
        <f t="array" aca="1" ref="D88" ca="1">INDIRECT(ADDRESS(ROW()-1,COLUMN()))</f>
        <v>contact</v>
      </c>
      <c r="E88" s="11" t="str" cm="1">
        <f t="array" aca="1" ref="E88" ca="1">INDIRECT(ADDRESS(ROW()-1,COLUMN()))</f>
        <v>問い合わせ</v>
      </c>
      <c r="F88" s="11" t="s">
        <v>121</v>
      </c>
      <c r="G88" s="11" t="s">
        <v>122</v>
      </c>
      <c r="H88" s="11" t="s">
        <v>517</v>
      </c>
      <c r="I88" s="11">
        <f>_xlfn.LET(
    _xlpm.可変bit数,--MID(H88,FIND("(",H88)+1,FIND(")",H88)-FIND("(",H88)-1),
    _xlfn.XLOOKUP(
        $H88,
        型とバイト数!$B$3:$B$54,
        型とバイト数!$E$3:$E$54,
        IF(LEFT($H88,7)="varchar",_xlpm.可変bit数*8,
            IF(LEFT($H88,4)="char",_xlpm.可変bit数*8,
                IF(LEFT($H88,3)="bit",_xlpm.可変bit数,"???")
            )
        )
    )
)</f>
        <v>8</v>
      </c>
      <c r="J88" s="11"/>
      <c r="K88" s="11"/>
      <c r="L88" s="9"/>
      <c r="M88" s="11" t="str">
        <f>_xlfn.SINGLE(IF(K88="","",IF(L88="","参照先未定義",_xlfn.XLOOKUP(L88,B:B,C:C,"エラー"))))</f>
        <v/>
      </c>
      <c r="N88" s="11" t="s">
        <v>51</v>
      </c>
      <c r="O88" s="11"/>
      <c r="P88" s="11">
        <v>0</v>
      </c>
      <c r="Q88" s="11"/>
      <c r="R88" s="9"/>
      <c r="S88" s="9"/>
      <c r="T88" s="9"/>
      <c r="U88" s="11"/>
    </row>
    <row r="89" spans="1:21" ht="18.75" customHeight="1">
      <c r="A89" s="9" t="s">
        <v>46</v>
      </c>
      <c r="B89" s="9" t="str">
        <f t="shared" si="2"/>
        <v>priority.priority_uuid</v>
      </c>
      <c r="C89" s="10">
        <f t="shared" si="0"/>
        <v>88</v>
      </c>
      <c r="D89" s="11" t="s">
        <v>184</v>
      </c>
      <c r="E89" s="11" t="s">
        <v>185</v>
      </c>
      <c r="F89" s="11" t="str">
        <f>D89&amp;"_uuid"</f>
        <v>priority_uuid</v>
      </c>
      <c r="G89" s="11" t="s">
        <v>50</v>
      </c>
      <c r="H89" s="11" t="s">
        <v>49</v>
      </c>
      <c r="I89" s="11">
        <f>_xlfn.LET(
    _xlpm.可変bit数,--MID(H89,FIND("(",H89)+1,FIND(")",H89)-FIND("(",H89)-1),
    _xlfn.XLOOKUP(
        $H89,
        型とバイト数!$B$3:$B$54,
        型とバイト数!$E$3:$E$54,
        IF(LEFT($H89,7)="varchar",_xlpm.可変bit数*8,
            IF(LEFT($H89,4)="char",_xlpm.可変bit数*8,
                IF(LEFT($H89,3)="bit",_xlpm.可変bit数,"???")
            )
        )
    )
)</f>
        <v>128</v>
      </c>
      <c r="J89" s="11" t="s">
        <v>488</v>
      </c>
      <c r="K89" s="11"/>
      <c r="L89" s="9"/>
      <c r="M89" s="11" t="str">
        <f>_xlfn.SINGLE(IF(K89="","",IF(L89="","参照先未定義",_xlfn.XLOOKUP(L89,B:B,C:C,"エラー"))))</f>
        <v/>
      </c>
      <c r="N89" s="11" t="s">
        <v>499</v>
      </c>
      <c r="O89" s="11" t="s">
        <v>499</v>
      </c>
      <c r="P89" s="11" t="s">
        <v>52</v>
      </c>
      <c r="Q89" s="11"/>
      <c r="R89" s="9"/>
      <c r="S89" s="9"/>
      <c r="T89" s="9"/>
      <c r="U89" s="11"/>
    </row>
    <row r="90" spans="1:21" ht="18.75" customHeight="1">
      <c r="A90" s="9" t="s">
        <v>46</v>
      </c>
      <c r="B90" s="9" t="str">
        <f t="shared" ca="1" si="2"/>
        <v>priority.priority_physical_name</v>
      </c>
      <c r="C90" s="10">
        <f t="shared" si="0"/>
        <v>89</v>
      </c>
      <c r="D90" s="11" t="str" cm="1">
        <f t="array" aca="1" ref="D90" ca="1">INDIRECT(ADDRESS(ROW()-1,COLUMN()))</f>
        <v>priority</v>
      </c>
      <c r="E90" s="11" t="str" cm="1">
        <f t="array" aca="1" ref="E90" ca="1">INDIRECT(ADDRESS(ROW()-1,COLUMN()))</f>
        <v>優先度</v>
      </c>
      <c r="F90" s="11" t="s">
        <v>180</v>
      </c>
      <c r="G90" s="11" t="s">
        <v>181</v>
      </c>
      <c r="H90" s="11" t="s">
        <v>55</v>
      </c>
      <c r="I90" s="11">
        <f>_xlfn.LET(
    _xlpm.可変bit数,--MID(H90,FIND("(",H90)+1,FIND(")",H90)-FIND("(",H90)-1),
    _xlfn.XLOOKUP(
        $H90,
        型とバイト数!$B$3:$B$54,
        型とバイト数!$E$3:$E$54,
        IF(LEFT($H90,7)="varchar",_xlpm.可変bit数*8,
            IF(LEFT($H90,4)="char",_xlpm.可変bit数*8,
                IF(LEFT($H90,3)="bit",_xlpm.可変bit数,"???")
            )
        )
    )
)</f>
        <v>64</v>
      </c>
      <c r="J90" s="11"/>
      <c r="K90" s="11"/>
      <c r="L90" s="9"/>
      <c r="M90" s="11" t="str">
        <f>_xlfn.SINGLE(IF(K90="","",IF(L90="","参照先未定義",_xlfn.XLOOKUP(L90,B:B,C:C,"エラー"))))</f>
        <v/>
      </c>
      <c r="N90" s="11" t="s">
        <v>488</v>
      </c>
      <c r="O90" s="11" t="s">
        <v>488</v>
      </c>
      <c r="P90" s="11"/>
      <c r="Q90" s="11"/>
      <c r="R90" s="9"/>
      <c r="S90" s="9"/>
      <c r="T90" s="9"/>
      <c r="U90" s="11"/>
    </row>
    <row r="91" spans="1:21" ht="18.75" customHeight="1">
      <c r="A91" s="9" t="s">
        <v>46</v>
      </c>
      <c r="B91" s="9" t="str">
        <f t="shared" ca="1" si="2"/>
        <v>priority.priority_logical_name</v>
      </c>
      <c r="C91" s="10">
        <f t="shared" si="0"/>
        <v>90</v>
      </c>
      <c r="D91" s="11" t="str" cm="1">
        <f t="array" aca="1" ref="D91" ca="1">INDIRECT(ADDRESS(ROW()-1,COLUMN()))</f>
        <v>priority</v>
      </c>
      <c r="E91" s="11" t="str" cm="1">
        <f t="array" aca="1" ref="E91" ca="1">INDIRECT(ADDRESS(ROW()-1,COLUMN()))</f>
        <v>優先度</v>
      </c>
      <c r="F91" s="11" t="s">
        <v>186</v>
      </c>
      <c r="G91" s="11" t="s">
        <v>187</v>
      </c>
      <c r="H91" s="11" t="s">
        <v>55</v>
      </c>
      <c r="I91" s="11">
        <f>_xlfn.LET(
    _xlpm.可変bit数,--MID(H91,FIND("(",H91)+1,FIND(")",H91)-FIND("(",H91)-1),
    _xlfn.XLOOKUP(
        $H91,
        型とバイト数!$B$3:$B$54,
        型とバイト数!$E$3:$E$54,
        IF(LEFT($H91,7)="varchar",_xlpm.可変bit数*8,
            IF(LEFT($H91,4)="char",_xlpm.可変bit数*8,
                IF(LEFT($H91,3)="bit",_xlpm.可変bit数,"???")
            )
        )
    )
)</f>
        <v>64</v>
      </c>
      <c r="J91" s="11"/>
      <c r="K91" s="11"/>
      <c r="L91" s="9"/>
      <c r="M91" s="11" t="str">
        <f>_xlfn.SINGLE(IF(K91="","",IF(L91="","参照先未定義",_xlfn.XLOOKUP(L91,B:B,C:C,"エラー"))))</f>
        <v/>
      </c>
      <c r="N91" s="11"/>
      <c r="O91" s="11"/>
      <c r="P91" s="11"/>
      <c r="Q91" s="11"/>
      <c r="R91" s="9"/>
      <c r="S91" s="9"/>
      <c r="T91" s="9"/>
      <c r="U91" s="11" t="s">
        <v>188</v>
      </c>
    </row>
    <row r="92" spans="1:21" ht="18.75" customHeight="1">
      <c r="A92" s="9" t="s">
        <v>46</v>
      </c>
      <c r="B92" s="9" t="str">
        <f t="shared" ca="1" si="2"/>
        <v>priority.create_datetime</v>
      </c>
      <c r="C92" s="10">
        <f t="shared" si="0"/>
        <v>91</v>
      </c>
      <c r="D92" s="11" t="str" cm="1">
        <f t="array" aca="1" ref="D92" ca="1">INDIRECT(ADDRESS(ROW()-1,COLUMN()))</f>
        <v>priority</v>
      </c>
      <c r="E92" s="11" t="str" cm="1">
        <f t="array" aca="1" ref="E92" ca="1">INDIRECT(ADDRESS(ROW()-1,COLUMN()))</f>
        <v>優先度</v>
      </c>
      <c r="F92" s="11" t="s">
        <v>110</v>
      </c>
      <c r="G92" s="11" t="s">
        <v>111</v>
      </c>
      <c r="H92" s="11" t="s">
        <v>515</v>
      </c>
      <c r="I92" s="11">
        <f>_xlfn.LET(
    _xlpm.可変bit数,--MID(H92,FIND("(",H92)+1,FIND(")",H92)-FIND("(",H92)-1),
    _xlfn.XLOOKUP(
        $H92,
        型とバイト数!$B$3:$B$54,
        型とバイト数!$E$3:$E$54,
        IF(LEFT($H92,7)="varchar",_xlpm.可変bit数*8,
            IF(LEFT($H92,4)="char",_xlpm.可変bit数*8,
                IF(LEFT($H92,3)="bit",_xlpm.可変bit数,"???")
            )
        )
    )
)</f>
        <v>64</v>
      </c>
      <c r="J92" s="11"/>
      <c r="K92" s="11"/>
      <c r="L92" s="9"/>
      <c r="M92" s="11" t="str">
        <f>_xlfn.SINGLE(IF(K92="","",IF(L92="","参照先未定義",_xlfn.XLOOKUP(L92,B:B,C:C,"エラー"))))</f>
        <v/>
      </c>
      <c r="N92" s="11" t="s">
        <v>51</v>
      </c>
      <c r="O92" s="11"/>
      <c r="P92" s="11" t="s">
        <v>112</v>
      </c>
      <c r="Q92" s="11"/>
      <c r="R92" s="9"/>
      <c r="S92" s="9"/>
      <c r="T92" s="9"/>
      <c r="U92" s="11"/>
    </row>
    <row r="93" spans="1:21" ht="18.75" customHeight="1">
      <c r="A93" s="9" t="s">
        <v>46</v>
      </c>
      <c r="B93" s="9" t="str">
        <f t="shared" ca="1" si="2"/>
        <v>priority.create_user</v>
      </c>
      <c r="C93" s="10">
        <f t="shared" si="0"/>
        <v>92</v>
      </c>
      <c r="D93" s="11" t="str" cm="1">
        <f t="array" aca="1" ref="D93" ca="1">INDIRECT(ADDRESS(ROW()-1,COLUMN()))</f>
        <v>priority</v>
      </c>
      <c r="E93" s="11" t="str" cm="1">
        <f t="array" aca="1" ref="E93" ca="1">INDIRECT(ADDRESS(ROW()-1,COLUMN()))</f>
        <v>優先度</v>
      </c>
      <c r="F93" s="11" t="s">
        <v>113</v>
      </c>
      <c r="G93" s="11" t="s">
        <v>114</v>
      </c>
      <c r="H93" s="11" t="s">
        <v>71</v>
      </c>
      <c r="I93" s="11">
        <f>_xlfn.LET(
    _xlpm.可変bit数,--MID(H93,FIND("(",H93)+1,FIND(")",H93)-FIND("(",H93)-1),
    _xlfn.XLOOKUP(
        $H93,
        型とバイト数!$B$3:$B$54,
        型とバイト数!$E$3:$E$54,
        IF(LEFT($H93,7)="varchar",_xlpm.可変bit数*8,
            IF(LEFT($H93,4)="char",_xlpm.可変bit数*8,
                IF(LEFT($H93,3)="bit",_xlpm.可変bit数,"???")
            )
        )
    )
)</f>
        <v>256</v>
      </c>
      <c r="J93" s="11"/>
      <c r="K93" s="11"/>
      <c r="L93" s="9"/>
      <c r="M93" s="11" t="str">
        <f>_xlfn.SINGLE(IF(K93="","",IF(L93="","参照先未定義",_xlfn.XLOOKUP(L93,B:B,C:C,"エラー"))))</f>
        <v/>
      </c>
      <c r="N93" s="11" t="s">
        <v>51</v>
      </c>
      <c r="O93" s="11"/>
      <c r="P93" s="11" t="s">
        <v>115</v>
      </c>
      <c r="Q93" s="11"/>
      <c r="R93" s="9"/>
      <c r="S93" s="9"/>
      <c r="T93" s="9"/>
      <c r="U93" s="11" t="s">
        <v>116</v>
      </c>
    </row>
    <row r="94" spans="1:21" ht="18.75" customHeight="1">
      <c r="A94" s="9" t="s">
        <v>46</v>
      </c>
      <c r="B94" s="9" t="str">
        <f t="shared" ca="1" si="2"/>
        <v>priority.update_datetime</v>
      </c>
      <c r="C94" s="10">
        <f t="shared" si="0"/>
        <v>93</v>
      </c>
      <c r="D94" s="11" t="str" cm="1">
        <f t="array" aca="1" ref="D94" ca="1">INDIRECT(ADDRESS(ROW()-1,COLUMN()))</f>
        <v>priority</v>
      </c>
      <c r="E94" s="11" t="str" cm="1">
        <f t="array" aca="1" ref="E94" ca="1">INDIRECT(ADDRESS(ROW()-1,COLUMN()))</f>
        <v>優先度</v>
      </c>
      <c r="F94" s="11" t="s">
        <v>117</v>
      </c>
      <c r="G94" s="11" t="s">
        <v>118</v>
      </c>
      <c r="H94" s="11" t="s">
        <v>515</v>
      </c>
      <c r="I94" s="11">
        <f>_xlfn.LET(
    _xlpm.可変bit数,--MID(H94,FIND("(",H94)+1,FIND(")",H94)-FIND("(",H94)-1),
    _xlfn.XLOOKUP(
        $H94,
        型とバイト数!$B$3:$B$54,
        型とバイト数!$E$3:$E$54,
        IF(LEFT($H94,7)="varchar",_xlpm.可変bit数*8,
            IF(LEFT($H94,4)="char",_xlpm.可変bit数*8,
                IF(LEFT($H94,3)="bit",_xlpm.可変bit数,"???")
            )
        )
    )
)</f>
        <v>64</v>
      </c>
      <c r="J94" s="11"/>
      <c r="K94" s="11"/>
      <c r="L94" s="9"/>
      <c r="M94" s="11" t="str">
        <f>_xlfn.SINGLE(IF(K94="","",IF(L94="","参照先未定義",_xlfn.XLOOKUP(L94,B:B,C:C,"エラー"))))</f>
        <v/>
      </c>
      <c r="N94" s="11" t="s">
        <v>51</v>
      </c>
      <c r="O94" s="11"/>
      <c r="P94" s="11" t="s">
        <v>112</v>
      </c>
      <c r="Q94" s="11"/>
      <c r="R94" s="9"/>
      <c r="S94" s="9"/>
      <c r="T94" s="9"/>
      <c r="U94" s="11"/>
    </row>
    <row r="95" spans="1:21" ht="18.75" customHeight="1">
      <c r="A95" s="9" t="s">
        <v>46</v>
      </c>
      <c r="B95" s="9" t="str">
        <f t="shared" ca="1" si="2"/>
        <v>priority.update_user</v>
      </c>
      <c r="C95" s="10">
        <f t="shared" si="0"/>
        <v>94</v>
      </c>
      <c r="D95" s="11" t="str" cm="1">
        <f t="array" aca="1" ref="D95" ca="1">INDIRECT(ADDRESS(ROW()-1,COLUMN()))</f>
        <v>priority</v>
      </c>
      <c r="E95" s="11" t="str" cm="1">
        <f t="array" aca="1" ref="E95" ca="1">INDIRECT(ADDRESS(ROW()-1,COLUMN()))</f>
        <v>優先度</v>
      </c>
      <c r="F95" s="11" t="s">
        <v>119</v>
      </c>
      <c r="G95" s="11" t="s">
        <v>120</v>
      </c>
      <c r="H95" s="11" t="s">
        <v>71</v>
      </c>
      <c r="I95" s="11">
        <f>_xlfn.LET(
    _xlpm.可変bit数,--MID(H95,FIND("(",H95)+1,FIND(")",H95)-FIND("(",H95)-1),
    _xlfn.XLOOKUP(
        $H95,
        型とバイト数!$B$3:$B$54,
        型とバイト数!$E$3:$E$54,
        IF(LEFT($H95,7)="varchar",_xlpm.可変bit数*8,
            IF(LEFT($H95,4)="char",_xlpm.可変bit数*8,
                IF(LEFT($H95,3)="bit",_xlpm.可変bit数,"???")
            )
        )
    )
)</f>
        <v>256</v>
      </c>
      <c r="J95" s="11"/>
      <c r="K95" s="11"/>
      <c r="L95" s="9"/>
      <c r="M95" s="11" t="str">
        <f>_xlfn.SINGLE(IF(K95="","",IF(L95="","参照先未定義",_xlfn.XLOOKUP(L95,B:B,C:C,"エラー"))))</f>
        <v/>
      </c>
      <c r="N95" s="11" t="s">
        <v>51</v>
      </c>
      <c r="O95" s="11"/>
      <c r="P95" s="11" t="s">
        <v>115</v>
      </c>
      <c r="Q95" s="11"/>
      <c r="R95" s="9"/>
      <c r="S95" s="9"/>
      <c r="T95" s="9"/>
      <c r="U95" s="11" t="s">
        <v>116</v>
      </c>
    </row>
    <row r="96" spans="1:21" ht="18.75" customHeight="1">
      <c r="A96" s="9" t="s">
        <v>46</v>
      </c>
      <c r="B96" s="9" t="str">
        <f t="shared" ca="1" si="2"/>
        <v>priority.soft_delete_flag</v>
      </c>
      <c r="C96" s="10">
        <f t="shared" si="0"/>
        <v>95</v>
      </c>
      <c r="D96" s="11" t="str" cm="1">
        <f t="array" aca="1" ref="D96" ca="1">INDIRECT(ADDRESS(ROW()-1,COLUMN()))</f>
        <v>priority</v>
      </c>
      <c r="E96" s="11" t="str" cm="1">
        <f t="array" aca="1" ref="E96" ca="1">INDIRECT(ADDRESS(ROW()-1,COLUMN()))</f>
        <v>優先度</v>
      </c>
      <c r="F96" s="11" t="s">
        <v>121</v>
      </c>
      <c r="G96" s="11" t="s">
        <v>122</v>
      </c>
      <c r="H96" s="11" t="s">
        <v>517</v>
      </c>
      <c r="I96" s="11">
        <f>_xlfn.LET(
    _xlpm.可変bit数,--MID(H96,FIND("(",H96)+1,FIND(")",H96)-FIND("(",H96)-1),
    _xlfn.XLOOKUP(
        $H96,
        型とバイト数!$B$3:$B$54,
        型とバイト数!$E$3:$E$54,
        IF(LEFT($H96,7)="varchar",_xlpm.可変bit数*8,
            IF(LEFT($H96,4)="char",_xlpm.可変bit数*8,
                IF(LEFT($H96,3)="bit",_xlpm.可変bit数,"???")
            )
        )
    )
)</f>
        <v>8</v>
      </c>
      <c r="J96" s="11"/>
      <c r="K96" s="11"/>
      <c r="L96" s="9"/>
      <c r="M96" s="11" t="str">
        <f>_xlfn.SINGLE(IF(K96="","",IF(L96="","参照先未定義",_xlfn.XLOOKUP(L96,B:B,C:C,"エラー"))))</f>
        <v/>
      </c>
      <c r="N96" s="11" t="s">
        <v>51</v>
      </c>
      <c r="O96" s="11"/>
      <c r="P96" s="11">
        <v>0</v>
      </c>
      <c r="Q96" s="11"/>
      <c r="R96" s="9"/>
      <c r="S96" s="9"/>
      <c r="T96" s="9"/>
      <c r="U96" s="11"/>
    </row>
    <row r="97" spans="1:21" ht="18.75" customHeight="1">
      <c r="A97" s="9" t="s">
        <v>46</v>
      </c>
      <c r="B97" s="9" t="str">
        <f t="shared" si="2"/>
        <v>response_status.response_status_uuid</v>
      </c>
      <c r="C97" s="10">
        <f t="shared" si="0"/>
        <v>96</v>
      </c>
      <c r="D97" s="11" t="s">
        <v>189</v>
      </c>
      <c r="E97" s="11" t="s">
        <v>190</v>
      </c>
      <c r="F97" s="11" t="str">
        <f>D97&amp;"_uuid"</f>
        <v>response_status_uuid</v>
      </c>
      <c r="G97" s="11" t="s">
        <v>50</v>
      </c>
      <c r="H97" s="11" t="s">
        <v>49</v>
      </c>
      <c r="I97" s="11">
        <f>_xlfn.LET(
    _xlpm.可変bit数,--MID(H97,FIND("(",H97)+1,FIND(")",H97)-FIND("(",H97)-1),
    _xlfn.XLOOKUP(
        $H97,
        型とバイト数!$B$3:$B$54,
        型とバイト数!$E$3:$E$54,
        IF(LEFT($H97,7)="varchar",_xlpm.可変bit数*8,
            IF(LEFT($H97,4)="char",_xlpm.可変bit数*8,
                IF(LEFT($H97,3)="bit",_xlpm.可変bit数,"???")
            )
        )
    )
)</f>
        <v>128</v>
      </c>
      <c r="J97" s="11" t="s">
        <v>488</v>
      </c>
      <c r="K97" s="11"/>
      <c r="L97" s="9"/>
      <c r="M97" s="11" t="str">
        <f>_xlfn.SINGLE(IF(K97="","",IF(L97="","参照先未定義",_xlfn.XLOOKUP(L97,B:B,C:C,"エラー"))))</f>
        <v/>
      </c>
      <c r="N97" s="11" t="s">
        <v>499</v>
      </c>
      <c r="O97" s="11" t="s">
        <v>499</v>
      </c>
      <c r="P97" s="11" t="s">
        <v>52</v>
      </c>
      <c r="Q97" s="11"/>
      <c r="R97" s="9"/>
      <c r="S97" s="9"/>
      <c r="T97" s="9"/>
      <c r="U97" s="11"/>
    </row>
    <row r="98" spans="1:21" ht="18.75" customHeight="1">
      <c r="A98" s="9" t="s">
        <v>46</v>
      </c>
      <c r="B98" s="9" t="str">
        <f t="shared" ca="1" si="2"/>
        <v>response_status.response_status_physical_name</v>
      </c>
      <c r="C98" s="10">
        <f t="shared" si="0"/>
        <v>97</v>
      </c>
      <c r="D98" s="11" t="str" cm="1">
        <f t="array" aca="1" ref="D98" ca="1">INDIRECT(ADDRESS(ROW()-1,COLUMN()))</f>
        <v>response_status</v>
      </c>
      <c r="E98" s="11" t="str" cm="1">
        <f t="array" aca="1" ref="E98" ca="1">INDIRECT(ADDRESS(ROW()-1,COLUMN()))</f>
        <v>対応状況</v>
      </c>
      <c r="F98" s="11" t="s">
        <v>182</v>
      </c>
      <c r="G98" s="11" t="s">
        <v>183</v>
      </c>
      <c r="H98" s="11" t="s">
        <v>55</v>
      </c>
      <c r="I98" s="11">
        <f>_xlfn.LET(
    _xlpm.可変bit数,--MID(H98,FIND("(",H98)+1,FIND(")",H98)-FIND("(",H98)-1),
    _xlfn.XLOOKUP(
        $H98,
        型とバイト数!$B$3:$B$54,
        型とバイト数!$E$3:$E$54,
        IF(LEFT($H98,7)="varchar",_xlpm.可変bit数*8,
            IF(LEFT($H98,4)="char",_xlpm.可変bit数*8,
                IF(LEFT($H98,3)="bit",_xlpm.可変bit数,"???")
            )
        )
    )
)</f>
        <v>64</v>
      </c>
      <c r="J98" s="11"/>
      <c r="K98" s="11"/>
      <c r="L98" s="9"/>
      <c r="M98" s="11" t="str">
        <f>_xlfn.SINGLE(IF(K98="","",IF(L98="","参照先未定義",_xlfn.XLOOKUP(L98,B:B,C:C,"エラー"))))</f>
        <v/>
      </c>
      <c r="N98" s="11" t="s">
        <v>488</v>
      </c>
      <c r="O98" s="11" t="s">
        <v>488</v>
      </c>
      <c r="P98" s="11"/>
      <c r="Q98" s="11"/>
      <c r="R98" s="9"/>
      <c r="S98" s="9"/>
      <c r="T98" s="9"/>
      <c r="U98" s="11"/>
    </row>
    <row r="99" spans="1:21" ht="18.75" customHeight="1">
      <c r="A99" s="9" t="s">
        <v>46</v>
      </c>
      <c r="B99" s="9" t="str">
        <f t="shared" ca="1" si="2"/>
        <v>response_status.response_status_logical_name</v>
      </c>
      <c r="C99" s="10">
        <f t="shared" si="0"/>
        <v>98</v>
      </c>
      <c r="D99" s="11" t="str" cm="1">
        <f t="array" aca="1" ref="D99" ca="1">INDIRECT(ADDRESS(ROW()-1,COLUMN()))</f>
        <v>response_status</v>
      </c>
      <c r="E99" s="11" t="str" cm="1">
        <f t="array" aca="1" ref="E99" ca="1">INDIRECT(ADDRESS(ROW()-1,COLUMN()))</f>
        <v>対応状況</v>
      </c>
      <c r="F99" s="11" t="s">
        <v>191</v>
      </c>
      <c r="G99" s="11" t="s">
        <v>192</v>
      </c>
      <c r="H99" s="11" t="s">
        <v>55</v>
      </c>
      <c r="I99" s="11">
        <f>_xlfn.LET(
    _xlpm.可変bit数,--MID(H99,FIND("(",H99)+1,FIND(")",H99)-FIND("(",H99)-1),
    _xlfn.XLOOKUP(
        $H99,
        型とバイト数!$B$3:$B$54,
        型とバイト数!$E$3:$E$54,
        IF(LEFT($H99,7)="varchar",_xlpm.可変bit数*8,
            IF(LEFT($H99,4)="char",_xlpm.可変bit数*8,
                IF(LEFT($H99,3)="bit",_xlpm.可変bit数,"???")
            )
        )
    )
)</f>
        <v>64</v>
      </c>
      <c r="J99" s="11"/>
      <c r="K99" s="11"/>
      <c r="L99" s="9"/>
      <c r="M99" s="11" t="str">
        <f>_xlfn.SINGLE(IF(K99="","",IF(L99="","参照先未定義",_xlfn.XLOOKUP(L99,B:B,C:C,"エラー"))))</f>
        <v/>
      </c>
      <c r="N99" s="11"/>
      <c r="O99" s="11"/>
      <c r="P99" s="11"/>
      <c r="Q99" s="11"/>
      <c r="R99" s="9"/>
      <c r="S99" s="9"/>
      <c r="T99" s="9"/>
      <c r="U99" s="11" t="s">
        <v>188</v>
      </c>
    </row>
    <row r="100" spans="1:21" ht="18.75" customHeight="1">
      <c r="A100" s="9" t="s">
        <v>46</v>
      </c>
      <c r="B100" s="9" t="str">
        <f t="shared" ca="1" si="2"/>
        <v>response_status.create_datetime</v>
      </c>
      <c r="C100" s="10">
        <f t="shared" si="0"/>
        <v>99</v>
      </c>
      <c r="D100" s="11" t="str" cm="1">
        <f t="array" aca="1" ref="D100" ca="1">INDIRECT(ADDRESS(ROW()-1,COLUMN()))</f>
        <v>response_status</v>
      </c>
      <c r="E100" s="11" t="str" cm="1">
        <f t="array" aca="1" ref="E100" ca="1">INDIRECT(ADDRESS(ROW()-1,COLUMN()))</f>
        <v>対応状況</v>
      </c>
      <c r="F100" s="11" t="s">
        <v>110</v>
      </c>
      <c r="G100" s="11" t="s">
        <v>111</v>
      </c>
      <c r="H100" s="11" t="s">
        <v>515</v>
      </c>
      <c r="I100" s="11">
        <f>_xlfn.LET(
    _xlpm.可変bit数,--MID(H100,FIND("(",H100)+1,FIND(")",H100)-FIND("(",H100)-1),
    _xlfn.XLOOKUP(
        $H100,
        型とバイト数!$B$3:$B$54,
        型とバイト数!$E$3:$E$54,
        IF(LEFT($H100,7)="varchar",_xlpm.可変bit数*8,
            IF(LEFT($H100,4)="char",_xlpm.可変bit数*8,
                IF(LEFT($H100,3)="bit",_xlpm.可変bit数,"???")
            )
        )
    )
)</f>
        <v>64</v>
      </c>
      <c r="J100" s="11"/>
      <c r="K100" s="11"/>
      <c r="L100" s="9"/>
      <c r="M100" s="11" t="str">
        <f>_xlfn.SINGLE(IF(K100="","",IF(L100="","参照先未定義",_xlfn.XLOOKUP(L100,B:B,C:C,"エラー"))))</f>
        <v/>
      </c>
      <c r="N100" s="11" t="s">
        <v>51</v>
      </c>
      <c r="O100" s="11"/>
      <c r="P100" s="11" t="s">
        <v>112</v>
      </c>
      <c r="Q100" s="11"/>
      <c r="R100" s="9"/>
      <c r="S100" s="9"/>
      <c r="T100" s="9"/>
      <c r="U100" s="11"/>
    </row>
    <row r="101" spans="1:21" ht="18.75" customHeight="1">
      <c r="A101" s="9" t="s">
        <v>46</v>
      </c>
      <c r="B101" s="9" t="str">
        <f t="shared" ca="1" si="2"/>
        <v>response_status.create_user</v>
      </c>
      <c r="C101" s="10">
        <f t="shared" si="0"/>
        <v>100</v>
      </c>
      <c r="D101" s="11" t="str" cm="1">
        <f t="array" aca="1" ref="D101" ca="1">INDIRECT(ADDRESS(ROW()-1,COLUMN()))</f>
        <v>response_status</v>
      </c>
      <c r="E101" s="11" t="str" cm="1">
        <f t="array" aca="1" ref="E101" ca="1">INDIRECT(ADDRESS(ROW()-1,COLUMN()))</f>
        <v>対応状況</v>
      </c>
      <c r="F101" s="11" t="s">
        <v>113</v>
      </c>
      <c r="G101" s="11" t="s">
        <v>114</v>
      </c>
      <c r="H101" s="11" t="s">
        <v>71</v>
      </c>
      <c r="I101" s="11">
        <f>_xlfn.LET(
    _xlpm.可変bit数,--MID(H101,FIND("(",H101)+1,FIND(")",H101)-FIND("(",H101)-1),
    _xlfn.XLOOKUP(
        $H101,
        型とバイト数!$B$3:$B$54,
        型とバイト数!$E$3:$E$54,
        IF(LEFT($H101,7)="varchar",_xlpm.可変bit数*8,
            IF(LEFT($H101,4)="char",_xlpm.可変bit数*8,
                IF(LEFT($H101,3)="bit",_xlpm.可変bit数,"???")
            )
        )
    )
)</f>
        <v>256</v>
      </c>
      <c r="J101" s="11"/>
      <c r="K101" s="11"/>
      <c r="L101" s="9"/>
      <c r="M101" s="11" t="str">
        <f>_xlfn.SINGLE(IF(K101="","",IF(L101="","参照先未定義",_xlfn.XLOOKUP(L101,B:B,C:C,"エラー"))))</f>
        <v/>
      </c>
      <c r="N101" s="11" t="s">
        <v>51</v>
      </c>
      <c r="O101" s="11"/>
      <c r="P101" s="11" t="s">
        <v>115</v>
      </c>
      <c r="Q101" s="11"/>
      <c r="R101" s="9"/>
      <c r="S101" s="9"/>
      <c r="T101" s="9"/>
      <c r="U101" s="11" t="s">
        <v>116</v>
      </c>
    </row>
    <row r="102" spans="1:21" ht="18.75" customHeight="1">
      <c r="A102" s="9" t="s">
        <v>46</v>
      </c>
      <c r="B102" s="9" t="str">
        <f t="shared" ca="1" si="2"/>
        <v>response_status.update_datetime</v>
      </c>
      <c r="C102" s="10">
        <f t="shared" si="0"/>
        <v>101</v>
      </c>
      <c r="D102" s="11" t="str" cm="1">
        <f t="array" aca="1" ref="D102" ca="1">INDIRECT(ADDRESS(ROW()-1,COLUMN()))</f>
        <v>response_status</v>
      </c>
      <c r="E102" s="11" t="str" cm="1">
        <f t="array" aca="1" ref="E102" ca="1">INDIRECT(ADDRESS(ROW()-1,COLUMN()))</f>
        <v>対応状況</v>
      </c>
      <c r="F102" s="11" t="s">
        <v>117</v>
      </c>
      <c r="G102" s="11" t="s">
        <v>118</v>
      </c>
      <c r="H102" s="11" t="s">
        <v>515</v>
      </c>
      <c r="I102" s="11">
        <f>_xlfn.LET(
    _xlpm.可変bit数,--MID(H102,FIND("(",H102)+1,FIND(")",H102)-FIND("(",H102)-1),
    _xlfn.XLOOKUP(
        $H102,
        型とバイト数!$B$3:$B$54,
        型とバイト数!$E$3:$E$54,
        IF(LEFT($H102,7)="varchar",_xlpm.可変bit数*8,
            IF(LEFT($H102,4)="char",_xlpm.可変bit数*8,
                IF(LEFT($H102,3)="bit",_xlpm.可変bit数,"???")
            )
        )
    )
)</f>
        <v>64</v>
      </c>
      <c r="J102" s="11"/>
      <c r="K102" s="11"/>
      <c r="L102" s="9"/>
      <c r="M102" s="11" t="str">
        <f>_xlfn.SINGLE(IF(K102="","",IF(L102="","参照先未定義",_xlfn.XLOOKUP(L102,B:B,C:C,"エラー"))))</f>
        <v/>
      </c>
      <c r="N102" s="11" t="s">
        <v>51</v>
      </c>
      <c r="O102" s="11"/>
      <c r="P102" s="11" t="s">
        <v>112</v>
      </c>
      <c r="Q102" s="11"/>
      <c r="R102" s="9"/>
      <c r="S102" s="9"/>
      <c r="T102" s="9"/>
      <c r="U102" s="11"/>
    </row>
    <row r="103" spans="1:21" ht="18.75" customHeight="1">
      <c r="A103" s="9" t="s">
        <v>46</v>
      </c>
      <c r="B103" s="9" t="str">
        <f t="shared" ca="1" si="2"/>
        <v>response_status.update_user</v>
      </c>
      <c r="C103" s="10">
        <f t="shared" si="0"/>
        <v>102</v>
      </c>
      <c r="D103" s="11" t="str" cm="1">
        <f t="array" aca="1" ref="D103" ca="1">INDIRECT(ADDRESS(ROW()-1,COLUMN()))</f>
        <v>response_status</v>
      </c>
      <c r="E103" s="11" t="str" cm="1">
        <f t="array" aca="1" ref="E103" ca="1">INDIRECT(ADDRESS(ROW()-1,COLUMN()))</f>
        <v>対応状況</v>
      </c>
      <c r="F103" s="11" t="s">
        <v>119</v>
      </c>
      <c r="G103" s="11" t="s">
        <v>120</v>
      </c>
      <c r="H103" s="11" t="s">
        <v>71</v>
      </c>
      <c r="I103" s="11">
        <f>_xlfn.LET(
    _xlpm.可変bit数,--MID(H103,FIND("(",H103)+1,FIND(")",H103)-FIND("(",H103)-1),
    _xlfn.XLOOKUP(
        $H103,
        型とバイト数!$B$3:$B$54,
        型とバイト数!$E$3:$E$54,
        IF(LEFT($H103,7)="varchar",_xlpm.可変bit数*8,
            IF(LEFT($H103,4)="char",_xlpm.可変bit数*8,
                IF(LEFT($H103,3)="bit",_xlpm.可変bit数,"???")
            )
        )
    )
)</f>
        <v>256</v>
      </c>
      <c r="J103" s="11"/>
      <c r="K103" s="11"/>
      <c r="L103" s="9"/>
      <c r="M103" s="11" t="str">
        <f>_xlfn.SINGLE(IF(K103="","",IF(L103="","参照先未定義",_xlfn.XLOOKUP(L103,B:B,C:C,"エラー"))))</f>
        <v/>
      </c>
      <c r="N103" s="11" t="s">
        <v>51</v>
      </c>
      <c r="O103" s="11"/>
      <c r="P103" s="11" t="s">
        <v>115</v>
      </c>
      <c r="Q103" s="11"/>
      <c r="R103" s="9"/>
      <c r="S103" s="9"/>
      <c r="T103" s="9"/>
      <c r="U103" s="11" t="s">
        <v>116</v>
      </c>
    </row>
    <row r="104" spans="1:21" ht="18.75" customHeight="1">
      <c r="A104" s="9" t="s">
        <v>46</v>
      </c>
      <c r="B104" s="9" t="str">
        <f t="shared" ca="1" si="2"/>
        <v>response_status.soft_delete_flag</v>
      </c>
      <c r="C104" s="10">
        <f t="shared" si="0"/>
        <v>103</v>
      </c>
      <c r="D104" s="11" t="str" cm="1">
        <f t="array" aca="1" ref="D104" ca="1">INDIRECT(ADDRESS(ROW()-1,COLUMN()))</f>
        <v>response_status</v>
      </c>
      <c r="E104" s="11" t="str" cm="1">
        <f t="array" aca="1" ref="E104" ca="1">INDIRECT(ADDRESS(ROW()-1,COLUMN()))</f>
        <v>対応状況</v>
      </c>
      <c r="F104" s="11" t="s">
        <v>121</v>
      </c>
      <c r="G104" s="11" t="s">
        <v>122</v>
      </c>
      <c r="H104" s="11" t="s">
        <v>517</v>
      </c>
      <c r="I104" s="11">
        <f>_xlfn.LET(
    _xlpm.可変bit数,--MID(H104,FIND("(",H104)+1,FIND(")",H104)-FIND("(",H104)-1),
    _xlfn.XLOOKUP(
        $H104,
        型とバイト数!$B$3:$B$54,
        型とバイト数!$E$3:$E$54,
        IF(LEFT($H104,7)="varchar",_xlpm.可変bit数*8,
            IF(LEFT($H104,4)="char",_xlpm.可変bit数*8,
                IF(LEFT($H104,3)="bit",_xlpm.可変bit数,"???")
            )
        )
    )
)</f>
        <v>8</v>
      </c>
      <c r="J104" s="11"/>
      <c r="K104" s="11"/>
      <c r="L104" s="9"/>
      <c r="M104" s="11" t="str">
        <f>_xlfn.SINGLE(IF(K104="","",IF(L104="","参照先未定義",_xlfn.XLOOKUP(L104,B:B,C:C,"エラー"))))</f>
        <v/>
      </c>
      <c r="N104" s="11" t="s">
        <v>51</v>
      </c>
      <c r="O104" s="11"/>
      <c r="P104" s="11">
        <v>0</v>
      </c>
      <c r="Q104" s="11"/>
      <c r="R104" s="9"/>
      <c r="S104" s="9"/>
      <c r="T104" s="9"/>
      <c r="U104" s="11"/>
    </row>
    <row r="105" spans="1:21" ht="18.75" customHeight="1">
      <c r="A105" s="9" t="s">
        <v>46</v>
      </c>
      <c r="B105" s="9" t="str">
        <f t="shared" si="2"/>
        <v>language.language_uuid</v>
      </c>
      <c r="C105" s="10">
        <f t="shared" si="0"/>
        <v>104</v>
      </c>
      <c r="D105" s="11" t="s">
        <v>193</v>
      </c>
      <c r="E105" s="11" t="s">
        <v>194</v>
      </c>
      <c r="F105" s="11" t="str">
        <f>D105&amp;"_uuid"</f>
        <v>language_uuid</v>
      </c>
      <c r="G105" s="11" t="s">
        <v>50</v>
      </c>
      <c r="H105" s="11" t="s">
        <v>49</v>
      </c>
      <c r="I105" s="11">
        <f>_xlfn.LET(
    _xlpm.可変bit数,--MID(H105,FIND("(",H105)+1,FIND(")",H105)-FIND("(",H105)-1),
    _xlfn.XLOOKUP(
        $H105,
        型とバイト数!$B$3:$B$54,
        型とバイト数!$E$3:$E$54,
        IF(LEFT($H105,7)="varchar",_xlpm.可変bit数*8,
            IF(LEFT($H105,4)="char",_xlpm.可変bit数*8,
                IF(LEFT($H105,3)="bit",_xlpm.可変bit数,"???")
            )
        )
    )
)</f>
        <v>128</v>
      </c>
      <c r="J105" s="11" t="s">
        <v>488</v>
      </c>
      <c r="K105" s="11"/>
      <c r="L105" s="9"/>
      <c r="M105" s="11" t="str">
        <f>_xlfn.SINGLE(IF(K105="","",IF(L105="","参照先未定義",_xlfn.XLOOKUP(L105,B:B,C:C,"エラー"))))</f>
        <v/>
      </c>
      <c r="N105" s="11" t="s">
        <v>499</v>
      </c>
      <c r="O105" s="11" t="s">
        <v>499</v>
      </c>
      <c r="P105" s="11" t="s">
        <v>52</v>
      </c>
      <c r="Q105" s="11"/>
      <c r="R105" s="9"/>
      <c r="S105" s="9"/>
      <c r="T105" s="9"/>
      <c r="U105" s="11"/>
    </row>
    <row r="106" spans="1:21" ht="18.75" customHeight="1">
      <c r="A106" s="9" t="s">
        <v>46</v>
      </c>
      <c r="B106" s="9" t="str">
        <f t="shared" ca="1" si="2"/>
        <v>language.language_physical_name</v>
      </c>
      <c r="C106" s="10">
        <f t="shared" si="0"/>
        <v>105</v>
      </c>
      <c r="D106" s="11" t="str" cm="1">
        <f t="array" aca="1" ref="D106" ca="1">INDIRECT(ADDRESS(ROW()-1,COLUMN()))</f>
        <v>language</v>
      </c>
      <c r="E106" s="11" t="str" cm="1">
        <f t="array" aca="1" ref="E106" ca="1">INDIRECT(ADDRESS(ROW()-1,COLUMN()))</f>
        <v>表示言語</v>
      </c>
      <c r="F106" s="11" t="s">
        <v>195</v>
      </c>
      <c r="G106" s="11" t="s">
        <v>196</v>
      </c>
      <c r="H106" s="11" t="s">
        <v>77</v>
      </c>
      <c r="I106" s="11">
        <f>_xlfn.LET(
    _xlpm.可変bit数,--MID(H106,FIND("(",H106)+1,FIND(")",H106)-FIND("(",H106)-1),
    _xlfn.XLOOKUP(
        $H106,
        型とバイト数!$B$3:$B$54,
        型とバイト数!$E$3:$E$54,
        IF(LEFT($H106,7)="varchar",_xlpm.可変bit数*8,
            IF(LEFT($H106,4)="char",_xlpm.可変bit数*8,
                IF(LEFT($H106,3)="bit",_xlpm.可変bit数,"???")
            )
        )
    )
)</f>
        <v>128</v>
      </c>
      <c r="J106" s="11"/>
      <c r="K106" s="11"/>
      <c r="L106" s="9"/>
      <c r="M106" s="11" t="str">
        <f>_xlfn.SINGLE(IF(K106="","",IF(L106="","参照先未定義",_xlfn.XLOOKUP(L106,B:B,C:C,"エラー"))))</f>
        <v/>
      </c>
      <c r="N106" s="11" t="s">
        <v>488</v>
      </c>
      <c r="O106" s="11" t="s">
        <v>488</v>
      </c>
      <c r="P106" s="11"/>
      <c r="Q106" s="11"/>
      <c r="R106" s="9"/>
      <c r="S106" s="9"/>
      <c r="T106" s="9"/>
      <c r="U106" s="11"/>
    </row>
    <row r="107" spans="1:21" ht="18.75" customHeight="1">
      <c r="A107" s="9" t="s">
        <v>46</v>
      </c>
      <c r="B107" s="9" t="str">
        <f t="shared" ca="1" si="2"/>
        <v>language.language_logical_name</v>
      </c>
      <c r="C107" s="10">
        <f t="shared" si="0"/>
        <v>106</v>
      </c>
      <c r="D107" s="11" t="str" cm="1">
        <f t="array" aca="1" ref="D107" ca="1">INDIRECT(ADDRESS(ROW()-1,COLUMN()))</f>
        <v>language</v>
      </c>
      <c r="E107" s="11" t="str" cm="1">
        <f t="array" aca="1" ref="E107" ca="1">INDIRECT(ADDRESS(ROW()-1,COLUMN()))</f>
        <v>表示言語</v>
      </c>
      <c r="F107" s="11" t="s">
        <v>197</v>
      </c>
      <c r="G107" s="11" t="s">
        <v>198</v>
      </c>
      <c r="H107" s="11" t="s">
        <v>68</v>
      </c>
      <c r="I107" s="11">
        <f>_xlfn.LET(
    _xlpm.可変bit数,--MID(H107,FIND("(",H107)+1,FIND(")",H107)-FIND("(",H107)-1),
    _xlfn.XLOOKUP(
        $H107,
        型とバイト数!$B$3:$B$54,
        型とバイト数!$E$3:$E$54,
        IF(LEFT($H107,7)="varchar",_xlpm.可変bit数*8,
            IF(LEFT($H107,4)="char",_xlpm.可変bit数*8,
                IF(LEFT($H107,3)="bit",_xlpm.可変bit数,"???")
            )
        )
    )
)</f>
        <v>512</v>
      </c>
      <c r="J107" s="11"/>
      <c r="K107" s="11"/>
      <c r="L107" s="9"/>
      <c r="M107" s="11" t="str">
        <f>_xlfn.SINGLE(IF(K107="","",IF(L107="","参照先未定義",_xlfn.XLOOKUP(L107,B:B,C:C,"エラー"))))</f>
        <v/>
      </c>
      <c r="N107" s="11"/>
      <c r="O107" s="11"/>
      <c r="P107" s="11"/>
      <c r="Q107" s="11"/>
      <c r="R107" s="9"/>
      <c r="S107" s="9"/>
      <c r="T107" s="9"/>
      <c r="U107" s="11" t="s">
        <v>199</v>
      </c>
    </row>
    <row r="108" spans="1:21" ht="18.75" customHeight="1">
      <c r="A108" s="9" t="s">
        <v>46</v>
      </c>
      <c r="B108" s="9" t="str">
        <f t="shared" ca="1" si="2"/>
        <v>language.language_image</v>
      </c>
      <c r="C108" s="10">
        <f t="shared" si="0"/>
        <v>107</v>
      </c>
      <c r="D108" s="11" t="str" cm="1">
        <f t="array" aca="1" ref="D108" ca="1">INDIRECT(ADDRESS(ROW()-1,COLUMN()))</f>
        <v>language</v>
      </c>
      <c r="E108" s="11" t="str" cm="1">
        <f t="array" aca="1" ref="E108" ca="1">INDIRECT(ADDRESS(ROW()-1,COLUMN()))</f>
        <v>表示言語</v>
      </c>
      <c r="F108" s="11" t="s">
        <v>200</v>
      </c>
      <c r="G108" s="11" t="s">
        <v>201</v>
      </c>
      <c r="H108" s="11" t="s">
        <v>61</v>
      </c>
      <c r="I108" s="11">
        <f>_xlfn.LET(
    _xlpm.可変bit数,--MID(H108,FIND("(",H108)+1,FIND(")",H108)-FIND("(",H108)-1),
    _xlfn.XLOOKUP(
        $H108,
        型とバイト数!$B$3:$B$54,
        型とバイト数!$E$3:$E$54,
        IF(LEFT($H108,7)="varchar",_xlpm.可変bit数*8,
            IF(LEFT($H108,4)="char",_xlpm.可変bit数*8,
                IF(LEFT($H108,3)="bit",_xlpm.可変bit数,"???")
            )
        )
    )
)</f>
        <v>64</v>
      </c>
      <c r="J108" s="11"/>
      <c r="K108" s="11"/>
      <c r="L108" s="9"/>
      <c r="M108" s="11" t="str">
        <f>_xlfn.SINGLE(IF(K108="","",IF(L108="","参照先未定義",_xlfn.XLOOKUP(L108,B:B,C:C,"エラー"))))</f>
        <v/>
      </c>
      <c r="N108" s="11"/>
      <c r="O108" s="11"/>
      <c r="P108" s="11"/>
      <c r="Q108" s="11"/>
      <c r="R108" s="9"/>
      <c r="S108" s="9"/>
      <c r="T108" s="9"/>
      <c r="U108" s="11" t="s">
        <v>202</v>
      </c>
    </row>
    <row r="109" spans="1:21" ht="18.75" customHeight="1">
      <c r="A109" s="9" t="s">
        <v>46</v>
      </c>
      <c r="B109" s="9" t="str">
        <f t="shared" ca="1" si="2"/>
        <v>language.enable</v>
      </c>
      <c r="C109" s="10">
        <f t="shared" si="0"/>
        <v>108</v>
      </c>
      <c r="D109" s="11" t="str" cm="1">
        <f t="array" aca="1" ref="D109" ca="1">INDIRECT(ADDRESS(ROW()-1,COLUMN()))</f>
        <v>language</v>
      </c>
      <c r="E109" s="11" t="str" cm="1">
        <f t="array" aca="1" ref="E109" ca="1">INDIRECT(ADDRESS(ROW()-1,COLUMN()))</f>
        <v>表示言語</v>
      </c>
      <c r="F109" s="11" t="s">
        <v>203</v>
      </c>
      <c r="G109" s="11" t="s">
        <v>204</v>
      </c>
      <c r="H109" s="11" t="s">
        <v>517</v>
      </c>
      <c r="I109" s="11">
        <f>_xlfn.LET(
    _xlpm.可変bit数,--MID(H109,FIND("(",H109)+1,FIND(")",H109)-FIND("(",H109)-1),
    _xlfn.XLOOKUP(
        $H109,
        型とバイト数!$B$3:$B$54,
        型とバイト数!$E$3:$E$54,
        IF(LEFT($H109,7)="varchar",_xlpm.可変bit数*8,
            IF(LEFT($H109,4)="char",_xlpm.可変bit数*8,
                IF(LEFT($H109,3)="bit",_xlpm.可変bit数,"???")
            )
        )
    )
)</f>
        <v>8</v>
      </c>
      <c r="J109" s="11"/>
      <c r="K109" s="11"/>
      <c r="L109" s="9"/>
      <c r="M109" s="11" t="str">
        <f>_xlfn.SINGLE(IF(K109="","",IF(L109="","参照先未定義",_xlfn.XLOOKUP(L109,B:B,C:C,"エラー"))))</f>
        <v/>
      </c>
      <c r="N109" s="11" t="s">
        <v>51</v>
      </c>
      <c r="O109" s="11"/>
      <c r="P109" s="11">
        <v>0</v>
      </c>
      <c r="Q109" s="11"/>
      <c r="R109" s="9"/>
      <c r="S109" s="9"/>
      <c r="T109" s="9"/>
      <c r="U109" s="11"/>
    </row>
    <row r="110" spans="1:21" ht="18.75" customHeight="1">
      <c r="A110" s="9" t="s">
        <v>46</v>
      </c>
      <c r="B110" s="9" t="str">
        <f t="shared" ca="1" si="2"/>
        <v>language.create_datetime</v>
      </c>
      <c r="C110" s="10">
        <f t="shared" si="0"/>
        <v>109</v>
      </c>
      <c r="D110" s="11" t="str" cm="1">
        <f t="array" aca="1" ref="D110" ca="1">INDIRECT(ADDRESS(ROW()-1,COLUMN()))</f>
        <v>language</v>
      </c>
      <c r="E110" s="11" t="str" cm="1">
        <f t="array" aca="1" ref="E110" ca="1">INDIRECT(ADDRESS(ROW()-1,COLUMN()))</f>
        <v>表示言語</v>
      </c>
      <c r="F110" s="11" t="s">
        <v>110</v>
      </c>
      <c r="G110" s="11" t="s">
        <v>111</v>
      </c>
      <c r="H110" s="11" t="s">
        <v>515</v>
      </c>
      <c r="I110" s="11">
        <f>_xlfn.LET(
    _xlpm.可変bit数,--MID(H110,FIND("(",H110)+1,FIND(")",H110)-FIND("(",H110)-1),
    _xlfn.XLOOKUP(
        $H110,
        型とバイト数!$B$3:$B$54,
        型とバイト数!$E$3:$E$54,
        IF(LEFT($H110,7)="varchar",_xlpm.可変bit数*8,
            IF(LEFT($H110,4)="char",_xlpm.可変bit数*8,
                IF(LEFT($H110,3)="bit",_xlpm.可変bit数,"???")
            )
        )
    )
)</f>
        <v>64</v>
      </c>
      <c r="J110" s="11"/>
      <c r="K110" s="11"/>
      <c r="L110" s="9"/>
      <c r="M110" s="11" t="str">
        <f>_xlfn.SINGLE(IF(K110="","",IF(L110="","参照先未定義",_xlfn.XLOOKUP(L110,B:B,C:C,"エラー"))))</f>
        <v/>
      </c>
      <c r="N110" s="11" t="s">
        <v>51</v>
      </c>
      <c r="O110" s="11"/>
      <c r="P110" s="11" t="s">
        <v>112</v>
      </c>
      <c r="Q110" s="11"/>
      <c r="R110" s="9"/>
      <c r="S110" s="9"/>
      <c r="T110" s="9"/>
      <c r="U110" s="11"/>
    </row>
    <row r="111" spans="1:21" ht="18.75" customHeight="1">
      <c r="A111" s="9" t="s">
        <v>46</v>
      </c>
      <c r="B111" s="9" t="str">
        <f t="shared" ca="1" si="2"/>
        <v>language.create_user</v>
      </c>
      <c r="C111" s="10">
        <f t="shared" si="0"/>
        <v>110</v>
      </c>
      <c r="D111" s="11" t="str" cm="1">
        <f t="array" aca="1" ref="D111" ca="1">INDIRECT(ADDRESS(ROW()-1,COLUMN()))</f>
        <v>language</v>
      </c>
      <c r="E111" s="11" t="str" cm="1">
        <f t="array" aca="1" ref="E111" ca="1">INDIRECT(ADDRESS(ROW()-1,COLUMN()))</f>
        <v>表示言語</v>
      </c>
      <c r="F111" s="11" t="s">
        <v>113</v>
      </c>
      <c r="G111" s="11" t="s">
        <v>114</v>
      </c>
      <c r="H111" s="11" t="s">
        <v>71</v>
      </c>
      <c r="I111" s="11">
        <f>_xlfn.LET(
    _xlpm.可変bit数,--MID(H111,FIND("(",H111)+1,FIND(")",H111)-FIND("(",H111)-1),
    _xlfn.XLOOKUP(
        $H111,
        型とバイト数!$B$3:$B$54,
        型とバイト数!$E$3:$E$54,
        IF(LEFT($H111,7)="varchar",_xlpm.可変bit数*8,
            IF(LEFT($H111,4)="char",_xlpm.可変bit数*8,
                IF(LEFT($H111,3)="bit",_xlpm.可変bit数,"???")
            )
        )
    )
)</f>
        <v>256</v>
      </c>
      <c r="J111" s="11"/>
      <c r="K111" s="11"/>
      <c r="L111" s="9"/>
      <c r="M111" s="11" t="str">
        <f>_xlfn.SINGLE(IF(K111="","",IF(L111="","参照先未定義",_xlfn.XLOOKUP(L111,B:B,C:C,"エラー"))))</f>
        <v/>
      </c>
      <c r="N111" s="11" t="s">
        <v>51</v>
      </c>
      <c r="O111" s="11"/>
      <c r="P111" s="11" t="s">
        <v>115</v>
      </c>
      <c r="Q111" s="11"/>
      <c r="R111" s="9"/>
      <c r="S111" s="9"/>
      <c r="T111" s="9"/>
      <c r="U111" s="11" t="s">
        <v>116</v>
      </c>
    </row>
    <row r="112" spans="1:21" ht="18.75" customHeight="1">
      <c r="A112" s="9" t="s">
        <v>46</v>
      </c>
      <c r="B112" s="9" t="str">
        <f t="shared" ca="1" si="2"/>
        <v>language.update_datetime</v>
      </c>
      <c r="C112" s="10">
        <f t="shared" si="0"/>
        <v>111</v>
      </c>
      <c r="D112" s="11" t="str" cm="1">
        <f t="array" aca="1" ref="D112" ca="1">INDIRECT(ADDRESS(ROW()-1,COLUMN()))</f>
        <v>language</v>
      </c>
      <c r="E112" s="11" t="str" cm="1">
        <f t="array" aca="1" ref="E112" ca="1">INDIRECT(ADDRESS(ROW()-1,COLUMN()))</f>
        <v>表示言語</v>
      </c>
      <c r="F112" s="11" t="s">
        <v>117</v>
      </c>
      <c r="G112" s="11" t="s">
        <v>118</v>
      </c>
      <c r="H112" s="11" t="s">
        <v>515</v>
      </c>
      <c r="I112" s="11">
        <f>_xlfn.LET(
    _xlpm.可変bit数,--MID(H112,FIND("(",H112)+1,FIND(")",H112)-FIND("(",H112)-1),
    _xlfn.XLOOKUP(
        $H112,
        型とバイト数!$B$3:$B$54,
        型とバイト数!$E$3:$E$54,
        IF(LEFT($H112,7)="varchar",_xlpm.可変bit数*8,
            IF(LEFT($H112,4)="char",_xlpm.可変bit数*8,
                IF(LEFT($H112,3)="bit",_xlpm.可変bit数,"???")
            )
        )
    )
)</f>
        <v>64</v>
      </c>
      <c r="J112" s="11"/>
      <c r="K112" s="11"/>
      <c r="L112" s="9"/>
      <c r="M112" s="11" t="str">
        <f>_xlfn.SINGLE(IF(K112="","",IF(L112="","参照先未定義",_xlfn.XLOOKUP(L112,B:B,C:C,"エラー"))))</f>
        <v/>
      </c>
      <c r="N112" s="11" t="s">
        <v>51</v>
      </c>
      <c r="O112" s="11"/>
      <c r="P112" s="11" t="s">
        <v>112</v>
      </c>
      <c r="Q112" s="11"/>
      <c r="R112" s="9"/>
      <c r="S112" s="9"/>
      <c r="T112" s="9"/>
      <c r="U112" s="11"/>
    </row>
    <row r="113" spans="1:21" ht="18.75" customHeight="1">
      <c r="A113" s="9" t="s">
        <v>46</v>
      </c>
      <c r="B113" s="9" t="str">
        <f t="shared" ca="1" si="2"/>
        <v>language.update_user</v>
      </c>
      <c r="C113" s="10">
        <f t="shared" si="0"/>
        <v>112</v>
      </c>
      <c r="D113" s="11" t="str" cm="1">
        <f t="array" aca="1" ref="D113" ca="1">INDIRECT(ADDRESS(ROW()-1,COLUMN()))</f>
        <v>language</v>
      </c>
      <c r="E113" s="11" t="str" cm="1">
        <f t="array" aca="1" ref="E113" ca="1">INDIRECT(ADDRESS(ROW()-1,COLUMN()))</f>
        <v>表示言語</v>
      </c>
      <c r="F113" s="11" t="s">
        <v>119</v>
      </c>
      <c r="G113" s="11" t="s">
        <v>120</v>
      </c>
      <c r="H113" s="11" t="s">
        <v>71</v>
      </c>
      <c r="I113" s="11">
        <f>_xlfn.LET(
    _xlpm.可変bit数,--MID(H113,FIND("(",H113)+1,FIND(")",H113)-FIND("(",H113)-1),
    _xlfn.XLOOKUP(
        $H113,
        型とバイト数!$B$3:$B$54,
        型とバイト数!$E$3:$E$54,
        IF(LEFT($H113,7)="varchar",_xlpm.可変bit数*8,
            IF(LEFT($H113,4)="char",_xlpm.可変bit数*8,
                IF(LEFT($H113,3)="bit",_xlpm.可変bit数,"???")
            )
        )
    )
)</f>
        <v>256</v>
      </c>
      <c r="J113" s="11"/>
      <c r="K113" s="11"/>
      <c r="L113" s="9"/>
      <c r="M113" s="11" t="str">
        <f>_xlfn.SINGLE(IF(K113="","",IF(L113="","参照先未定義",_xlfn.XLOOKUP(L113,B:B,C:C,"エラー"))))</f>
        <v/>
      </c>
      <c r="N113" s="11" t="s">
        <v>51</v>
      </c>
      <c r="O113" s="11"/>
      <c r="P113" s="11" t="s">
        <v>115</v>
      </c>
      <c r="Q113" s="11"/>
      <c r="R113" s="9"/>
      <c r="S113" s="9"/>
      <c r="T113" s="9"/>
      <c r="U113" s="11" t="s">
        <v>116</v>
      </c>
    </row>
    <row r="114" spans="1:21" ht="18.75" customHeight="1">
      <c r="A114" s="9" t="s">
        <v>46</v>
      </c>
      <c r="B114" s="9" t="str">
        <f t="shared" ca="1" si="2"/>
        <v>language.soft_delete_flag</v>
      </c>
      <c r="C114" s="10">
        <f t="shared" si="0"/>
        <v>113</v>
      </c>
      <c r="D114" s="11" t="str" cm="1">
        <f t="array" aca="1" ref="D114" ca="1">INDIRECT(ADDRESS(ROW()-1,COLUMN()))</f>
        <v>language</v>
      </c>
      <c r="E114" s="11" t="str" cm="1">
        <f t="array" aca="1" ref="E114" ca="1">INDIRECT(ADDRESS(ROW()-1,COLUMN()))</f>
        <v>表示言語</v>
      </c>
      <c r="F114" s="11" t="s">
        <v>121</v>
      </c>
      <c r="G114" s="11" t="s">
        <v>122</v>
      </c>
      <c r="H114" s="11" t="s">
        <v>517</v>
      </c>
      <c r="I114" s="11">
        <f>_xlfn.LET(
    _xlpm.可変bit数,--MID(H114,FIND("(",H114)+1,FIND(")",H114)-FIND("(",H114)-1),
    _xlfn.XLOOKUP(
        $H114,
        型とバイト数!$B$3:$B$54,
        型とバイト数!$E$3:$E$54,
        IF(LEFT($H114,7)="varchar",_xlpm.可変bit数*8,
            IF(LEFT($H114,4)="char",_xlpm.可変bit数*8,
                IF(LEFT($H114,3)="bit",_xlpm.可変bit数,"???")
            )
        )
    )
)</f>
        <v>8</v>
      </c>
      <c r="J114" s="11"/>
      <c r="K114" s="11"/>
      <c r="L114" s="9"/>
      <c r="M114" s="11" t="str">
        <f>_xlfn.SINGLE(IF(K114="","",IF(L114="","参照先未定義",_xlfn.XLOOKUP(L114,B:B,C:C,"エラー"))))</f>
        <v/>
      </c>
      <c r="N114" s="11" t="s">
        <v>51</v>
      </c>
      <c r="O114" s="11"/>
      <c r="P114" s="11">
        <v>0</v>
      </c>
      <c r="Q114" s="11"/>
      <c r="R114" s="9"/>
      <c r="S114" s="9"/>
      <c r="T114" s="9"/>
      <c r="U114" s="11"/>
    </row>
    <row r="115" spans="1:21" ht="18.75" customHeight="1">
      <c r="A115" s="9" t="s">
        <v>46</v>
      </c>
      <c r="B115" s="9" t="str">
        <f t="shared" si="2"/>
        <v>screen_word.screen_word_uuid</v>
      </c>
      <c r="C115" s="10">
        <f t="shared" si="0"/>
        <v>114</v>
      </c>
      <c r="D115" s="11" t="s">
        <v>205</v>
      </c>
      <c r="E115" s="11" t="s">
        <v>206</v>
      </c>
      <c r="F115" s="11" t="str">
        <f>D115&amp;"_uuid"</f>
        <v>screen_word_uuid</v>
      </c>
      <c r="G115" s="11" t="s">
        <v>50</v>
      </c>
      <c r="H115" s="11" t="s">
        <v>49</v>
      </c>
      <c r="I115" s="11">
        <f>_xlfn.LET(
    _xlpm.可変bit数,--MID(H115,FIND("(",H115)+1,FIND(")",H115)-FIND("(",H115)-1),
    _xlfn.XLOOKUP(
        $H115,
        型とバイト数!$B$3:$B$54,
        型とバイト数!$E$3:$E$54,
        IF(LEFT($H115,7)="varchar",_xlpm.可変bit数*8,
            IF(LEFT($H115,4)="char",_xlpm.可変bit数*8,
                IF(LEFT($H115,3)="bit",_xlpm.可変bit数,"???")
            )
        )
    )
)</f>
        <v>128</v>
      </c>
      <c r="J115" s="11" t="s">
        <v>488</v>
      </c>
      <c r="K115" s="11"/>
      <c r="L115" s="9"/>
      <c r="M115" s="11" t="str">
        <f>_xlfn.SINGLE(IF(K115="","",IF(L115="","参照先未定義",_xlfn.XLOOKUP(L115,B:B,C:C,"エラー"))))</f>
        <v/>
      </c>
      <c r="N115" s="11" t="s">
        <v>499</v>
      </c>
      <c r="O115" s="11" t="s">
        <v>499</v>
      </c>
      <c r="P115" s="11" t="s">
        <v>52</v>
      </c>
      <c r="Q115" s="11"/>
      <c r="R115" s="9"/>
      <c r="S115" s="9"/>
      <c r="T115" s="9"/>
      <c r="U115" s="11"/>
    </row>
    <row r="116" spans="1:21" ht="18.75" customHeight="1">
      <c r="A116" s="9" t="s">
        <v>46</v>
      </c>
      <c r="B116" s="9" t="str">
        <f t="shared" ca="1" si="2"/>
        <v>screen_word.language_physical_name</v>
      </c>
      <c r="C116" s="10">
        <f t="shared" si="0"/>
        <v>115</v>
      </c>
      <c r="D116" s="11" t="str" cm="1">
        <f t="array" aca="1" ref="D116" ca="1">INDIRECT(ADDRESS(ROW()-1,COLUMN()))</f>
        <v>screen_word</v>
      </c>
      <c r="E116" s="11" t="str" cm="1">
        <f t="array" aca="1" ref="E116" ca="1">INDIRECT(ADDRESS(ROW()-1,COLUMN()))</f>
        <v>画面文言</v>
      </c>
      <c r="F116" s="11" t="s">
        <v>195</v>
      </c>
      <c r="G116" s="11" t="s">
        <v>196</v>
      </c>
      <c r="H116" s="11" t="s">
        <v>49</v>
      </c>
      <c r="I116" s="11">
        <f>_xlfn.LET(
    _xlpm.可変bit数,--MID(H116,FIND("(",H116)+1,FIND(")",H116)-FIND("(",H116)-1),
    _xlfn.XLOOKUP(
        $H116,
        型とバイト数!$B$3:$B$54,
        型とバイト数!$E$3:$E$54,
        IF(LEFT($H116,7)="varchar",_xlpm.可変bit数*8,
            IF(LEFT($H116,4)="char",_xlpm.可変bit数*8,
                IF(LEFT($H116,3)="bit",_xlpm.可変bit数,"???")
            )
        )
    )
)</f>
        <v>128</v>
      </c>
      <c r="J116" s="11"/>
      <c r="K116" s="11" t="s">
        <v>51</v>
      </c>
      <c r="L116" s="9" t="s">
        <v>527</v>
      </c>
      <c r="M116" s="11">
        <f ca="1">_xlfn.SINGLE(IF(K116="","",IF(L116="","参照先未定義",_xlfn.XLOOKUP(L116,B:B,C:C,"エラー"))))</f>
        <v>104</v>
      </c>
      <c r="N116" s="11"/>
      <c r="O116" s="11"/>
      <c r="P116" s="11"/>
      <c r="Q116" s="11"/>
      <c r="R116" s="9"/>
      <c r="S116" s="9"/>
      <c r="T116" s="9"/>
      <c r="U116" s="11"/>
    </row>
    <row r="117" spans="1:21" ht="18.75" customHeight="1">
      <c r="A117" s="9" t="s">
        <v>46</v>
      </c>
      <c r="B117" s="9" t="str">
        <f t="shared" ca="1" si="2"/>
        <v>screen_word.message_id</v>
      </c>
      <c r="C117" s="10">
        <f t="shared" si="0"/>
        <v>116</v>
      </c>
      <c r="D117" s="11" t="str" cm="1">
        <f t="array" aca="1" ref="D117" ca="1">INDIRECT(ADDRESS(ROW()-1,COLUMN()))</f>
        <v>screen_word</v>
      </c>
      <c r="E117" s="11" t="str" cm="1">
        <f t="array" aca="1" ref="E117" ca="1">INDIRECT(ADDRESS(ROW()-1,COLUMN()))</f>
        <v>画面文言</v>
      </c>
      <c r="F117" s="11" t="s">
        <v>207</v>
      </c>
      <c r="G117" s="11" t="s">
        <v>208</v>
      </c>
      <c r="H117" s="11" t="s">
        <v>49</v>
      </c>
      <c r="I117" s="11">
        <f>_xlfn.LET(
    _xlpm.可変bit数,--MID(H117,FIND("(",H117)+1,FIND(")",H117)-FIND("(",H117)-1),
    _xlfn.XLOOKUP(
        $H117,
        型とバイト数!$B$3:$B$54,
        型とバイト数!$E$3:$E$54,
        IF(LEFT($H117,7)="varchar",_xlpm.可変bit数*8,
            IF(LEFT($H117,4)="char",_xlpm.可変bit数*8,
                IF(LEFT($H117,3)="bit",_xlpm.可変bit数,"???")
            )
        )
    )
)</f>
        <v>128</v>
      </c>
      <c r="J117" s="11"/>
      <c r="K117" s="11" t="s">
        <v>51</v>
      </c>
      <c r="L117" s="9" t="s">
        <v>528</v>
      </c>
      <c r="M117" s="11">
        <f ca="1">_xlfn.SINGLE(IF(K117="","",IF(L117="","参照先未定義",_xlfn.XLOOKUP(L117,B:B,C:C,"エラー"))))</f>
        <v>214</v>
      </c>
      <c r="N117" s="11"/>
      <c r="O117" s="11"/>
      <c r="P117" s="11"/>
      <c r="Q117" s="11" t="s">
        <v>209</v>
      </c>
      <c r="R117" s="9"/>
      <c r="S117" s="9"/>
      <c r="T117" s="9"/>
      <c r="U117" s="11"/>
    </row>
    <row r="118" spans="1:21" ht="18.75" customHeight="1">
      <c r="A118" s="9" t="s">
        <v>46</v>
      </c>
      <c r="B118" s="9" t="str">
        <f t="shared" ca="1" si="2"/>
        <v>screen_word.display_message</v>
      </c>
      <c r="C118" s="10">
        <f t="shared" si="0"/>
        <v>117</v>
      </c>
      <c r="D118" s="11" t="str" cm="1">
        <f t="array" aca="1" ref="D118" ca="1">INDIRECT(ADDRESS(ROW()-1,COLUMN()))</f>
        <v>screen_word</v>
      </c>
      <c r="E118" s="11" t="str" cm="1">
        <f t="array" aca="1" ref="E118" ca="1">INDIRECT(ADDRESS(ROW()-1,COLUMN()))</f>
        <v>画面文言</v>
      </c>
      <c r="F118" s="11" t="s">
        <v>210</v>
      </c>
      <c r="G118" s="11" t="s">
        <v>211</v>
      </c>
      <c r="H118" s="11" t="s">
        <v>87</v>
      </c>
      <c r="I118" s="11" t="str">
        <f>_xlfn.LET(
    _xlpm.可変bit数,--MID(H118,FIND("(",H118)+1,FIND(")",H118)-FIND("(",H118)-1),
    _xlfn.XLOOKUP(
        $H118,
        型とバイト数!$B$3:$B$54,
        型とバイト数!$E$3:$E$54,
        IF(LEFT($H118,7)="varchar",_xlpm.可変bit数*8,
            IF(LEFT($H118,4)="char",_xlpm.可変bit数*8,
                IF(LEFT($H118,3)="bit",_xlpm.可変bit数,"???")
            )
        )
    )
)</f>
        <v>-</v>
      </c>
      <c r="J118" s="11"/>
      <c r="K118" s="11"/>
      <c r="L118" s="9"/>
      <c r="M118" s="11" t="str">
        <f>_xlfn.SINGLE(IF(K118="","",IF(L118="","参照先未定義",_xlfn.XLOOKUP(L118,B:B,C:C,"エラー"))))</f>
        <v/>
      </c>
      <c r="N118" s="11"/>
      <c r="O118" s="11"/>
      <c r="P118" s="11"/>
      <c r="Q118" s="11" t="s">
        <v>212</v>
      </c>
      <c r="R118" s="9"/>
      <c r="S118" s="9"/>
      <c r="T118" s="9"/>
      <c r="U118" s="11"/>
    </row>
    <row r="119" spans="1:21" ht="18.75" customHeight="1">
      <c r="A119" s="9" t="s">
        <v>46</v>
      </c>
      <c r="B119" s="9" t="str">
        <f t="shared" ca="1" si="2"/>
        <v>screen_word.create_datetime</v>
      </c>
      <c r="C119" s="10">
        <f t="shared" si="0"/>
        <v>118</v>
      </c>
      <c r="D119" s="11" t="str" cm="1">
        <f t="array" aca="1" ref="D119" ca="1">INDIRECT(ADDRESS(ROW()-1,COLUMN()))</f>
        <v>screen_word</v>
      </c>
      <c r="E119" s="11" t="str" cm="1">
        <f t="array" aca="1" ref="E119" ca="1">INDIRECT(ADDRESS(ROW()-1,COLUMN()))</f>
        <v>画面文言</v>
      </c>
      <c r="F119" s="11" t="s">
        <v>110</v>
      </c>
      <c r="G119" s="11" t="s">
        <v>111</v>
      </c>
      <c r="H119" s="11" t="s">
        <v>515</v>
      </c>
      <c r="I119" s="11">
        <f>_xlfn.LET(
    _xlpm.可変bit数,--MID(H119,FIND("(",H119)+1,FIND(")",H119)-FIND("(",H119)-1),
    _xlfn.XLOOKUP(
        $H119,
        型とバイト数!$B$3:$B$54,
        型とバイト数!$E$3:$E$54,
        IF(LEFT($H119,7)="varchar",_xlpm.可変bit数*8,
            IF(LEFT($H119,4)="char",_xlpm.可変bit数*8,
                IF(LEFT($H119,3)="bit",_xlpm.可変bit数,"???")
            )
        )
    )
)</f>
        <v>64</v>
      </c>
      <c r="J119" s="11"/>
      <c r="K119" s="11"/>
      <c r="L119" s="9"/>
      <c r="M119" s="11" t="str">
        <f>_xlfn.SINGLE(IF(K119="","",IF(L119="","参照先未定義",_xlfn.XLOOKUP(L119,B:B,C:C,"エラー"))))</f>
        <v/>
      </c>
      <c r="N119" s="11" t="s">
        <v>51</v>
      </c>
      <c r="O119" s="11"/>
      <c r="P119" s="11" t="s">
        <v>112</v>
      </c>
      <c r="Q119" s="11"/>
      <c r="R119" s="9"/>
      <c r="S119" s="9"/>
      <c r="T119" s="9"/>
      <c r="U119" s="11"/>
    </row>
    <row r="120" spans="1:21" ht="18.75" customHeight="1">
      <c r="A120" s="9" t="s">
        <v>46</v>
      </c>
      <c r="B120" s="9" t="str">
        <f t="shared" ca="1" si="2"/>
        <v>screen_word.create_user</v>
      </c>
      <c r="C120" s="10">
        <f t="shared" si="0"/>
        <v>119</v>
      </c>
      <c r="D120" s="11" t="str" cm="1">
        <f t="array" aca="1" ref="D120" ca="1">INDIRECT(ADDRESS(ROW()-1,COLUMN()))</f>
        <v>screen_word</v>
      </c>
      <c r="E120" s="11" t="str" cm="1">
        <f t="array" aca="1" ref="E120" ca="1">INDIRECT(ADDRESS(ROW()-1,COLUMN()))</f>
        <v>画面文言</v>
      </c>
      <c r="F120" s="11" t="s">
        <v>113</v>
      </c>
      <c r="G120" s="11" t="s">
        <v>114</v>
      </c>
      <c r="H120" s="11" t="s">
        <v>71</v>
      </c>
      <c r="I120" s="11">
        <f>_xlfn.LET(
    _xlpm.可変bit数,--MID(H120,FIND("(",H120)+1,FIND(")",H120)-FIND("(",H120)-1),
    _xlfn.XLOOKUP(
        $H120,
        型とバイト数!$B$3:$B$54,
        型とバイト数!$E$3:$E$54,
        IF(LEFT($H120,7)="varchar",_xlpm.可変bit数*8,
            IF(LEFT($H120,4)="char",_xlpm.可変bit数*8,
                IF(LEFT($H120,3)="bit",_xlpm.可変bit数,"???")
            )
        )
    )
)</f>
        <v>256</v>
      </c>
      <c r="J120" s="11"/>
      <c r="K120" s="11"/>
      <c r="L120" s="9"/>
      <c r="M120" s="11" t="str">
        <f>_xlfn.SINGLE(IF(K120="","",IF(L120="","参照先未定義",_xlfn.XLOOKUP(L120,B:B,C:C,"エラー"))))</f>
        <v/>
      </c>
      <c r="N120" s="11" t="s">
        <v>51</v>
      </c>
      <c r="O120" s="11"/>
      <c r="P120" s="11" t="s">
        <v>115</v>
      </c>
      <c r="Q120" s="11"/>
      <c r="R120" s="9"/>
      <c r="S120" s="9"/>
      <c r="T120" s="9"/>
      <c r="U120" s="11" t="s">
        <v>116</v>
      </c>
    </row>
    <row r="121" spans="1:21" ht="18.75" customHeight="1">
      <c r="A121" s="9" t="s">
        <v>46</v>
      </c>
      <c r="B121" s="9" t="str">
        <f t="shared" ca="1" si="2"/>
        <v>screen_word.update_datetime</v>
      </c>
      <c r="C121" s="10">
        <f t="shared" si="0"/>
        <v>120</v>
      </c>
      <c r="D121" s="11" t="str" cm="1">
        <f t="array" aca="1" ref="D121" ca="1">INDIRECT(ADDRESS(ROW()-1,COLUMN()))</f>
        <v>screen_word</v>
      </c>
      <c r="E121" s="11" t="str" cm="1">
        <f t="array" aca="1" ref="E121" ca="1">INDIRECT(ADDRESS(ROW()-1,COLUMN()))</f>
        <v>画面文言</v>
      </c>
      <c r="F121" s="11" t="s">
        <v>117</v>
      </c>
      <c r="G121" s="11" t="s">
        <v>118</v>
      </c>
      <c r="H121" s="11" t="s">
        <v>515</v>
      </c>
      <c r="I121" s="11">
        <f>_xlfn.LET(
    _xlpm.可変bit数,--MID(H121,FIND("(",H121)+1,FIND(")",H121)-FIND("(",H121)-1),
    _xlfn.XLOOKUP(
        $H121,
        型とバイト数!$B$3:$B$54,
        型とバイト数!$E$3:$E$54,
        IF(LEFT($H121,7)="varchar",_xlpm.可変bit数*8,
            IF(LEFT($H121,4)="char",_xlpm.可変bit数*8,
                IF(LEFT($H121,3)="bit",_xlpm.可変bit数,"???")
            )
        )
    )
)</f>
        <v>64</v>
      </c>
      <c r="J121" s="11"/>
      <c r="K121" s="11"/>
      <c r="L121" s="9"/>
      <c r="M121" s="11" t="str">
        <f>_xlfn.SINGLE(IF(K121="","",IF(L121="","参照先未定義",_xlfn.XLOOKUP(L121,B:B,C:C,"エラー"))))</f>
        <v/>
      </c>
      <c r="N121" s="11" t="s">
        <v>51</v>
      </c>
      <c r="O121" s="11"/>
      <c r="P121" s="11" t="s">
        <v>112</v>
      </c>
      <c r="Q121" s="11"/>
      <c r="R121" s="9"/>
      <c r="S121" s="9"/>
      <c r="T121" s="9"/>
      <c r="U121" s="11"/>
    </row>
    <row r="122" spans="1:21" ht="18.75" customHeight="1">
      <c r="A122" s="9" t="s">
        <v>46</v>
      </c>
      <c r="B122" s="9" t="str">
        <f t="shared" ca="1" si="2"/>
        <v>screen_word.update_user</v>
      </c>
      <c r="C122" s="10">
        <f t="shared" si="0"/>
        <v>121</v>
      </c>
      <c r="D122" s="11" t="str" cm="1">
        <f t="array" aca="1" ref="D122" ca="1">INDIRECT(ADDRESS(ROW()-1,COLUMN()))</f>
        <v>screen_word</v>
      </c>
      <c r="E122" s="11" t="str" cm="1">
        <f t="array" aca="1" ref="E122" ca="1">INDIRECT(ADDRESS(ROW()-1,COLUMN()))</f>
        <v>画面文言</v>
      </c>
      <c r="F122" s="11" t="s">
        <v>119</v>
      </c>
      <c r="G122" s="11" t="s">
        <v>120</v>
      </c>
      <c r="H122" s="11" t="s">
        <v>71</v>
      </c>
      <c r="I122" s="11">
        <f>_xlfn.LET(
    _xlpm.可変bit数,--MID(H122,FIND("(",H122)+1,FIND(")",H122)-FIND("(",H122)-1),
    _xlfn.XLOOKUP(
        $H122,
        型とバイト数!$B$3:$B$54,
        型とバイト数!$E$3:$E$54,
        IF(LEFT($H122,7)="varchar",_xlpm.可変bit数*8,
            IF(LEFT($H122,4)="char",_xlpm.可変bit数*8,
                IF(LEFT($H122,3)="bit",_xlpm.可変bit数,"???")
            )
        )
    )
)</f>
        <v>256</v>
      </c>
      <c r="J122" s="11"/>
      <c r="K122" s="11"/>
      <c r="L122" s="9"/>
      <c r="M122" s="11" t="str">
        <f>_xlfn.SINGLE(IF(K122="","",IF(L122="","参照先未定義",_xlfn.XLOOKUP(L122,B:B,C:C,"エラー"))))</f>
        <v/>
      </c>
      <c r="N122" s="11" t="s">
        <v>51</v>
      </c>
      <c r="O122" s="11"/>
      <c r="P122" s="11" t="s">
        <v>115</v>
      </c>
      <c r="Q122" s="11"/>
      <c r="R122" s="9"/>
      <c r="S122" s="9"/>
      <c r="T122" s="9"/>
      <c r="U122" s="11" t="s">
        <v>116</v>
      </c>
    </row>
    <row r="123" spans="1:21" ht="18.75" customHeight="1">
      <c r="A123" s="9" t="s">
        <v>46</v>
      </c>
      <c r="B123" s="9" t="str">
        <f t="shared" ca="1" si="2"/>
        <v>screen_word.soft_delete_flag</v>
      </c>
      <c r="C123" s="10">
        <f t="shared" si="0"/>
        <v>122</v>
      </c>
      <c r="D123" s="11" t="str" cm="1">
        <f t="array" aca="1" ref="D123" ca="1">INDIRECT(ADDRESS(ROW()-1,COLUMN()))</f>
        <v>screen_word</v>
      </c>
      <c r="E123" s="11" t="str" cm="1">
        <f t="array" aca="1" ref="E123" ca="1">INDIRECT(ADDRESS(ROW()-1,COLUMN()))</f>
        <v>画面文言</v>
      </c>
      <c r="F123" s="11" t="s">
        <v>121</v>
      </c>
      <c r="G123" s="11" t="s">
        <v>122</v>
      </c>
      <c r="H123" s="11" t="s">
        <v>517</v>
      </c>
      <c r="I123" s="11">
        <f>_xlfn.LET(
    _xlpm.可変bit数,--MID(H123,FIND("(",H123)+1,FIND(")",H123)-FIND("(",H123)-1),
    _xlfn.XLOOKUP(
        $H123,
        型とバイト数!$B$3:$B$54,
        型とバイト数!$E$3:$E$54,
        IF(LEFT($H123,7)="varchar",_xlpm.可変bit数*8,
            IF(LEFT($H123,4)="char",_xlpm.可変bit数*8,
                IF(LEFT($H123,3)="bit",_xlpm.可変bit数,"???")
            )
        )
    )
)</f>
        <v>8</v>
      </c>
      <c r="J123" s="11"/>
      <c r="K123" s="11"/>
      <c r="L123" s="9"/>
      <c r="M123" s="11" t="str">
        <f>_xlfn.SINGLE(IF(K123="","",IF(L123="","参照先未定義",_xlfn.XLOOKUP(L123,B:B,C:C,"エラー"))))</f>
        <v/>
      </c>
      <c r="N123" s="11" t="s">
        <v>51</v>
      </c>
      <c r="O123" s="11"/>
      <c r="P123" s="11">
        <v>0</v>
      </c>
      <c r="Q123" s="11"/>
      <c r="R123" s="9"/>
      <c r="S123" s="9"/>
      <c r="T123" s="9"/>
      <c r="U123" s="11"/>
    </row>
    <row r="124" spans="1:21" ht="18.75" customHeight="1">
      <c r="A124" s="9" t="s">
        <v>46</v>
      </c>
      <c r="B124" s="9" t="str">
        <f t="shared" si="2"/>
        <v>sns_support.sns_support_uuid</v>
      </c>
      <c r="C124" s="10">
        <f t="shared" si="0"/>
        <v>123</v>
      </c>
      <c r="D124" s="11" t="s">
        <v>213</v>
      </c>
      <c r="E124" s="11" t="s">
        <v>214</v>
      </c>
      <c r="F124" s="11" t="str">
        <f>D124&amp;"_uuid"</f>
        <v>sns_support_uuid</v>
      </c>
      <c r="G124" s="11" t="s">
        <v>50</v>
      </c>
      <c r="H124" s="11" t="s">
        <v>49</v>
      </c>
      <c r="I124" s="11">
        <f>_xlfn.LET(
    _xlpm.可変bit数,--MID(H124,FIND("(",H124)+1,FIND(")",H124)-FIND("(",H124)-1),
    _xlfn.XLOOKUP(
        $H124,
        型とバイト数!$B$3:$B$54,
        型とバイト数!$E$3:$E$54,
        IF(LEFT($H124,7)="varchar",_xlpm.可変bit数*8,
            IF(LEFT($H124,4)="char",_xlpm.可変bit数*8,
                IF(LEFT($H124,3)="bit",_xlpm.可変bit数,"???")
            )
        )
    )
)</f>
        <v>128</v>
      </c>
      <c r="J124" s="11" t="s">
        <v>488</v>
      </c>
      <c r="K124" s="11"/>
      <c r="L124" s="9"/>
      <c r="M124" s="11" t="str">
        <f>_xlfn.SINGLE(IF(K124="","",IF(L124="","参照先未定義",_xlfn.XLOOKUP(L124,B:B,C:C,"エラー"))))</f>
        <v/>
      </c>
      <c r="N124" s="11" t="s">
        <v>499</v>
      </c>
      <c r="O124" s="11" t="s">
        <v>499</v>
      </c>
      <c r="P124" s="11" t="s">
        <v>52</v>
      </c>
      <c r="Q124" s="11"/>
      <c r="R124" s="9"/>
      <c r="S124" s="9"/>
      <c r="T124" s="9"/>
      <c r="U124" s="11"/>
    </row>
    <row r="125" spans="1:21" ht="18.75" customHeight="1">
      <c r="A125" s="9" t="s">
        <v>46</v>
      </c>
      <c r="B125" s="9" t="str">
        <f t="shared" ca="1" si="2"/>
        <v>sns_support.sns_name_physical_name</v>
      </c>
      <c r="C125" s="10">
        <f t="shared" si="0"/>
        <v>124</v>
      </c>
      <c r="D125" s="11" t="str" cm="1">
        <f t="array" aca="1" ref="D125" ca="1">INDIRECT(ADDRESS(ROW()-1,COLUMN()))</f>
        <v>sns_support</v>
      </c>
      <c r="E125" s="11" t="str" cm="1">
        <f t="array" aca="1" ref="E125" ca="1">INDIRECT(ADDRESS(ROW()-1,COLUMN()))</f>
        <v>サポートするSNS</v>
      </c>
      <c r="F125" s="11" t="s">
        <v>215</v>
      </c>
      <c r="G125" s="11" t="s">
        <v>216</v>
      </c>
      <c r="H125" s="11" t="s">
        <v>147</v>
      </c>
      <c r="I125" s="11">
        <f>_xlfn.LET(
    _xlpm.可変bit数,--MID(H125,FIND("(",H125)+1,FIND(")",H125)-FIND("(",H125)-1),
    _xlfn.XLOOKUP(
        $H125,
        型とバイト数!$B$3:$B$54,
        型とバイト数!$E$3:$E$54,
        IF(LEFT($H125,7)="varchar",_xlpm.可変bit数*8,
            IF(LEFT($H125,4)="char",_xlpm.可変bit数*8,
                IF(LEFT($H125,3)="bit",_xlpm.可変bit数,"???")
            )
        )
    )
)</f>
        <v>72</v>
      </c>
      <c r="J125" s="11"/>
      <c r="K125" s="11"/>
      <c r="L125" s="9"/>
      <c r="M125" s="11" t="str">
        <f>_xlfn.SINGLE(IF(K125="","",IF(L125="","参照先未定義",_xlfn.XLOOKUP(L125,B:B,C:C,"エラー"))))</f>
        <v/>
      </c>
      <c r="N125" s="11" t="s">
        <v>488</v>
      </c>
      <c r="O125" s="11" t="s">
        <v>488</v>
      </c>
      <c r="P125" s="11"/>
      <c r="Q125" s="11"/>
      <c r="R125" s="9"/>
      <c r="S125" s="9"/>
      <c r="T125" s="9"/>
      <c r="U125" s="11"/>
    </row>
    <row r="126" spans="1:21" ht="18.75" customHeight="1">
      <c r="A126" s="9" t="s">
        <v>46</v>
      </c>
      <c r="B126" s="9" t="str">
        <f t="shared" ca="1" si="2"/>
        <v>sns_support.sns_name_logical_name</v>
      </c>
      <c r="C126" s="10">
        <f t="shared" si="0"/>
        <v>125</v>
      </c>
      <c r="D126" s="11" t="str" cm="1">
        <f t="array" aca="1" ref="D126" ca="1">INDIRECT(ADDRESS(ROW()-1,COLUMN()))</f>
        <v>sns_support</v>
      </c>
      <c r="E126" s="11" t="str" cm="1">
        <f t="array" aca="1" ref="E126" ca="1">INDIRECT(ADDRESS(ROW()-1,COLUMN()))</f>
        <v>サポートするSNS</v>
      </c>
      <c r="F126" s="11" t="s">
        <v>217</v>
      </c>
      <c r="G126" s="11" t="s">
        <v>218</v>
      </c>
      <c r="H126" s="11" t="s">
        <v>219</v>
      </c>
      <c r="I126" s="11">
        <f>_xlfn.LET(
    _xlpm.可変bit数,--MID(H126,FIND("(",H126)+1,FIND(")",H126)-FIND("(",H126)-1),
    _xlfn.XLOOKUP(
        $H126,
        型とバイト数!$B$3:$B$54,
        型とバイト数!$E$3:$E$54,
        IF(LEFT($H126,7)="varchar",_xlpm.可変bit数*8,
            IF(LEFT($H126,4)="char",_xlpm.可変bit数*8,
                IF(LEFT($H126,3)="bit",_xlpm.可変bit数,"???")
            )
        )
    )
)</f>
        <v>112</v>
      </c>
      <c r="J126" s="11"/>
      <c r="K126" s="11"/>
      <c r="L126" s="9"/>
      <c r="M126" s="11" t="str">
        <f>_xlfn.SINGLE(IF(K126="","",IF(L126="","参照先未定義",_xlfn.XLOOKUP(L126,B:B,C:C,"エラー"))))</f>
        <v/>
      </c>
      <c r="N126" s="11"/>
      <c r="O126" s="11"/>
      <c r="P126" s="11"/>
      <c r="Q126" s="11"/>
      <c r="R126" s="9"/>
      <c r="S126" s="9"/>
      <c r="T126" s="9"/>
      <c r="U126" s="11" t="s">
        <v>220</v>
      </c>
    </row>
    <row r="127" spans="1:21" ht="18.75" customHeight="1">
      <c r="A127" s="9" t="s">
        <v>46</v>
      </c>
      <c r="B127" s="9" t="str">
        <f t="shared" ca="1" si="2"/>
        <v>sns_support.image_id</v>
      </c>
      <c r="C127" s="10">
        <f t="shared" si="0"/>
        <v>126</v>
      </c>
      <c r="D127" s="11" t="str" cm="1">
        <f t="array" aca="1" ref="D127" ca="1">INDIRECT(ADDRESS(ROW()-1,COLUMN()))</f>
        <v>sns_support</v>
      </c>
      <c r="E127" s="11" t="str" cm="1">
        <f t="array" aca="1" ref="E127" ca="1">INDIRECT(ADDRESS(ROW()-1,COLUMN()))</f>
        <v>サポートするSNS</v>
      </c>
      <c r="F127" s="11" t="s">
        <v>221</v>
      </c>
      <c r="G127" s="11" t="s">
        <v>222</v>
      </c>
      <c r="H127" s="11" t="s">
        <v>49</v>
      </c>
      <c r="I127" s="11">
        <f>_xlfn.LET(
    _xlpm.可変bit数,--MID(H127,FIND("(",H127)+1,FIND(")",H127)-FIND("(",H127)-1),
    _xlfn.XLOOKUP(
        $H127,
        型とバイト数!$B$3:$B$54,
        型とバイト数!$E$3:$E$54,
        IF(LEFT($H127,7)="varchar",_xlpm.可変bit数*8,
            IF(LEFT($H127,4)="char",_xlpm.可変bit数*8,
                IF(LEFT($H127,3)="bit",_xlpm.可変bit数,"???")
            )
        )
    )
)</f>
        <v>128</v>
      </c>
      <c r="J127" s="11"/>
      <c r="K127" s="11" t="s">
        <v>51</v>
      </c>
      <c r="L127" s="9" t="s">
        <v>529</v>
      </c>
      <c r="M127" s="11">
        <f ca="1">_xlfn.SINGLE(IF(K127="","",IF(L127="","参照先未定義",_xlfn.XLOOKUP(L127,B:B,C:C,"エラー"))))</f>
        <v>199</v>
      </c>
      <c r="N127" s="11" t="s">
        <v>51</v>
      </c>
      <c r="O127" s="11"/>
      <c r="P127" s="11"/>
      <c r="Q127" s="11" t="s">
        <v>146</v>
      </c>
      <c r="R127" s="9"/>
      <c r="S127" s="9"/>
      <c r="T127" s="9"/>
      <c r="U127" s="11" t="s">
        <v>223</v>
      </c>
    </row>
    <row r="128" spans="1:21" ht="18.75" customHeight="1">
      <c r="A128" s="9" t="s">
        <v>46</v>
      </c>
      <c r="B128" s="9" t="str">
        <f t="shared" ca="1" si="2"/>
        <v>sns_support.use_login_service</v>
      </c>
      <c r="C128" s="10">
        <f t="shared" si="0"/>
        <v>127</v>
      </c>
      <c r="D128" s="11" t="str" cm="1">
        <f t="array" aca="1" ref="D128" ca="1">INDIRECT(ADDRESS(ROW()-1,COLUMN()))</f>
        <v>sns_support</v>
      </c>
      <c r="E128" s="11" t="str" cm="1">
        <f t="array" aca="1" ref="E128" ca="1">INDIRECT(ADDRESS(ROW()-1,COLUMN()))</f>
        <v>サポートするSNS</v>
      </c>
      <c r="F128" s="11" t="s">
        <v>224</v>
      </c>
      <c r="G128" s="11" t="s">
        <v>225</v>
      </c>
      <c r="H128" s="11" t="s">
        <v>517</v>
      </c>
      <c r="I128" s="11">
        <f>_xlfn.LET(
    _xlpm.可変bit数,--MID(H128,FIND("(",H128)+1,FIND(")",H128)-FIND("(",H128)-1),
    _xlfn.XLOOKUP(
        $H128,
        型とバイト数!$B$3:$B$54,
        型とバイト数!$E$3:$E$54,
        IF(LEFT($H128,7)="varchar",_xlpm.可変bit数*8,
            IF(LEFT($H128,4)="char",_xlpm.可変bit数*8,
                IF(LEFT($H128,3)="bit",_xlpm.可変bit数,"???")
            )
        )
    )
)</f>
        <v>8</v>
      </c>
      <c r="J128" s="11"/>
      <c r="K128" s="11"/>
      <c r="L128" s="9"/>
      <c r="M128" s="11" t="str">
        <f>_xlfn.SINGLE(IF(K128="","",IF(L128="","参照先未定義",_xlfn.XLOOKUP(L128,B:B,C:C,"エラー"))))</f>
        <v/>
      </c>
      <c r="N128" s="11" t="s">
        <v>51</v>
      </c>
      <c r="O128" s="11"/>
      <c r="P128" s="11">
        <v>1</v>
      </c>
      <c r="Q128" s="11"/>
      <c r="R128" s="9"/>
      <c r="S128" s="9"/>
      <c r="T128" s="9"/>
      <c r="U128" s="11"/>
    </row>
    <row r="129" spans="1:21" ht="18.75" customHeight="1">
      <c r="A129" s="9" t="s">
        <v>46</v>
      </c>
      <c r="B129" s="9" t="str">
        <f t="shared" ref="B129:B188" ca="1" si="3">D129&amp;"."&amp;F129</f>
        <v>sns_support.use_sns_link</v>
      </c>
      <c r="C129" s="10">
        <f t="shared" si="0"/>
        <v>128</v>
      </c>
      <c r="D129" s="11" t="str" cm="1">
        <f t="array" aca="1" ref="D129" ca="1">INDIRECT(ADDRESS(ROW()-1,COLUMN()))</f>
        <v>sns_support</v>
      </c>
      <c r="E129" s="11" t="str" cm="1">
        <f t="array" aca="1" ref="E129" ca="1">INDIRECT(ADDRESS(ROW()-1,COLUMN()))</f>
        <v>サポートするSNS</v>
      </c>
      <c r="F129" s="11" t="s">
        <v>226</v>
      </c>
      <c r="G129" s="11" t="s">
        <v>227</v>
      </c>
      <c r="H129" s="11" t="s">
        <v>517</v>
      </c>
      <c r="I129" s="11">
        <f>_xlfn.LET(
    _xlpm.可変bit数,--MID(H129,FIND("(",H129)+1,FIND(")",H129)-FIND("(",H129)-1),
    _xlfn.XLOOKUP(
        $H129,
        型とバイト数!$B$3:$B$54,
        型とバイト数!$E$3:$E$54,
        IF(LEFT($H129,7)="varchar",_xlpm.可変bit数*8,
            IF(LEFT($H129,4)="char",_xlpm.可変bit数*8,
                IF(LEFT($H129,3)="bit",_xlpm.可変bit数,"???")
            )
        )
    )
)</f>
        <v>8</v>
      </c>
      <c r="J129" s="11"/>
      <c r="K129" s="11"/>
      <c r="L129" s="9"/>
      <c r="M129" s="11" t="str">
        <f>_xlfn.SINGLE(IF(K129="","",IF(L129="","参照先未定義",_xlfn.XLOOKUP(L129,B:B,C:C,"エラー"))))</f>
        <v/>
      </c>
      <c r="N129" s="11" t="s">
        <v>51</v>
      </c>
      <c r="O129" s="11"/>
      <c r="P129" s="11">
        <v>1</v>
      </c>
      <c r="Q129" s="11"/>
      <c r="R129" s="9"/>
      <c r="S129" s="9"/>
      <c r="T129" s="9"/>
      <c r="U129" s="11"/>
    </row>
    <row r="130" spans="1:21" ht="18.75" customHeight="1">
      <c r="A130" s="9" t="s">
        <v>46</v>
      </c>
      <c r="B130" s="9" t="str">
        <f t="shared" ca="1" si="3"/>
        <v>sns_support.create_datetime</v>
      </c>
      <c r="C130" s="10">
        <f t="shared" si="0"/>
        <v>129</v>
      </c>
      <c r="D130" s="11" t="str" cm="1">
        <f t="array" aca="1" ref="D130" ca="1">INDIRECT(ADDRESS(ROW()-1,COLUMN()))</f>
        <v>sns_support</v>
      </c>
      <c r="E130" s="11" t="str" cm="1">
        <f t="array" aca="1" ref="E130" ca="1">INDIRECT(ADDRESS(ROW()-1,COLUMN()))</f>
        <v>サポートするSNS</v>
      </c>
      <c r="F130" s="11" t="s">
        <v>110</v>
      </c>
      <c r="G130" s="11" t="s">
        <v>111</v>
      </c>
      <c r="H130" s="11" t="s">
        <v>515</v>
      </c>
      <c r="I130" s="11">
        <f>_xlfn.LET(
    _xlpm.可変bit数,--MID(H130,FIND("(",H130)+1,FIND(")",H130)-FIND("(",H130)-1),
    _xlfn.XLOOKUP(
        $H130,
        型とバイト数!$B$3:$B$54,
        型とバイト数!$E$3:$E$54,
        IF(LEFT($H130,7)="varchar",_xlpm.可変bit数*8,
            IF(LEFT($H130,4)="char",_xlpm.可変bit数*8,
                IF(LEFT($H130,3)="bit",_xlpm.可変bit数,"???")
            )
        )
    )
)</f>
        <v>64</v>
      </c>
      <c r="J130" s="11"/>
      <c r="K130" s="11"/>
      <c r="L130" s="9"/>
      <c r="M130" s="11" t="str">
        <f>_xlfn.SINGLE(IF(K130="","",IF(L130="","参照先未定義",_xlfn.XLOOKUP(L130,B:B,C:C,"エラー"))))</f>
        <v/>
      </c>
      <c r="N130" s="11" t="s">
        <v>51</v>
      </c>
      <c r="O130" s="11"/>
      <c r="P130" s="11" t="s">
        <v>112</v>
      </c>
      <c r="Q130" s="11"/>
      <c r="R130" s="9"/>
      <c r="S130" s="9"/>
      <c r="T130" s="9"/>
      <c r="U130" s="11"/>
    </row>
    <row r="131" spans="1:21" ht="18.75" customHeight="1">
      <c r="A131" s="9" t="s">
        <v>46</v>
      </c>
      <c r="B131" s="9" t="str">
        <f t="shared" ca="1" si="3"/>
        <v>sns_support.create_user</v>
      </c>
      <c r="C131" s="10">
        <f t="shared" si="0"/>
        <v>130</v>
      </c>
      <c r="D131" s="11" t="str" cm="1">
        <f t="array" aca="1" ref="D131" ca="1">INDIRECT(ADDRESS(ROW()-1,COLUMN()))</f>
        <v>sns_support</v>
      </c>
      <c r="E131" s="11" t="str" cm="1">
        <f t="array" aca="1" ref="E131" ca="1">INDIRECT(ADDRESS(ROW()-1,COLUMN()))</f>
        <v>サポートするSNS</v>
      </c>
      <c r="F131" s="11" t="s">
        <v>113</v>
      </c>
      <c r="G131" s="11" t="s">
        <v>114</v>
      </c>
      <c r="H131" s="11" t="s">
        <v>71</v>
      </c>
      <c r="I131" s="11">
        <f>_xlfn.LET(
    _xlpm.可変bit数,--MID(H131,FIND("(",H131)+1,FIND(")",H131)-FIND("(",H131)-1),
    _xlfn.XLOOKUP(
        $H131,
        型とバイト数!$B$3:$B$54,
        型とバイト数!$E$3:$E$54,
        IF(LEFT($H131,7)="varchar",_xlpm.可変bit数*8,
            IF(LEFT($H131,4)="char",_xlpm.可変bit数*8,
                IF(LEFT($H131,3)="bit",_xlpm.可変bit数,"???")
            )
        )
    )
)</f>
        <v>256</v>
      </c>
      <c r="J131" s="11"/>
      <c r="K131" s="11"/>
      <c r="L131" s="9"/>
      <c r="M131" s="11" t="str">
        <f>_xlfn.SINGLE(IF(K131="","",IF(L131="","参照先未定義",_xlfn.XLOOKUP(L131,B:B,C:C,"エラー"))))</f>
        <v/>
      </c>
      <c r="N131" s="11" t="s">
        <v>51</v>
      </c>
      <c r="O131" s="11"/>
      <c r="P131" s="11" t="s">
        <v>115</v>
      </c>
      <c r="Q131" s="11"/>
      <c r="R131" s="9"/>
      <c r="S131" s="9"/>
      <c r="T131" s="9"/>
      <c r="U131" s="11" t="s">
        <v>116</v>
      </c>
    </row>
    <row r="132" spans="1:21" ht="18.75" customHeight="1">
      <c r="A132" s="9" t="s">
        <v>46</v>
      </c>
      <c r="B132" s="9" t="str">
        <f t="shared" ca="1" si="3"/>
        <v>sns_support.update_datetime</v>
      </c>
      <c r="C132" s="10">
        <f t="shared" si="0"/>
        <v>131</v>
      </c>
      <c r="D132" s="11" t="str" cm="1">
        <f t="array" aca="1" ref="D132" ca="1">INDIRECT(ADDRESS(ROW()-1,COLUMN()))</f>
        <v>sns_support</v>
      </c>
      <c r="E132" s="11" t="str" cm="1">
        <f t="array" aca="1" ref="E132" ca="1">INDIRECT(ADDRESS(ROW()-1,COLUMN()))</f>
        <v>サポートするSNS</v>
      </c>
      <c r="F132" s="11" t="s">
        <v>117</v>
      </c>
      <c r="G132" s="11" t="s">
        <v>118</v>
      </c>
      <c r="H132" s="11" t="s">
        <v>515</v>
      </c>
      <c r="I132" s="11">
        <f>_xlfn.LET(
    _xlpm.可変bit数,--MID(H132,FIND("(",H132)+1,FIND(")",H132)-FIND("(",H132)-1),
    _xlfn.XLOOKUP(
        $H132,
        型とバイト数!$B$3:$B$54,
        型とバイト数!$E$3:$E$54,
        IF(LEFT($H132,7)="varchar",_xlpm.可変bit数*8,
            IF(LEFT($H132,4)="char",_xlpm.可変bit数*8,
                IF(LEFT($H132,3)="bit",_xlpm.可変bit数,"???")
            )
        )
    )
)</f>
        <v>64</v>
      </c>
      <c r="J132" s="11"/>
      <c r="K132" s="11"/>
      <c r="L132" s="9"/>
      <c r="M132" s="11" t="str">
        <f>_xlfn.SINGLE(IF(K132="","",IF(L132="","参照先未定義",_xlfn.XLOOKUP(L132,B:B,C:C,"エラー"))))</f>
        <v/>
      </c>
      <c r="N132" s="11" t="s">
        <v>51</v>
      </c>
      <c r="O132" s="11"/>
      <c r="P132" s="11" t="s">
        <v>112</v>
      </c>
      <c r="Q132" s="11"/>
      <c r="R132" s="9"/>
      <c r="S132" s="9"/>
      <c r="T132" s="9"/>
      <c r="U132" s="11"/>
    </row>
    <row r="133" spans="1:21" ht="18.75" customHeight="1">
      <c r="A133" s="9" t="s">
        <v>46</v>
      </c>
      <c r="B133" s="9" t="str">
        <f t="shared" ca="1" si="3"/>
        <v>sns_support.update_user</v>
      </c>
      <c r="C133" s="10">
        <f t="shared" si="0"/>
        <v>132</v>
      </c>
      <c r="D133" s="11" t="str" cm="1">
        <f t="array" aca="1" ref="D133" ca="1">INDIRECT(ADDRESS(ROW()-1,COLUMN()))</f>
        <v>sns_support</v>
      </c>
      <c r="E133" s="11" t="str" cm="1">
        <f t="array" aca="1" ref="E133" ca="1">INDIRECT(ADDRESS(ROW()-1,COLUMN()))</f>
        <v>サポートするSNS</v>
      </c>
      <c r="F133" s="11" t="s">
        <v>119</v>
      </c>
      <c r="G133" s="11" t="s">
        <v>120</v>
      </c>
      <c r="H133" s="11" t="s">
        <v>71</v>
      </c>
      <c r="I133" s="11">
        <f>_xlfn.LET(
    _xlpm.可変bit数,--MID(H133,FIND("(",H133)+1,FIND(")",H133)-FIND("(",H133)-1),
    _xlfn.XLOOKUP(
        $H133,
        型とバイト数!$B$3:$B$54,
        型とバイト数!$E$3:$E$54,
        IF(LEFT($H133,7)="varchar",_xlpm.可変bit数*8,
            IF(LEFT($H133,4)="char",_xlpm.可変bit数*8,
                IF(LEFT($H133,3)="bit",_xlpm.可変bit数,"???")
            )
        )
    )
)</f>
        <v>256</v>
      </c>
      <c r="J133" s="11"/>
      <c r="K133" s="11"/>
      <c r="L133" s="9"/>
      <c r="M133" s="11" t="str">
        <f>_xlfn.SINGLE(IF(K133="","",IF(L133="","参照先未定義",_xlfn.XLOOKUP(L133,B:B,C:C,"エラー"))))</f>
        <v/>
      </c>
      <c r="N133" s="11" t="s">
        <v>51</v>
      </c>
      <c r="O133" s="11"/>
      <c r="P133" s="11" t="s">
        <v>115</v>
      </c>
      <c r="Q133" s="11"/>
      <c r="R133" s="9"/>
      <c r="S133" s="9"/>
      <c r="T133" s="9"/>
      <c r="U133" s="11" t="s">
        <v>116</v>
      </c>
    </row>
    <row r="134" spans="1:21" ht="18.75" customHeight="1">
      <c r="A134" s="9" t="s">
        <v>46</v>
      </c>
      <c r="B134" s="9" t="str">
        <f t="shared" ca="1" si="3"/>
        <v>sns_support.soft_delete_flag</v>
      </c>
      <c r="C134" s="10">
        <f t="shared" si="0"/>
        <v>133</v>
      </c>
      <c r="D134" s="11" t="str" cm="1">
        <f t="array" aca="1" ref="D134" ca="1">INDIRECT(ADDRESS(ROW()-1,COLUMN()))</f>
        <v>sns_support</v>
      </c>
      <c r="E134" s="11" t="str" cm="1">
        <f t="array" aca="1" ref="E134" ca="1">INDIRECT(ADDRESS(ROW()-1,COLUMN()))</f>
        <v>サポートするSNS</v>
      </c>
      <c r="F134" s="11" t="s">
        <v>121</v>
      </c>
      <c r="G134" s="11" t="s">
        <v>122</v>
      </c>
      <c r="H134" s="11" t="s">
        <v>517</v>
      </c>
      <c r="I134" s="11">
        <f>_xlfn.LET(
    _xlpm.可変bit数,--MID(H134,FIND("(",H134)+1,FIND(")",H134)-FIND("(",H134)-1),
    _xlfn.XLOOKUP(
        $H134,
        型とバイト数!$B$3:$B$54,
        型とバイト数!$E$3:$E$54,
        IF(LEFT($H134,7)="varchar",_xlpm.可変bit数*8,
            IF(LEFT($H134,4)="char",_xlpm.可変bit数*8,
                IF(LEFT($H134,3)="bit",_xlpm.可変bit数,"???")
            )
        )
    )
)</f>
        <v>8</v>
      </c>
      <c r="J134" s="11"/>
      <c r="K134" s="11"/>
      <c r="L134" s="9"/>
      <c r="M134" s="11" t="str">
        <f>_xlfn.SINGLE(IF(K134="","",IF(L134="","参照先未定義",_xlfn.XLOOKUP(L134,B:B,C:C,"エラー"))))</f>
        <v/>
      </c>
      <c r="N134" s="11" t="s">
        <v>51</v>
      </c>
      <c r="O134" s="11"/>
      <c r="P134" s="11">
        <v>0</v>
      </c>
      <c r="Q134" s="11"/>
      <c r="R134" s="9"/>
      <c r="S134" s="9"/>
      <c r="T134" s="9"/>
      <c r="U134" s="11"/>
    </row>
    <row r="135" spans="1:21" ht="18.75" customHeight="1">
      <c r="A135" s="9" t="s">
        <v>46</v>
      </c>
      <c r="B135" s="9" t="str">
        <f t="shared" si="3"/>
        <v>profile_report.profile_report_uuid</v>
      </c>
      <c r="C135" s="10">
        <f t="shared" si="0"/>
        <v>134</v>
      </c>
      <c r="D135" s="11" t="s">
        <v>228</v>
      </c>
      <c r="E135" s="11" t="s">
        <v>229</v>
      </c>
      <c r="F135" s="11" t="str">
        <f>D135&amp;"_uuid"</f>
        <v>profile_report_uuid</v>
      </c>
      <c r="G135" s="11" t="s">
        <v>50</v>
      </c>
      <c r="H135" s="11" t="s">
        <v>49</v>
      </c>
      <c r="I135" s="11">
        <f>_xlfn.LET(
    _xlpm.可変bit数,--MID(H135,FIND("(",H135)+1,FIND(")",H135)-FIND("(",H135)-1),
    _xlfn.XLOOKUP(
        $H135,
        型とバイト数!$B$3:$B$54,
        型とバイト数!$E$3:$E$54,
        IF(LEFT($H135,7)="varchar",_xlpm.可変bit数*8,
            IF(LEFT($H135,4)="char",_xlpm.可変bit数*8,
                IF(LEFT($H135,3)="bit",_xlpm.可変bit数,"???")
            )
        )
    )
)</f>
        <v>128</v>
      </c>
      <c r="J135" s="11" t="s">
        <v>488</v>
      </c>
      <c r="K135" s="11"/>
      <c r="L135" s="9"/>
      <c r="M135" s="11" t="str">
        <f>_xlfn.SINGLE(IF(K135="","",IF(L135="","参照先未定義",_xlfn.XLOOKUP(L135,B:B,C:C,"エラー"))))</f>
        <v/>
      </c>
      <c r="N135" s="11" t="s">
        <v>499</v>
      </c>
      <c r="O135" s="11" t="s">
        <v>499</v>
      </c>
      <c r="P135" s="11" t="s">
        <v>52</v>
      </c>
      <c r="Q135" s="11"/>
      <c r="R135" s="9"/>
      <c r="S135" s="9"/>
      <c r="T135" s="9"/>
      <c r="U135" s="11"/>
    </row>
    <row r="136" spans="1:21" ht="18.75" customHeight="1">
      <c r="A136" s="9" t="s">
        <v>46</v>
      </c>
      <c r="B136" s="9" t="str">
        <f t="shared" ca="1" si="3"/>
        <v>profile_report.user_id</v>
      </c>
      <c r="C136" s="10">
        <f t="shared" si="0"/>
        <v>135</v>
      </c>
      <c r="D136" s="11" t="str" cm="1">
        <f t="array" aca="1" ref="D136" ca="1">INDIRECT(ADDRESS(ROW()-1,COLUMN()))</f>
        <v>profile_report</v>
      </c>
      <c r="E136" s="11" t="str" cm="1">
        <f t="array" aca="1" ref="E136" ca="1">INDIRECT(ADDRESS(ROW()-1,COLUMN()))</f>
        <v>プロフィール通報</v>
      </c>
      <c r="F136" s="11" t="s">
        <v>58</v>
      </c>
      <c r="G136" s="11" t="s">
        <v>59</v>
      </c>
      <c r="H136" s="11" t="s">
        <v>49</v>
      </c>
      <c r="I136" s="11">
        <f>_xlfn.LET(
    _xlpm.可変bit数,--MID(H136,FIND("(",H136)+1,FIND(")",H136)-FIND("(",H136)-1),
    _xlfn.XLOOKUP(
        $H136,
        型とバイト数!$B$3:$B$54,
        型とバイト数!$E$3:$E$54,
        IF(LEFT($H136,7)="varchar",_xlpm.可変bit数*8,
            IF(LEFT($H136,4)="char",_xlpm.可変bit数*8,
                IF(LEFT($H136,3)="bit",_xlpm.可変bit数,"???")
            )
        )
    )
)</f>
        <v>128</v>
      </c>
      <c r="J136" s="11"/>
      <c r="K136" s="11" t="s">
        <v>51</v>
      </c>
      <c r="L136" s="9" t="s">
        <v>519</v>
      </c>
      <c r="M136" s="11">
        <f ca="1">_xlfn.SINGLE(IF(K136="","",IF(L136="","参照先未定義",_xlfn.XLOOKUP(L136,B:B,C:C,"エラー"))))</f>
        <v>153</v>
      </c>
      <c r="N136" s="11"/>
      <c r="O136" s="11"/>
      <c r="P136" s="11"/>
      <c r="Q136" s="11"/>
      <c r="R136" s="9"/>
      <c r="S136" s="9"/>
      <c r="T136" s="9"/>
      <c r="U136" s="11"/>
    </row>
    <row r="137" spans="1:21" ht="18.75" customHeight="1">
      <c r="A137" s="9" t="s">
        <v>46</v>
      </c>
      <c r="B137" s="9" t="str">
        <f t="shared" ca="1" si="3"/>
        <v>profile_report.vtuber_profiles_id</v>
      </c>
      <c r="C137" s="10">
        <f t="shared" si="0"/>
        <v>136</v>
      </c>
      <c r="D137" s="11" t="str" cm="1">
        <f t="array" aca="1" ref="D137" ca="1">INDIRECT(ADDRESS(ROW()-1,COLUMN()))</f>
        <v>profile_report</v>
      </c>
      <c r="E137" s="11" t="str" cm="1">
        <f t="array" aca="1" ref="E137" ca="1">INDIRECT(ADDRESS(ROW()-1,COLUMN()))</f>
        <v>プロフィール通報</v>
      </c>
      <c r="F137" s="11" t="s">
        <v>53</v>
      </c>
      <c r="G137" s="11" t="s">
        <v>54</v>
      </c>
      <c r="H137" s="11" t="s">
        <v>49</v>
      </c>
      <c r="I137" s="11">
        <f>_xlfn.LET(
    _xlpm.可変bit数,--MID(H137,FIND("(",H137)+1,FIND(")",H137)-FIND("(",H137)-1),
    _xlfn.XLOOKUP(
        $H137,
        型とバイト数!$B$3:$B$54,
        型とバイト数!$E$3:$E$54,
        IF(LEFT($H137,7)="varchar",_xlpm.可変bit数*8,
            IF(LEFT($H137,4)="char",_xlpm.可変bit数*8,
                IF(LEFT($H137,3)="bit",_xlpm.可変bit数,"???")
            )
        )
    )
)</f>
        <v>128</v>
      </c>
      <c r="J137" s="11"/>
      <c r="K137" s="11" t="s">
        <v>51</v>
      </c>
      <c r="L137" s="9" t="s">
        <v>522</v>
      </c>
      <c r="M137" s="11">
        <f>_xlfn.SINGLE(IF(K137="","",IF(L137="","参照先未定義",_xlfn.XLOOKUP(L137,B:B,C:C,"エラー"))))</f>
        <v>1</v>
      </c>
      <c r="N137" s="11" t="s">
        <v>51</v>
      </c>
      <c r="O137" s="11"/>
      <c r="P137" s="11"/>
      <c r="Q137" s="11"/>
      <c r="R137" s="9"/>
      <c r="S137" s="9"/>
      <c r="T137" s="9"/>
      <c r="U137" s="11"/>
    </row>
    <row r="138" spans="1:21" ht="18.75" customHeight="1">
      <c r="A138" s="9" t="s">
        <v>46</v>
      </c>
      <c r="B138" s="9" t="str">
        <f t="shared" ca="1" si="3"/>
        <v>profile_report.report_reason_physical_name</v>
      </c>
      <c r="C138" s="10">
        <f t="shared" si="0"/>
        <v>137</v>
      </c>
      <c r="D138" s="11" t="str" cm="1">
        <f t="array" aca="1" ref="D138" ca="1">INDIRECT(ADDRESS(ROW()-1,COLUMN()))</f>
        <v>profile_report</v>
      </c>
      <c r="E138" s="11" t="str" cm="1">
        <f t="array" aca="1" ref="E138" ca="1">INDIRECT(ADDRESS(ROW()-1,COLUMN()))</f>
        <v>プロフィール通報</v>
      </c>
      <c r="F138" s="11" t="s">
        <v>230</v>
      </c>
      <c r="G138" s="11" t="s">
        <v>231</v>
      </c>
      <c r="H138" s="11" t="s">
        <v>49</v>
      </c>
      <c r="I138" s="11">
        <f>_xlfn.LET(
    _xlpm.可変bit数,--MID(H138,FIND("(",H138)+1,FIND(")",H138)-FIND("(",H138)-1),
    _xlfn.XLOOKUP(
        $H138,
        型とバイト数!$B$3:$B$54,
        型とバイト数!$E$3:$E$54,
        IF(LEFT($H138,7)="varchar",_xlpm.可変bit数*8,
            IF(LEFT($H138,4)="char",_xlpm.可変bit数*8,
                IF(LEFT($H138,3)="bit",_xlpm.可変bit数,"???")
            )
        )
    )
)</f>
        <v>128</v>
      </c>
      <c r="J138" s="11"/>
      <c r="K138" s="11" t="s">
        <v>51</v>
      </c>
      <c r="L138" s="9" t="s">
        <v>530</v>
      </c>
      <c r="M138" s="11">
        <f ca="1">_xlfn.SINGLE(IF(K138="","",IF(L138="","参照先未定義",_xlfn.XLOOKUP(L138,B:B,C:C,"エラー"))))</f>
        <v>145</v>
      </c>
      <c r="N138" s="11" t="s">
        <v>51</v>
      </c>
      <c r="O138" s="11"/>
      <c r="P138" s="11"/>
      <c r="Q138" s="11"/>
      <c r="R138" s="9" t="s">
        <v>51</v>
      </c>
      <c r="S138" s="9"/>
      <c r="T138" s="9"/>
      <c r="U138" s="11"/>
    </row>
    <row r="139" spans="1:21" ht="18.75" customHeight="1">
      <c r="A139" s="9" t="s">
        <v>46</v>
      </c>
      <c r="B139" s="9" t="str">
        <f t="shared" ca="1" si="3"/>
        <v>profile_report.report_detail</v>
      </c>
      <c r="C139" s="10">
        <f t="shared" si="0"/>
        <v>138</v>
      </c>
      <c r="D139" s="11" t="str" cm="1">
        <f t="array" aca="1" ref="D139" ca="1">INDIRECT(ADDRESS(ROW()-1,COLUMN()))</f>
        <v>profile_report</v>
      </c>
      <c r="E139" s="11" t="str" cm="1">
        <f t="array" aca="1" ref="E139" ca="1">INDIRECT(ADDRESS(ROW()-1,COLUMN()))</f>
        <v>プロフィール通報</v>
      </c>
      <c r="F139" s="11" t="s">
        <v>232</v>
      </c>
      <c r="G139" s="11" t="s">
        <v>233</v>
      </c>
      <c r="H139" s="11" t="s">
        <v>87</v>
      </c>
      <c r="I139" s="11" t="str">
        <f>_xlfn.LET(
    _xlpm.可変bit数,--MID(H139,FIND("(",H139)+1,FIND(")",H139)-FIND("(",H139)-1),
    _xlfn.XLOOKUP(
        $H139,
        型とバイト数!$B$3:$B$54,
        型とバイト数!$E$3:$E$54,
        IF(LEFT($H139,7)="varchar",_xlpm.可変bit数*8,
            IF(LEFT($H139,4)="char",_xlpm.可変bit数*8,
                IF(LEFT($H139,3)="bit",_xlpm.可変bit数,"???")
            )
        )
    )
)</f>
        <v>-</v>
      </c>
      <c r="J139" s="11"/>
      <c r="K139" s="11"/>
      <c r="L139" s="9"/>
      <c r="M139" s="11" t="str">
        <f>_xlfn.SINGLE(IF(K139="","",IF(L139="","参照先未定義",_xlfn.XLOOKUP(L139,B:B,C:C,"エラー"))))</f>
        <v/>
      </c>
      <c r="N139" s="11" t="s">
        <v>51</v>
      </c>
      <c r="O139" s="11"/>
      <c r="P139" s="11"/>
      <c r="Q139" s="11"/>
      <c r="R139" s="9" t="s">
        <v>51</v>
      </c>
      <c r="S139" s="9"/>
      <c r="T139" s="9"/>
      <c r="U139" s="11"/>
    </row>
    <row r="140" spans="1:21" ht="18.75" customHeight="1">
      <c r="A140" s="9" t="s">
        <v>46</v>
      </c>
      <c r="B140" s="9" t="str">
        <f t="shared" ca="1" si="3"/>
        <v>profile_report.report_datetime</v>
      </c>
      <c r="C140" s="10">
        <f t="shared" si="0"/>
        <v>139</v>
      </c>
      <c r="D140" s="11" t="str" cm="1">
        <f t="array" aca="1" ref="D140" ca="1">INDIRECT(ADDRESS(ROW()-1,COLUMN()))</f>
        <v>profile_report</v>
      </c>
      <c r="E140" s="11" t="str" cm="1">
        <f t="array" aca="1" ref="E140" ca="1">INDIRECT(ADDRESS(ROW()-1,COLUMN()))</f>
        <v>プロフィール通報</v>
      </c>
      <c r="F140" s="11" t="s">
        <v>234</v>
      </c>
      <c r="G140" s="11" t="s">
        <v>235</v>
      </c>
      <c r="H140" s="11" t="s">
        <v>515</v>
      </c>
      <c r="I140" s="11">
        <f>_xlfn.LET(
    _xlpm.可変bit数,--MID(H140,FIND("(",H140)+1,FIND(")",H140)-FIND("(",H140)-1),
    _xlfn.XLOOKUP(
        $H140,
        型とバイト数!$B$3:$B$54,
        型とバイト数!$E$3:$E$54,
        IF(LEFT($H140,7)="varchar",_xlpm.可変bit数*8,
            IF(LEFT($H140,4)="char",_xlpm.可変bit数*8,
                IF(LEFT($H140,3)="bit",_xlpm.可変bit数,"???")
            )
        )
    )
)</f>
        <v>64</v>
      </c>
      <c r="J140" s="11"/>
      <c r="K140" s="11"/>
      <c r="L140" s="9"/>
      <c r="M140" s="11" t="str">
        <f>_xlfn.SINGLE(IF(K140="","",IF(L140="","参照先未定義",_xlfn.XLOOKUP(L140,B:B,C:C,"エラー"))))</f>
        <v/>
      </c>
      <c r="N140" s="11" t="s">
        <v>51</v>
      </c>
      <c r="O140" s="11"/>
      <c r="P140" s="11" t="s">
        <v>112</v>
      </c>
      <c r="Q140" s="11"/>
      <c r="R140" s="9"/>
      <c r="S140" s="9"/>
      <c r="T140" s="9"/>
      <c r="U140" s="11"/>
    </row>
    <row r="141" spans="1:21" ht="18.75" customHeight="1">
      <c r="A141" s="9" t="s">
        <v>46</v>
      </c>
      <c r="B141" s="9" t="str">
        <f t="shared" ca="1" si="3"/>
        <v>profile_report.create_datetime</v>
      </c>
      <c r="C141" s="10">
        <f t="shared" si="0"/>
        <v>140</v>
      </c>
      <c r="D141" s="11" t="str" cm="1">
        <f t="array" aca="1" ref="D141" ca="1">INDIRECT(ADDRESS(ROW()-1,COLUMN()))</f>
        <v>profile_report</v>
      </c>
      <c r="E141" s="11" t="str" cm="1">
        <f t="array" aca="1" ref="E141" ca="1">INDIRECT(ADDRESS(ROW()-1,COLUMN()))</f>
        <v>プロフィール通報</v>
      </c>
      <c r="F141" s="11" t="s">
        <v>110</v>
      </c>
      <c r="G141" s="11" t="s">
        <v>111</v>
      </c>
      <c r="H141" s="11" t="s">
        <v>515</v>
      </c>
      <c r="I141" s="11">
        <f>_xlfn.LET(
    _xlpm.可変bit数,--MID(H141,FIND("(",H141)+1,FIND(")",H141)-FIND("(",H141)-1),
    _xlfn.XLOOKUP(
        $H141,
        型とバイト数!$B$3:$B$54,
        型とバイト数!$E$3:$E$54,
        IF(LEFT($H141,7)="varchar",_xlpm.可変bit数*8,
            IF(LEFT($H141,4)="char",_xlpm.可変bit数*8,
                IF(LEFT($H141,3)="bit",_xlpm.可変bit数,"???")
            )
        )
    )
)</f>
        <v>64</v>
      </c>
      <c r="J141" s="11"/>
      <c r="K141" s="11"/>
      <c r="L141" s="9"/>
      <c r="M141" s="11" t="str">
        <f>_xlfn.SINGLE(IF(K141="","",IF(L141="","参照先未定義",_xlfn.XLOOKUP(L141,B:B,C:C,"エラー"))))</f>
        <v/>
      </c>
      <c r="N141" s="11" t="s">
        <v>51</v>
      </c>
      <c r="O141" s="11"/>
      <c r="P141" s="11" t="s">
        <v>112</v>
      </c>
      <c r="Q141" s="11"/>
      <c r="R141" s="9"/>
      <c r="S141" s="9"/>
      <c r="T141" s="9"/>
      <c r="U141" s="11"/>
    </row>
    <row r="142" spans="1:21" ht="18.75" customHeight="1">
      <c r="A142" s="9" t="s">
        <v>46</v>
      </c>
      <c r="B142" s="9" t="str">
        <f t="shared" ca="1" si="3"/>
        <v>profile_report.create_user</v>
      </c>
      <c r="C142" s="10">
        <f t="shared" si="0"/>
        <v>141</v>
      </c>
      <c r="D142" s="11" t="str" cm="1">
        <f t="array" aca="1" ref="D142" ca="1">INDIRECT(ADDRESS(ROW()-1,COLUMN()))</f>
        <v>profile_report</v>
      </c>
      <c r="E142" s="11" t="str" cm="1">
        <f t="array" aca="1" ref="E142" ca="1">INDIRECT(ADDRESS(ROW()-1,COLUMN()))</f>
        <v>プロフィール通報</v>
      </c>
      <c r="F142" s="11" t="s">
        <v>113</v>
      </c>
      <c r="G142" s="11" t="s">
        <v>114</v>
      </c>
      <c r="H142" s="11" t="s">
        <v>71</v>
      </c>
      <c r="I142" s="11">
        <f>_xlfn.LET(
    _xlpm.可変bit数,--MID(H142,FIND("(",H142)+1,FIND(")",H142)-FIND("(",H142)-1),
    _xlfn.XLOOKUP(
        $H142,
        型とバイト数!$B$3:$B$54,
        型とバイト数!$E$3:$E$54,
        IF(LEFT($H142,7)="varchar",_xlpm.可変bit数*8,
            IF(LEFT($H142,4)="char",_xlpm.可変bit数*8,
                IF(LEFT($H142,3)="bit",_xlpm.可変bit数,"???")
            )
        )
    )
)</f>
        <v>256</v>
      </c>
      <c r="J142" s="11"/>
      <c r="K142" s="11"/>
      <c r="L142" s="9"/>
      <c r="M142" s="11" t="str">
        <f>_xlfn.SINGLE(IF(K142="","",IF(L142="","参照先未定義",_xlfn.XLOOKUP(L142,B:B,C:C,"エラー"))))</f>
        <v/>
      </c>
      <c r="N142" s="11" t="s">
        <v>51</v>
      </c>
      <c r="O142" s="11"/>
      <c r="P142" s="11" t="s">
        <v>115</v>
      </c>
      <c r="Q142" s="11"/>
      <c r="R142" s="9"/>
      <c r="S142" s="9"/>
      <c r="T142" s="9"/>
      <c r="U142" s="11" t="s">
        <v>116</v>
      </c>
    </row>
    <row r="143" spans="1:21" ht="18.75" customHeight="1">
      <c r="A143" s="9" t="s">
        <v>46</v>
      </c>
      <c r="B143" s="9" t="str">
        <f t="shared" ca="1" si="3"/>
        <v>profile_report.update_datetime</v>
      </c>
      <c r="C143" s="10">
        <f t="shared" si="0"/>
        <v>142</v>
      </c>
      <c r="D143" s="11" t="str" cm="1">
        <f t="array" aca="1" ref="D143" ca="1">INDIRECT(ADDRESS(ROW()-1,COLUMN()))</f>
        <v>profile_report</v>
      </c>
      <c r="E143" s="11" t="str" cm="1">
        <f t="array" aca="1" ref="E143" ca="1">INDIRECT(ADDRESS(ROW()-1,COLUMN()))</f>
        <v>プロフィール通報</v>
      </c>
      <c r="F143" s="11" t="s">
        <v>117</v>
      </c>
      <c r="G143" s="11" t="s">
        <v>118</v>
      </c>
      <c r="H143" s="11" t="s">
        <v>515</v>
      </c>
      <c r="I143" s="11">
        <f>_xlfn.LET(
    _xlpm.可変bit数,--MID(H143,FIND("(",H143)+1,FIND(")",H143)-FIND("(",H143)-1),
    _xlfn.XLOOKUP(
        $H143,
        型とバイト数!$B$3:$B$54,
        型とバイト数!$E$3:$E$54,
        IF(LEFT($H143,7)="varchar",_xlpm.可変bit数*8,
            IF(LEFT($H143,4)="char",_xlpm.可変bit数*8,
                IF(LEFT($H143,3)="bit",_xlpm.可変bit数,"???")
            )
        )
    )
)</f>
        <v>64</v>
      </c>
      <c r="J143" s="11"/>
      <c r="K143" s="11"/>
      <c r="L143" s="9"/>
      <c r="M143" s="11" t="str">
        <f>_xlfn.SINGLE(IF(K143="","",IF(L143="","参照先未定義",_xlfn.XLOOKUP(L143,B:B,C:C,"エラー"))))</f>
        <v/>
      </c>
      <c r="N143" s="11" t="s">
        <v>51</v>
      </c>
      <c r="O143" s="11"/>
      <c r="P143" s="11" t="s">
        <v>112</v>
      </c>
      <c r="Q143" s="11"/>
      <c r="R143" s="9"/>
      <c r="S143" s="9"/>
      <c r="T143" s="9"/>
      <c r="U143" s="11"/>
    </row>
    <row r="144" spans="1:21" ht="18.75" customHeight="1">
      <c r="A144" s="9" t="s">
        <v>46</v>
      </c>
      <c r="B144" s="9" t="str">
        <f t="shared" ca="1" si="3"/>
        <v>profile_report.update_user</v>
      </c>
      <c r="C144" s="10">
        <f t="shared" si="0"/>
        <v>143</v>
      </c>
      <c r="D144" s="11" t="str" cm="1">
        <f t="array" aca="1" ref="D144" ca="1">INDIRECT(ADDRESS(ROW()-1,COLUMN()))</f>
        <v>profile_report</v>
      </c>
      <c r="E144" s="11" t="str" cm="1">
        <f t="array" aca="1" ref="E144" ca="1">INDIRECT(ADDRESS(ROW()-1,COLUMN()))</f>
        <v>プロフィール通報</v>
      </c>
      <c r="F144" s="11" t="s">
        <v>119</v>
      </c>
      <c r="G144" s="11" t="s">
        <v>120</v>
      </c>
      <c r="H144" s="11" t="s">
        <v>71</v>
      </c>
      <c r="I144" s="11">
        <f>_xlfn.LET(
    _xlpm.可変bit数,--MID(H144,FIND("(",H144)+1,FIND(")",H144)-FIND("(",H144)-1),
    _xlfn.XLOOKUP(
        $H144,
        型とバイト数!$B$3:$B$54,
        型とバイト数!$E$3:$E$54,
        IF(LEFT($H144,7)="varchar",_xlpm.可変bit数*8,
            IF(LEFT($H144,4)="char",_xlpm.可変bit数*8,
                IF(LEFT($H144,3)="bit",_xlpm.可変bit数,"???")
            )
        )
    )
)</f>
        <v>256</v>
      </c>
      <c r="J144" s="11"/>
      <c r="K144" s="11"/>
      <c r="L144" s="9"/>
      <c r="M144" s="11" t="str">
        <f>_xlfn.SINGLE(IF(K144="","",IF(L144="","参照先未定義",_xlfn.XLOOKUP(L144,B:B,C:C,"エラー"))))</f>
        <v/>
      </c>
      <c r="N144" s="11" t="s">
        <v>51</v>
      </c>
      <c r="O144" s="11"/>
      <c r="P144" s="11" t="s">
        <v>115</v>
      </c>
      <c r="Q144" s="11"/>
      <c r="R144" s="9"/>
      <c r="S144" s="9"/>
      <c r="T144" s="9"/>
      <c r="U144" s="11" t="s">
        <v>116</v>
      </c>
    </row>
    <row r="145" spans="1:21" ht="18.75" customHeight="1">
      <c r="A145" s="9" t="s">
        <v>46</v>
      </c>
      <c r="B145" s="9" t="str">
        <f t="shared" ca="1" si="3"/>
        <v>profile_report.soft_delete_flag</v>
      </c>
      <c r="C145" s="10">
        <f t="shared" si="0"/>
        <v>144</v>
      </c>
      <c r="D145" s="11" t="str" cm="1">
        <f t="array" aca="1" ref="D145" ca="1">INDIRECT(ADDRESS(ROW()-1,COLUMN()))</f>
        <v>profile_report</v>
      </c>
      <c r="E145" s="11" t="str" cm="1">
        <f t="array" aca="1" ref="E145" ca="1">INDIRECT(ADDRESS(ROW()-1,COLUMN()))</f>
        <v>プロフィール通報</v>
      </c>
      <c r="F145" s="11" t="s">
        <v>121</v>
      </c>
      <c r="G145" s="11" t="s">
        <v>122</v>
      </c>
      <c r="H145" s="11" t="s">
        <v>517</v>
      </c>
      <c r="I145" s="11">
        <f>_xlfn.LET(
    _xlpm.可変bit数,--MID(H145,FIND("(",H145)+1,FIND(")",H145)-FIND("(",H145)-1),
    _xlfn.XLOOKUP(
        $H145,
        型とバイト数!$B$3:$B$54,
        型とバイト数!$E$3:$E$54,
        IF(LEFT($H145,7)="varchar",_xlpm.可変bit数*8,
            IF(LEFT($H145,4)="char",_xlpm.可変bit数*8,
                IF(LEFT($H145,3)="bit",_xlpm.可変bit数,"???")
            )
        )
    )
)</f>
        <v>8</v>
      </c>
      <c r="J145" s="11"/>
      <c r="K145" s="11"/>
      <c r="L145" s="9"/>
      <c r="M145" s="11" t="str">
        <f>_xlfn.SINGLE(IF(K145="","",IF(L145="","参照先未定義",_xlfn.XLOOKUP(L145,B:B,C:C,"エラー"))))</f>
        <v/>
      </c>
      <c r="N145" s="11" t="s">
        <v>51</v>
      </c>
      <c r="O145" s="11"/>
      <c r="P145" s="11">
        <v>0</v>
      </c>
      <c r="Q145" s="11"/>
      <c r="R145" s="9"/>
      <c r="S145" s="9"/>
      <c r="T145" s="9"/>
      <c r="U145" s="11"/>
    </row>
    <row r="146" spans="1:21" ht="18.75" customHeight="1">
      <c r="A146" s="9" t="s">
        <v>46</v>
      </c>
      <c r="B146" s="9" t="str">
        <f t="shared" si="3"/>
        <v>report_reason.report_reason_uuid</v>
      </c>
      <c r="C146" s="10">
        <f t="shared" si="0"/>
        <v>145</v>
      </c>
      <c r="D146" s="11" t="s">
        <v>236</v>
      </c>
      <c r="E146" s="11" t="s">
        <v>237</v>
      </c>
      <c r="F146" s="11" t="str">
        <f>D146&amp;"_uuid"</f>
        <v>report_reason_uuid</v>
      </c>
      <c r="G146" s="11" t="s">
        <v>50</v>
      </c>
      <c r="H146" s="11" t="s">
        <v>49</v>
      </c>
      <c r="I146" s="11">
        <f>_xlfn.LET(
    _xlpm.可変bit数,--MID(H146,FIND("(",H146)+1,FIND(")",H146)-FIND("(",H146)-1),
    _xlfn.XLOOKUP(
        $H146,
        型とバイト数!$B$3:$B$54,
        型とバイト数!$E$3:$E$54,
        IF(LEFT($H146,7)="varchar",_xlpm.可変bit数*8,
            IF(LEFT($H146,4)="char",_xlpm.可変bit数*8,
                IF(LEFT($H146,3)="bit",_xlpm.可変bit数,"???")
            )
        )
    )
)</f>
        <v>128</v>
      </c>
      <c r="J146" s="11" t="s">
        <v>488</v>
      </c>
      <c r="K146" s="11"/>
      <c r="L146" s="9"/>
      <c r="M146" s="11" t="str">
        <f>_xlfn.SINGLE(IF(K146="","",IF(L146="","参照先未定義",_xlfn.XLOOKUP(L146,B:B,C:C,"エラー"))))</f>
        <v/>
      </c>
      <c r="N146" s="11" t="s">
        <v>499</v>
      </c>
      <c r="O146" s="11" t="s">
        <v>499</v>
      </c>
      <c r="P146" s="11" t="s">
        <v>52</v>
      </c>
      <c r="Q146" s="11"/>
      <c r="R146" s="9"/>
      <c r="S146" s="9"/>
      <c r="T146" s="9"/>
      <c r="U146" s="11"/>
    </row>
    <row r="147" spans="1:21" ht="18.75" customHeight="1">
      <c r="A147" s="9" t="s">
        <v>46</v>
      </c>
      <c r="B147" s="9" t="str">
        <f t="shared" ca="1" si="3"/>
        <v>report_reason.report_reason_physical_name</v>
      </c>
      <c r="C147" s="10">
        <f t="shared" si="0"/>
        <v>146</v>
      </c>
      <c r="D147" s="11" t="str" cm="1">
        <f t="array" aca="1" ref="D147" ca="1">INDIRECT(ADDRESS(ROW()-1,COLUMN()))</f>
        <v>report_reason</v>
      </c>
      <c r="E147" s="11" t="str" cm="1">
        <f t="array" aca="1" ref="E147" ca="1">INDIRECT(ADDRESS(ROW()-1,COLUMN()))</f>
        <v>通報理由</v>
      </c>
      <c r="F147" s="11" t="s">
        <v>230</v>
      </c>
      <c r="G147" s="11" t="s">
        <v>231</v>
      </c>
      <c r="H147" s="11" t="s">
        <v>77</v>
      </c>
      <c r="I147" s="11">
        <f>_xlfn.LET(
    _xlpm.可変bit数,--MID(H147,FIND("(",H147)+1,FIND(")",H147)-FIND("(",H147)-1),
    _xlfn.XLOOKUP(
        $H147,
        型とバイト数!$B$3:$B$54,
        型とバイト数!$E$3:$E$54,
        IF(LEFT($H147,7)="varchar",_xlpm.可変bit数*8,
            IF(LEFT($H147,4)="char",_xlpm.可変bit数*8,
                IF(LEFT($H147,3)="bit",_xlpm.可変bit数,"???")
            )
        )
    )
)</f>
        <v>128</v>
      </c>
      <c r="J147" s="11"/>
      <c r="K147" s="11"/>
      <c r="L147" s="9"/>
      <c r="M147" s="11" t="str">
        <f>_xlfn.SINGLE(IF(K147="","",IF(L147="","参照先未定義",_xlfn.XLOOKUP(L147,B:B,C:C,"エラー"))))</f>
        <v/>
      </c>
      <c r="N147" s="11" t="s">
        <v>488</v>
      </c>
      <c r="O147" s="11" t="s">
        <v>488</v>
      </c>
      <c r="P147" s="11"/>
      <c r="Q147" s="11"/>
      <c r="R147" s="9"/>
      <c r="S147" s="9"/>
      <c r="T147" s="9"/>
      <c r="U147" s="11"/>
    </row>
    <row r="148" spans="1:21" ht="18.75" customHeight="1">
      <c r="A148" s="9" t="s">
        <v>46</v>
      </c>
      <c r="B148" s="9" t="str">
        <f t="shared" ca="1" si="3"/>
        <v>report_reason.report_reason_logical_name</v>
      </c>
      <c r="C148" s="10">
        <f t="shared" si="0"/>
        <v>147</v>
      </c>
      <c r="D148" s="11" t="str" cm="1">
        <f t="array" aca="1" ref="D148" ca="1">INDIRECT(ADDRESS(ROW()-1,COLUMN()))</f>
        <v>report_reason</v>
      </c>
      <c r="E148" s="11" t="str" cm="1">
        <f t="array" aca="1" ref="E148" ca="1">INDIRECT(ADDRESS(ROW()-1,COLUMN()))</f>
        <v>通報理由</v>
      </c>
      <c r="F148" s="11" t="s">
        <v>238</v>
      </c>
      <c r="G148" s="11" t="s">
        <v>239</v>
      </c>
      <c r="H148" s="11" t="s">
        <v>77</v>
      </c>
      <c r="I148" s="11">
        <f>_xlfn.LET(
    _xlpm.可変bit数,--MID(H148,FIND("(",H148)+1,FIND(")",H148)-FIND("(",H148)-1),
    _xlfn.XLOOKUP(
        $H148,
        型とバイト数!$B$3:$B$54,
        型とバイト数!$E$3:$E$54,
        IF(LEFT($H148,7)="varchar",_xlpm.可変bit数*8,
            IF(LEFT($H148,4)="char",_xlpm.可変bit数*8,
                IF(LEFT($H148,3)="bit",_xlpm.可変bit数,"???")
            )
        )
    )
)</f>
        <v>128</v>
      </c>
      <c r="J148" s="11"/>
      <c r="K148" s="11"/>
      <c r="L148" s="9"/>
      <c r="M148" s="11" t="str">
        <f>_xlfn.SINGLE(IF(K148="","",IF(L148="","参照先未定義",_xlfn.XLOOKUP(L148,B:B,C:C,"エラー"))))</f>
        <v/>
      </c>
      <c r="N148" s="11"/>
      <c r="O148" s="11"/>
      <c r="P148" s="11"/>
      <c r="Q148" s="11"/>
      <c r="R148" s="9"/>
      <c r="S148" s="9"/>
      <c r="T148" s="9"/>
      <c r="U148" s="11" t="s">
        <v>199</v>
      </c>
    </row>
    <row r="149" spans="1:21" ht="18.75" customHeight="1">
      <c r="A149" s="9" t="s">
        <v>46</v>
      </c>
      <c r="B149" s="9" t="str">
        <f t="shared" ca="1" si="3"/>
        <v>report_reason.create_datetime</v>
      </c>
      <c r="C149" s="10">
        <f t="shared" si="0"/>
        <v>148</v>
      </c>
      <c r="D149" s="11" t="str" cm="1">
        <f t="array" aca="1" ref="D149" ca="1">INDIRECT(ADDRESS(ROW()-1,COLUMN()))</f>
        <v>report_reason</v>
      </c>
      <c r="E149" s="11" t="str" cm="1">
        <f t="array" aca="1" ref="E149" ca="1">INDIRECT(ADDRESS(ROW()-1,COLUMN()))</f>
        <v>通報理由</v>
      </c>
      <c r="F149" s="11" t="s">
        <v>110</v>
      </c>
      <c r="G149" s="11" t="s">
        <v>111</v>
      </c>
      <c r="H149" s="11" t="s">
        <v>515</v>
      </c>
      <c r="I149" s="11">
        <f>_xlfn.LET(
    _xlpm.可変bit数,--MID(H149,FIND("(",H149)+1,FIND(")",H149)-FIND("(",H149)-1),
    _xlfn.XLOOKUP(
        $H149,
        型とバイト数!$B$3:$B$54,
        型とバイト数!$E$3:$E$54,
        IF(LEFT($H149,7)="varchar",_xlpm.可変bit数*8,
            IF(LEFT($H149,4)="char",_xlpm.可変bit数*8,
                IF(LEFT($H149,3)="bit",_xlpm.可変bit数,"???")
            )
        )
    )
)</f>
        <v>64</v>
      </c>
      <c r="J149" s="11"/>
      <c r="K149" s="11"/>
      <c r="L149" s="9"/>
      <c r="M149" s="11" t="str">
        <f>_xlfn.SINGLE(IF(K149="","",IF(L149="","参照先未定義",_xlfn.XLOOKUP(L149,B:B,C:C,"エラー"))))</f>
        <v/>
      </c>
      <c r="N149" s="11" t="s">
        <v>51</v>
      </c>
      <c r="O149" s="11"/>
      <c r="P149" s="11" t="s">
        <v>112</v>
      </c>
      <c r="Q149" s="11"/>
      <c r="R149" s="9"/>
      <c r="S149" s="9"/>
      <c r="T149" s="9"/>
      <c r="U149" s="11"/>
    </row>
    <row r="150" spans="1:21" ht="18.75" customHeight="1">
      <c r="A150" s="9" t="s">
        <v>46</v>
      </c>
      <c r="B150" s="9" t="str">
        <f t="shared" ca="1" si="3"/>
        <v>report_reason.create_user</v>
      </c>
      <c r="C150" s="10">
        <f t="shared" si="0"/>
        <v>149</v>
      </c>
      <c r="D150" s="11" t="str" cm="1">
        <f t="array" aca="1" ref="D150" ca="1">INDIRECT(ADDRESS(ROW()-1,COLUMN()))</f>
        <v>report_reason</v>
      </c>
      <c r="E150" s="11" t="str" cm="1">
        <f t="array" aca="1" ref="E150" ca="1">INDIRECT(ADDRESS(ROW()-1,COLUMN()))</f>
        <v>通報理由</v>
      </c>
      <c r="F150" s="11" t="s">
        <v>113</v>
      </c>
      <c r="G150" s="11" t="s">
        <v>114</v>
      </c>
      <c r="H150" s="11" t="s">
        <v>71</v>
      </c>
      <c r="I150" s="11">
        <f>_xlfn.LET(
    _xlpm.可変bit数,--MID(H150,FIND("(",H150)+1,FIND(")",H150)-FIND("(",H150)-1),
    _xlfn.XLOOKUP(
        $H150,
        型とバイト数!$B$3:$B$54,
        型とバイト数!$E$3:$E$54,
        IF(LEFT($H150,7)="varchar",_xlpm.可変bit数*8,
            IF(LEFT($H150,4)="char",_xlpm.可変bit数*8,
                IF(LEFT($H150,3)="bit",_xlpm.可変bit数,"???")
            )
        )
    )
)</f>
        <v>256</v>
      </c>
      <c r="J150" s="11"/>
      <c r="K150" s="11"/>
      <c r="L150" s="9"/>
      <c r="M150" s="11" t="str">
        <f>_xlfn.SINGLE(IF(K150="","",IF(L150="","参照先未定義",_xlfn.XLOOKUP(L150,B:B,C:C,"エラー"))))</f>
        <v/>
      </c>
      <c r="N150" s="11" t="s">
        <v>51</v>
      </c>
      <c r="O150" s="11"/>
      <c r="P150" s="11" t="s">
        <v>115</v>
      </c>
      <c r="Q150" s="11"/>
      <c r="R150" s="9"/>
      <c r="S150" s="9"/>
      <c r="T150" s="9"/>
      <c r="U150" s="11" t="s">
        <v>116</v>
      </c>
    </row>
    <row r="151" spans="1:21" ht="18.75" customHeight="1">
      <c r="A151" s="9" t="s">
        <v>46</v>
      </c>
      <c r="B151" s="9" t="str">
        <f t="shared" ca="1" si="3"/>
        <v>report_reason.update_datetime</v>
      </c>
      <c r="C151" s="10">
        <f t="shared" si="0"/>
        <v>150</v>
      </c>
      <c r="D151" s="11" t="str" cm="1">
        <f t="array" aca="1" ref="D151" ca="1">INDIRECT(ADDRESS(ROW()-1,COLUMN()))</f>
        <v>report_reason</v>
      </c>
      <c r="E151" s="11" t="str" cm="1">
        <f t="array" aca="1" ref="E151" ca="1">INDIRECT(ADDRESS(ROW()-1,COLUMN()))</f>
        <v>通報理由</v>
      </c>
      <c r="F151" s="11" t="s">
        <v>117</v>
      </c>
      <c r="G151" s="11" t="s">
        <v>118</v>
      </c>
      <c r="H151" s="11" t="s">
        <v>515</v>
      </c>
      <c r="I151" s="11">
        <f>_xlfn.LET(
    _xlpm.可変bit数,--MID(H151,FIND("(",H151)+1,FIND(")",H151)-FIND("(",H151)-1),
    _xlfn.XLOOKUP(
        $H151,
        型とバイト数!$B$3:$B$54,
        型とバイト数!$E$3:$E$54,
        IF(LEFT($H151,7)="varchar",_xlpm.可変bit数*8,
            IF(LEFT($H151,4)="char",_xlpm.可変bit数*8,
                IF(LEFT($H151,3)="bit",_xlpm.可変bit数,"???")
            )
        )
    )
)</f>
        <v>64</v>
      </c>
      <c r="J151" s="11"/>
      <c r="K151" s="11"/>
      <c r="L151" s="9"/>
      <c r="M151" s="11" t="str">
        <f>_xlfn.SINGLE(IF(K151="","",IF(L151="","参照先未定義",_xlfn.XLOOKUP(L151,B:B,C:C,"エラー"))))</f>
        <v/>
      </c>
      <c r="N151" s="11" t="s">
        <v>51</v>
      </c>
      <c r="O151" s="11"/>
      <c r="P151" s="11" t="s">
        <v>112</v>
      </c>
      <c r="Q151" s="11"/>
      <c r="R151" s="9"/>
      <c r="S151" s="9"/>
      <c r="T151" s="9"/>
      <c r="U151" s="11"/>
    </row>
    <row r="152" spans="1:21" ht="18.75" customHeight="1">
      <c r="A152" s="9" t="s">
        <v>46</v>
      </c>
      <c r="B152" s="9" t="str">
        <f t="shared" ca="1" si="3"/>
        <v>report_reason.update_user</v>
      </c>
      <c r="C152" s="10">
        <f t="shared" si="0"/>
        <v>151</v>
      </c>
      <c r="D152" s="11" t="str" cm="1">
        <f t="array" aca="1" ref="D152" ca="1">INDIRECT(ADDRESS(ROW()-1,COLUMN()))</f>
        <v>report_reason</v>
      </c>
      <c r="E152" s="11" t="str" cm="1">
        <f t="array" aca="1" ref="E152" ca="1">INDIRECT(ADDRESS(ROW()-1,COLUMN()))</f>
        <v>通報理由</v>
      </c>
      <c r="F152" s="11" t="s">
        <v>119</v>
      </c>
      <c r="G152" s="11" t="s">
        <v>120</v>
      </c>
      <c r="H152" s="11" t="s">
        <v>71</v>
      </c>
      <c r="I152" s="11">
        <f>_xlfn.LET(
    _xlpm.可変bit数,--MID(H152,FIND("(",H152)+1,FIND(")",H152)-FIND("(",H152)-1),
    _xlfn.XLOOKUP(
        $H152,
        型とバイト数!$B$3:$B$54,
        型とバイト数!$E$3:$E$54,
        IF(LEFT($H152,7)="varchar",_xlpm.可変bit数*8,
            IF(LEFT($H152,4)="char",_xlpm.可変bit数*8,
                IF(LEFT($H152,3)="bit",_xlpm.可変bit数,"???")
            )
        )
    )
)</f>
        <v>256</v>
      </c>
      <c r="J152" s="11"/>
      <c r="K152" s="11"/>
      <c r="L152" s="9"/>
      <c r="M152" s="11" t="str">
        <f>_xlfn.SINGLE(IF(K152="","",IF(L152="","参照先未定義",_xlfn.XLOOKUP(L152,B:B,C:C,"エラー"))))</f>
        <v/>
      </c>
      <c r="N152" s="11" t="s">
        <v>51</v>
      </c>
      <c r="O152" s="11"/>
      <c r="P152" s="11" t="s">
        <v>115</v>
      </c>
      <c r="Q152" s="11"/>
      <c r="R152" s="9"/>
      <c r="S152" s="9"/>
      <c r="T152" s="9"/>
      <c r="U152" s="11" t="s">
        <v>116</v>
      </c>
    </row>
    <row r="153" spans="1:21" ht="18.75" customHeight="1">
      <c r="A153" s="9" t="s">
        <v>46</v>
      </c>
      <c r="B153" s="9" t="str">
        <f t="shared" ca="1" si="3"/>
        <v>report_reason.soft_delete_flag</v>
      </c>
      <c r="C153" s="10">
        <f t="shared" si="0"/>
        <v>152</v>
      </c>
      <c r="D153" s="11" t="str" cm="1">
        <f t="array" aca="1" ref="D153" ca="1">INDIRECT(ADDRESS(ROW()-1,COLUMN()))</f>
        <v>report_reason</v>
      </c>
      <c r="E153" s="11" t="str" cm="1">
        <f t="array" aca="1" ref="E153" ca="1">INDIRECT(ADDRESS(ROW()-1,COLUMN()))</f>
        <v>通報理由</v>
      </c>
      <c r="F153" s="11" t="s">
        <v>121</v>
      </c>
      <c r="G153" s="11" t="s">
        <v>122</v>
      </c>
      <c r="H153" s="11" t="s">
        <v>517</v>
      </c>
      <c r="I153" s="11">
        <f>_xlfn.LET(
    _xlpm.可変bit数,--MID(H153,FIND("(",H153)+1,FIND(")",H153)-FIND("(",H153)-1),
    _xlfn.XLOOKUP(
        $H153,
        型とバイト数!$B$3:$B$54,
        型とバイト数!$E$3:$E$54,
        IF(LEFT($H153,7)="varchar",_xlpm.可変bit数*8,
            IF(LEFT($H153,4)="char",_xlpm.可変bit数*8,
                IF(LEFT($H153,3)="bit",_xlpm.可変bit数,"???")
            )
        )
    )
)</f>
        <v>8</v>
      </c>
      <c r="J153" s="11"/>
      <c r="K153" s="11"/>
      <c r="L153" s="9"/>
      <c r="M153" s="11" t="str">
        <f>_xlfn.SINGLE(IF(K153="","",IF(L153="","参照先未定義",_xlfn.XLOOKUP(L153,B:B,C:C,"エラー"))))</f>
        <v/>
      </c>
      <c r="N153" s="11" t="s">
        <v>51</v>
      </c>
      <c r="O153" s="11"/>
      <c r="P153" s="11">
        <v>0</v>
      </c>
      <c r="Q153" s="11"/>
      <c r="R153" s="9"/>
      <c r="S153" s="9"/>
      <c r="T153" s="9"/>
      <c r="U153" s="11"/>
    </row>
    <row r="154" spans="1:21" ht="18.75" customHeight="1">
      <c r="A154" s="9" t="s">
        <v>46</v>
      </c>
      <c r="B154" s="9" t="str">
        <f t="shared" si="3"/>
        <v>users.users_uuid</v>
      </c>
      <c r="C154" s="10">
        <f t="shared" si="0"/>
        <v>153</v>
      </c>
      <c r="D154" s="11" t="s">
        <v>490</v>
      </c>
      <c r="E154" s="11" t="s">
        <v>240</v>
      </c>
      <c r="F154" s="11" t="str">
        <f>D154&amp;"_uuid"</f>
        <v>users_uuid</v>
      </c>
      <c r="G154" s="11" t="s">
        <v>50</v>
      </c>
      <c r="H154" s="11" t="s">
        <v>49</v>
      </c>
      <c r="I154" s="11">
        <f>_xlfn.LET(
    _xlpm.可変bit数,--MID(H154,FIND("(",H154)+1,FIND(")",H154)-FIND("(",H154)-1),
    _xlfn.XLOOKUP(
        $H154,
        型とバイト数!$B$3:$B$54,
        型とバイト数!$E$3:$E$54,
        IF(LEFT($H154,7)="varchar",_xlpm.可変bit数*8,
            IF(LEFT($H154,4)="char",_xlpm.可変bit数*8,
                IF(LEFT($H154,3)="bit",_xlpm.可変bit数,"???")
            )
        )
    )
)</f>
        <v>128</v>
      </c>
      <c r="J154" s="11" t="s">
        <v>488</v>
      </c>
      <c r="K154" s="11"/>
      <c r="L154" s="9"/>
      <c r="M154" s="11" t="str">
        <f>_xlfn.SINGLE(IF(K154="","",IF(L154="","参照先未定義",_xlfn.XLOOKUP(L154,B:B,C:C,"エラー"))))</f>
        <v/>
      </c>
      <c r="N154" s="11" t="s">
        <v>499</v>
      </c>
      <c r="O154" s="11" t="s">
        <v>499</v>
      </c>
      <c r="P154" s="11" t="s">
        <v>52</v>
      </c>
      <c r="Q154" s="11"/>
      <c r="R154" s="9"/>
      <c r="S154" s="9"/>
      <c r="T154" s="9"/>
      <c r="U154" s="11"/>
    </row>
    <row r="155" spans="1:21" ht="18.75" customHeight="1">
      <c r="A155" s="9" t="s">
        <v>46</v>
      </c>
      <c r="B155" s="9" t="str">
        <f t="shared" ca="1" si="3"/>
        <v>users.user_id</v>
      </c>
      <c r="C155" s="10">
        <f t="shared" si="0"/>
        <v>154</v>
      </c>
      <c r="D155" s="11" t="str" cm="1">
        <f t="array" aca="1" ref="D155" ca="1">INDIRECT(ADDRESS(ROW()-1,COLUMN()))</f>
        <v>users</v>
      </c>
      <c r="E155" s="11" t="str" cm="1">
        <f t="array" aca="1" ref="E155" ca="1">INDIRECT(ADDRESS(ROW()-1,COLUMN()))</f>
        <v>ユーザー</v>
      </c>
      <c r="F155" s="11" t="s">
        <v>58</v>
      </c>
      <c r="G155" s="11" t="s">
        <v>59</v>
      </c>
      <c r="H155" s="11" t="s">
        <v>55</v>
      </c>
      <c r="I155" s="11">
        <f>_xlfn.LET(
    _xlpm.可変bit数,--MID(H155,FIND("(",H155)+1,FIND(")",H155)-FIND("(",H155)-1),
    _xlfn.XLOOKUP(
        $H155,
        型とバイト数!$B$3:$B$54,
        型とバイト数!$E$3:$E$54,
        IF(LEFT($H155,7)="varchar",_xlpm.可変bit数*8,
            IF(LEFT($H155,4)="char",_xlpm.可変bit数*8,
                IF(LEFT($H155,3)="bit",_xlpm.可変bit数,"???")
            )
        )
    )
)</f>
        <v>64</v>
      </c>
      <c r="J155" s="11"/>
      <c r="K155" s="11"/>
      <c r="L155" s="9"/>
      <c r="M155" s="11" t="str">
        <f>_xlfn.SINGLE(IF(K155="","",IF(L155="","参照先未定義",_xlfn.XLOOKUP(L155,B:B,C:C,"エラー"))))</f>
        <v/>
      </c>
      <c r="N155" s="11" t="s">
        <v>488</v>
      </c>
      <c r="O155" s="11" t="s">
        <v>488</v>
      </c>
      <c r="P155" s="11" t="s">
        <v>56</v>
      </c>
      <c r="Q155" s="11"/>
      <c r="R155" s="9"/>
      <c r="S155" s="9"/>
      <c r="T155" s="9"/>
      <c r="U155" s="11"/>
    </row>
    <row r="156" spans="1:21" ht="18.75" customHeight="1">
      <c r="A156" s="9" t="s">
        <v>46</v>
      </c>
      <c r="B156" s="9" t="str">
        <f t="shared" ca="1" si="3"/>
        <v>users.user_name</v>
      </c>
      <c r="C156" s="10">
        <f t="shared" si="0"/>
        <v>155</v>
      </c>
      <c r="D156" s="11" t="str" cm="1">
        <f t="array" aca="1" ref="D156" ca="1">INDIRECT(ADDRESS(ROW()-1,COLUMN()))</f>
        <v>users</v>
      </c>
      <c r="E156" s="11" t="str" cm="1">
        <f t="array" aca="1" ref="E156" ca="1">INDIRECT(ADDRESS(ROW()-1,COLUMN()))</f>
        <v>ユーザー</v>
      </c>
      <c r="F156" s="11" t="s">
        <v>154</v>
      </c>
      <c r="G156" s="11" t="s">
        <v>155</v>
      </c>
      <c r="H156" s="11" t="s">
        <v>68</v>
      </c>
      <c r="I156" s="11">
        <f>_xlfn.LET(
    _xlpm.可変bit数,--MID(H156,FIND("(",H156)+1,FIND(")",H156)-FIND("(",H156)-1),
    _xlfn.XLOOKUP(
        $H156,
        型とバイト数!$B$3:$B$54,
        型とバイト数!$E$3:$E$54,
        IF(LEFT($H156,7)="varchar",_xlpm.可変bit数*8,
            IF(LEFT($H156,4)="char",_xlpm.可変bit数*8,
                IF(LEFT($H156,3)="bit",_xlpm.可変bit数,"???")
            )
        )
    )
)</f>
        <v>512</v>
      </c>
      <c r="J156" s="11"/>
      <c r="K156" s="11"/>
      <c r="L156" s="9"/>
      <c r="M156" s="11" t="str">
        <f>_xlfn.SINGLE(IF(K156="","",IF(L156="","参照先未定義",_xlfn.XLOOKUP(L156,B:B,C:C,"エラー"))))</f>
        <v/>
      </c>
      <c r="N156" s="11"/>
      <c r="O156" s="11"/>
      <c r="P156" s="11"/>
      <c r="Q156" s="11"/>
      <c r="R156" s="9"/>
      <c r="S156" s="9"/>
      <c r="T156" s="9"/>
      <c r="U156" s="11"/>
    </row>
    <row r="157" spans="1:21" ht="18.75" customHeight="1">
      <c r="A157" s="9" t="s">
        <v>46</v>
      </c>
      <c r="B157" s="9" t="str">
        <f t="shared" ca="1" si="3"/>
        <v>users.user_role_physical_name</v>
      </c>
      <c r="C157" s="10">
        <f t="shared" si="0"/>
        <v>156</v>
      </c>
      <c r="D157" s="11" t="str" cm="1">
        <f t="array" aca="1" ref="D157" ca="1">INDIRECT(ADDRESS(ROW()-1,COLUMN()))</f>
        <v>users</v>
      </c>
      <c r="E157" s="11" t="str" cm="1">
        <f t="array" aca="1" ref="E157" ca="1">INDIRECT(ADDRESS(ROW()-1,COLUMN()))</f>
        <v>ユーザー</v>
      </c>
      <c r="F157" s="11" t="s">
        <v>241</v>
      </c>
      <c r="G157" s="11" t="s">
        <v>242</v>
      </c>
      <c r="H157" s="11" t="s">
        <v>49</v>
      </c>
      <c r="I157" s="11">
        <f>_xlfn.LET(
    _xlpm.可変bit数,--MID(H157,FIND("(",H157)+1,FIND(")",H157)-FIND("(",H157)-1),
    _xlfn.XLOOKUP(
        $H157,
        型とバイト数!$B$3:$B$54,
        型とバイト数!$E$3:$E$54,
        IF(LEFT($H157,7)="varchar",_xlpm.可変bit数*8,
            IF(LEFT($H157,4)="char",_xlpm.可変bit数*8,
                IF(LEFT($H157,3)="bit",_xlpm.可変bit数,"???")
            )
        )
    )
)</f>
        <v>128</v>
      </c>
      <c r="J157" s="11"/>
      <c r="K157" s="11" t="s">
        <v>51</v>
      </c>
      <c r="L157" s="9" t="s">
        <v>531</v>
      </c>
      <c r="M157" s="11">
        <f ca="1">_xlfn.SINGLE(IF(K157="","",IF(L157="","参照先未定義",_xlfn.XLOOKUP(L157,B:B,C:C,"エラー"))))</f>
        <v>175</v>
      </c>
      <c r="N157" s="11"/>
      <c r="O157" s="11"/>
      <c r="P157" s="11"/>
      <c r="Q157" s="11"/>
      <c r="R157" s="9"/>
      <c r="S157" s="9"/>
      <c r="T157" s="9"/>
      <c r="U157" s="11"/>
    </row>
    <row r="158" spans="1:21" ht="18.75" customHeight="1">
      <c r="A158" s="9" t="s">
        <v>46</v>
      </c>
      <c r="B158" s="9" t="str">
        <f t="shared" ca="1" si="3"/>
        <v>users.user_name_hidden_flag</v>
      </c>
      <c r="C158" s="10">
        <f t="shared" si="0"/>
        <v>157</v>
      </c>
      <c r="D158" s="11" t="str" cm="1">
        <f t="array" aca="1" ref="D158" ca="1">INDIRECT(ADDRESS(ROW()-1,COLUMN()))</f>
        <v>users</v>
      </c>
      <c r="E158" s="11" t="str" cm="1">
        <f t="array" aca="1" ref="E158" ca="1">INDIRECT(ADDRESS(ROW()-1,COLUMN()))</f>
        <v>ユーザー</v>
      </c>
      <c r="F158" s="11" t="s">
        <v>243</v>
      </c>
      <c r="G158" s="11" t="s">
        <v>244</v>
      </c>
      <c r="H158" s="11" t="s">
        <v>517</v>
      </c>
      <c r="I158" s="11">
        <f>_xlfn.LET(
    _xlpm.可変bit数,--MID(H158,FIND("(",H158)+1,FIND(")",H158)-FIND("(",H158)-1),
    _xlfn.XLOOKUP(
        $H158,
        型とバイト数!$B$3:$B$54,
        型とバイト数!$E$3:$E$54,
        IF(LEFT($H158,7)="varchar",_xlpm.可変bit数*8,
            IF(LEFT($H158,4)="char",_xlpm.可変bit数*8,
                IF(LEFT($H158,3)="bit",_xlpm.可変bit数,"???")
            )
        )
    )
)</f>
        <v>8</v>
      </c>
      <c r="J158" s="11"/>
      <c r="K158" s="11"/>
      <c r="L158" s="9"/>
      <c r="M158" s="11" t="str">
        <f>_xlfn.SINGLE(IF(K158="","",IF(L158="","参照先未定義",_xlfn.XLOOKUP(L158,B:B,C:C,"エラー"))))</f>
        <v/>
      </c>
      <c r="N158" s="11" t="s">
        <v>51</v>
      </c>
      <c r="O158" s="11"/>
      <c r="P158" s="11">
        <v>0</v>
      </c>
      <c r="Q158" s="11" t="s">
        <v>245</v>
      </c>
      <c r="R158" s="9"/>
      <c r="S158" s="9"/>
      <c r="T158" s="9"/>
      <c r="U158" s="11"/>
    </row>
    <row r="159" spans="1:21" ht="18.75" customHeight="1">
      <c r="A159" s="9" t="s">
        <v>46</v>
      </c>
      <c r="B159" s="9" t="str">
        <f t="shared" ca="1" si="3"/>
        <v>users.login_service</v>
      </c>
      <c r="C159" s="10">
        <f t="shared" si="0"/>
        <v>158</v>
      </c>
      <c r="D159" s="11" t="str" cm="1">
        <f t="array" aca="1" ref="D159" ca="1">INDIRECT(ADDRESS(ROW()-1,COLUMN()))</f>
        <v>users</v>
      </c>
      <c r="E159" s="11" t="str" cm="1">
        <f t="array" aca="1" ref="E159" ca="1">INDIRECT(ADDRESS(ROW()-1,COLUMN()))</f>
        <v>ユーザー</v>
      </c>
      <c r="F159" s="11" t="s">
        <v>246</v>
      </c>
      <c r="G159" s="11" t="s">
        <v>247</v>
      </c>
      <c r="H159" s="11" t="s">
        <v>49</v>
      </c>
      <c r="I159" s="11">
        <f>_xlfn.LET(
    _xlpm.可変bit数,--MID(H159,FIND("(",H159)+1,FIND(")",H159)-FIND("(",H159)-1),
    _xlfn.XLOOKUP(
        $H159,
        型とバイト数!$B$3:$B$54,
        型とバイト数!$E$3:$E$54,
        IF(LEFT($H159,7)="varchar",_xlpm.可変bit数*8,
            IF(LEFT($H159,4)="char",_xlpm.可変bit数*8,
                IF(LEFT($H159,3)="bit",_xlpm.可変bit数,"???")
            )
        )
    )
)</f>
        <v>128</v>
      </c>
      <c r="J159" s="11"/>
      <c r="K159" s="11" t="s">
        <v>51</v>
      </c>
      <c r="L159" s="9" t="s">
        <v>523</v>
      </c>
      <c r="M159" s="11">
        <f ca="1">_xlfn.SINGLE(IF(K159="","",IF(L159="","参照先未定義",_xlfn.XLOOKUP(L159,B:B,C:C,"エラー"))))</f>
        <v>123</v>
      </c>
      <c r="N159" s="11"/>
      <c r="O159" s="11"/>
      <c r="P159" s="11"/>
      <c r="Q159" s="11"/>
      <c r="R159" s="9"/>
      <c r="S159" s="9"/>
      <c r="T159" s="9"/>
      <c r="U159" s="11"/>
    </row>
    <row r="160" spans="1:21" ht="18.75" customHeight="1">
      <c r="A160" s="9" t="s">
        <v>46</v>
      </c>
      <c r="B160" s="9" t="str">
        <f t="shared" ca="1" si="3"/>
        <v>users.register_date</v>
      </c>
      <c r="C160" s="10">
        <f t="shared" si="0"/>
        <v>159</v>
      </c>
      <c r="D160" s="11" t="str" cm="1">
        <f t="array" aca="1" ref="D160" ca="1">INDIRECT(ADDRESS(ROW()-1,COLUMN()))</f>
        <v>users</v>
      </c>
      <c r="E160" s="11" t="str" cm="1">
        <f t="array" aca="1" ref="E160" ca="1">INDIRECT(ADDRESS(ROW()-1,COLUMN()))</f>
        <v>ユーザー</v>
      </c>
      <c r="F160" s="11" t="s">
        <v>248</v>
      </c>
      <c r="G160" s="11" t="s">
        <v>249</v>
      </c>
      <c r="H160" s="11" t="s">
        <v>515</v>
      </c>
      <c r="I160" s="11">
        <f>_xlfn.LET(
    _xlpm.可変bit数,--MID(H160,FIND("(",H160)+1,FIND(")",H160)-FIND("(",H160)-1),
    _xlfn.XLOOKUP(
        $H160,
        型とバイト数!$B$3:$B$54,
        型とバイト数!$E$3:$E$54,
        IF(LEFT($H160,7)="varchar",_xlpm.可変bit数*8,
            IF(LEFT($H160,4)="char",_xlpm.可変bit数*8,
                IF(LEFT($H160,3)="bit",_xlpm.可変bit数,"???")
            )
        )
    )
)</f>
        <v>64</v>
      </c>
      <c r="J160" s="11"/>
      <c r="K160" s="11"/>
      <c r="L160" s="9"/>
      <c r="M160" s="11" t="str">
        <f>_xlfn.SINGLE(IF(K160="","",IF(L160="","参照先未定義",_xlfn.XLOOKUP(L160,B:B,C:C,"エラー"))))</f>
        <v/>
      </c>
      <c r="N160" s="11" t="s">
        <v>51</v>
      </c>
      <c r="O160" s="11"/>
      <c r="P160" s="11" t="s">
        <v>112</v>
      </c>
      <c r="Q160" s="11"/>
      <c r="R160" s="9"/>
      <c r="S160" s="9"/>
      <c r="T160" s="9"/>
      <c r="U160" s="11"/>
    </row>
    <row r="161" spans="1:21" ht="18.75" customHeight="1">
      <c r="A161" s="9" t="s">
        <v>46</v>
      </c>
      <c r="B161" s="9" t="str">
        <f t="shared" ca="1" si="3"/>
        <v>users.disp_theme</v>
      </c>
      <c r="C161" s="10">
        <f t="shared" si="0"/>
        <v>160</v>
      </c>
      <c r="D161" s="11" t="str" cm="1">
        <f t="array" aca="1" ref="D161" ca="1">INDIRECT(ADDRESS(ROW()-1,COLUMN()))</f>
        <v>users</v>
      </c>
      <c r="E161" s="11" t="str" cm="1">
        <f t="array" aca="1" ref="E161" ca="1">INDIRECT(ADDRESS(ROW()-1,COLUMN()))</f>
        <v>ユーザー</v>
      </c>
      <c r="F161" s="11" t="s">
        <v>250</v>
      </c>
      <c r="G161" s="11" t="s">
        <v>251</v>
      </c>
      <c r="H161" s="11" t="s">
        <v>49</v>
      </c>
      <c r="I161" s="11">
        <f>_xlfn.LET(
    _xlpm.可変bit数,--MID(H161,FIND("(",H161)+1,FIND(")",H161)-FIND("(",H161)-1),
    _xlfn.XLOOKUP(
        $H161,
        型とバイト数!$B$3:$B$54,
        型とバイト数!$E$3:$E$54,
        IF(LEFT($H161,7)="varchar",_xlpm.可変bit数*8,
            IF(LEFT($H161,4)="char",_xlpm.可変bit数*8,
                IF(LEFT($H161,3)="bit",_xlpm.可変bit数,"???")
            )
        )
    )
)</f>
        <v>128</v>
      </c>
      <c r="J161" s="11"/>
      <c r="K161" s="11" t="s">
        <v>51</v>
      </c>
      <c r="L161" s="9" t="s">
        <v>532</v>
      </c>
      <c r="M161" s="11">
        <f ca="1">_xlfn.SINGLE(IF(K161="","",IF(L161="","参照先未定義",_xlfn.XLOOKUP(L161,B:B,C:C,"エラー"))))</f>
        <v>167</v>
      </c>
      <c r="N161" s="11" t="s">
        <v>51</v>
      </c>
      <c r="O161" s="11"/>
      <c r="P161" s="11" t="s">
        <v>491</v>
      </c>
      <c r="Q161" s="11"/>
      <c r="R161" s="9"/>
      <c r="S161" s="9"/>
      <c r="T161" s="9"/>
      <c r="U161" s="11"/>
    </row>
    <row r="162" spans="1:21" ht="18.75" customHeight="1">
      <c r="A162" s="9" t="s">
        <v>46</v>
      </c>
      <c r="B162" s="9" t="str">
        <f t="shared" ca="1" si="3"/>
        <v>users.language</v>
      </c>
      <c r="C162" s="10">
        <f t="shared" si="0"/>
        <v>161</v>
      </c>
      <c r="D162" s="11" t="str" cm="1">
        <f t="array" aca="1" ref="D162" ca="1">INDIRECT(ADDRESS(ROW()-1,COLUMN()))</f>
        <v>users</v>
      </c>
      <c r="E162" s="11" t="str" cm="1">
        <f t="array" aca="1" ref="E162" ca="1">INDIRECT(ADDRESS(ROW()-1,COLUMN()))</f>
        <v>ユーザー</v>
      </c>
      <c r="F162" s="11" t="s">
        <v>193</v>
      </c>
      <c r="G162" s="11" t="s">
        <v>194</v>
      </c>
      <c r="H162" s="11" t="s">
        <v>49</v>
      </c>
      <c r="I162" s="11">
        <f>_xlfn.LET(
    _xlpm.可変bit数,--MID(H162,FIND("(",H162)+1,FIND(")",H162)-FIND("(",H162)-1),
    _xlfn.XLOOKUP(
        $H162,
        型とバイト数!$B$3:$B$54,
        型とバイト数!$E$3:$E$54,
        IF(LEFT($H162,7)="varchar",_xlpm.可変bit数*8,
            IF(LEFT($H162,4)="char",_xlpm.可変bit数*8,
                IF(LEFT($H162,3)="bit",_xlpm.可変bit数,"???")
            )
        )
    )
)</f>
        <v>128</v>
      </c>
      <c r="J162" s="11"/>
      <c r="K162" s="11" t="s">
        <v>51</v>
      </c>
      <c r="L162" s="9" t="s">
        <v>527</v>
      </c>
      <c r="M162" s="11">
        <f ca="1">_xlfn.SINGLE(IF(K162="","",IF(L162="","参照先未定義",_xlfn.XLOOKUP(L162,B:B,C:C,"エラー"))))</f>
        <v>104</v>
      </c>
      <c r="N162" s="11" t="s">
        <v>51</v>
      </c>
      <c r="O162" s="11"/>
      <c r="P162" s="11" t="s">
        <v>492</v>
      </c>
      <c r="Q162" s="11"/>
      <c r="R162" s="9"/>
      <c r="S162" s="9"/>
      <c r="T162" s="9"/>
      <c r="U162" s="11"/>
    </row>
    <row r="163" spans="1:21" ht="18.75" customHeight="1">
      <c r="A163" s="9" t="s">
        <v>46</v>
      </c>
      <c r="B163" s="9" t="str">
        <f t="shared" ca="1" si="3"/>
        <v>users.create_datetime</v>
      </c>
      <c r="C163" s="10">
        <f t="shared" si="0"/>
        <v>162</v>
      </c>
      <c r="D163" s="11" t="str" cm="1">
        <f t="array" aca="1" ref="D163" ca="1">INDIRECT(ADDRESS(ROW()-1,COLUMN()))</f>
        <v>users</v>
      </c>
      <c r="E163" s="11" t="str" cm="1">
        <f t="array" aca="1" ref="E163" ca="1">INDIRECT(ADDRESS(ROW()-1,COLUMN()))</f>
        <v>ユーザー</v>
      </c>
      <c r="F163" s="11" t="s">
        <v>110</v>
      </c>
      <c r="G163" s="11" t="s">
        <v>111</v>
      </c>
      <c r="H163" s="11" t="s">
        <v>515</v>
      </c>
      <c r="I163" s="11">
        <f>_xlfn.LET(
    _xlpm.可変bit数,--MID(H163,FIND("(",H163)+1,FIND(")",H163)-FIND("(",H163)-1),
    _xlfn.XLOOKUP(
        $H163,
        型とバイト数!$B$3:$B$54,
        型とバイト数!$E$3:$E$54,
        IF(LEFT($H163,7)="varchar",_xlpm.可変bit数*8,
            IF(LEFT($H163,4)="char",_xlpm.可変bit数*8,
                IF(LEFT($H163,3)="bit",_xlpm.可変bit数,"???")
            )
        )
    )
)</f>
        <v>64</v>
      </c>
      <c r="J163" s="11"/>
      <c r="K163" s="11"/>
      <c r="L163" s="9"/>
      <c r="M163" s="11" t="str">
        <f>_xlfn.SINGLE(IF(K163="","",IF(L163="","参照先未定義",_xlfn.XLOOKUP(L163,B:B,C:C,"エラー"))))</f>
        <v/>
      </c>
      <c r="N163" s="11" t="s">
        <v>51</v>
      </c>
      <c r="O163" s="11"/>
      <c r="P163" s="11" t="s">
        <v>112</v>
      </c>
      <c r="Q163" s="11"/>
      <c r="R163" s="9"/>
      <c r="S163" s="9"/>
      <c r="T163" s="9"/>
      <c r="U163" s="11"/>
    </row>
    <row r="164" spans="1:21" ht="18.75" customHeight="1">
      <c r="A164" s="9" t="s">
        <v>46</v>
      </c>
      <c r="B164" s="9" t="str">
        <f t="shared" ca="1" si="3"/>
        <v>users.create_user</v>
      </c>
      <c r="C164" s="10">
        <f t="shared" si="0"/>
        <v>163</v>
      </c>
      <c r="D164" s="11" t="str" cm="1">
        <f t="array" aca="1" ref="D164" ca="1">INDIRECT(ADDRESS(ROW()-1,COLUMN()))</f>
        <v>users</v>
      </c>
      <c r="E164" s="11" t="str" cm="1">
        <f t="array" aca="1" ref="E164" ca="1">INDIRECT(ADDRESS(ROW()-1,COLUMN()))</f>
        <v>ユーザー</v>
      </c>
      <c r="F164" s="11" t="s">
        <v>113</v>
      </c>
      <c r="G164" s="11" t="s">
        <v>114</v>
      </c>
      <c r="H164" s="11" t="s">
        <v>71</v>
      </c>
      <c r="I164" s="11">
        <f>_xlfn.LET(
    _xlpm.可変bit数,--MID(H164,FIND("(",H164)+1,FIND(")",H164)-FIND("(",H164)-1),
    _xlfn.XLOOKUP(
        $H164,
        型とバイト数!$B$3:$B$54,
        型とバイト数!$E$3:$E$54,
        IF(LEFT($H164,7)="varchar",_xlpm.可変bit数*8,
            IF(LEFT($H164,4)="char",_xlpm.可変bit数*8,
                IF(LEFT($H164,3)="bit",_xlpm.可変bit数,"???")
            )
        )
    )
)</f>
        <v>256</v>
      </c>
      <c r="J164" s="11"/>
      <c r="K164" s="11"/>
      <c r="L164" s="9"/>
      <c r="M164" s="11" t="str">
        <f>_xlfn.SINGLE(IF(K164="","",IF(L164="","参照先未定義",_xlfn.XLOOKUP(L164,B:B,C:C,"エラー"))))</f>
        <v/>
      </c>
      <c r="N164" s="11" t="s">
        <v>51</v>
      </c>
      <c r="O164" s="11"/>
      <c r="P164" s="11" t="s">
        <v>115</v>
      </c>
      <c r="Q164" s="11"/>
      <c r="R164" s="9"/>
      <c r="S164" s="9"/>
      <c r="T164" s="9"/>
      <c r="U164" s="11" t="s">
        <v>116</v>
      </c>
    </row>
    <row r="165" spans="1:21" ht="18.75" customHeight="1">
      <c r="A165" s="9" t="s">
        <v>46</v>
      </c>
      <c r="B165" s="9" t="str">
        <f t="shared" ca="1" si="3"/>
        <v>users.update_datetime</v>
      </c>
      <c r="C165" s="10">
        <f t="shared" si="0"/>
        <v>164</v>
      </c>
      <c r="D165" s="11" t="str" cm="1">
        <f t="array" aca="1" ref="D165" ca="1">INDIRECT(ADDRESS(ROW()-1,COLUMN()))</f>
        <v>users</v>
      </c>
      <c r="E165" s="11" t="str" cm="1">
        <f t="array" aca="1" ref="E165" ca="1">INDIRECT(ADDRESS(ROW()-1,COLUMN()))</f>
        <v>ユーザー</v>
      </c>
      <c r="F165" s="11" t="s">
        <v>117</v>
      </c>
      <c r="G165" s="11" t="s">
        <v>118</v>
      </c>
      <c r="H165" s="11" t="s">
        <v>515</v>
      </c>
      <c r="I165" s="11">
        <f>_xlfn.LET(
    _xlpm.可変bit数,--MID(H165,FIND("(",H165)+1,FIND(")",H165)-FIND("(",H165)-1),
    _xlfn.XLOOKUP(
        $H165,
        型とバイト数!$B$3:$B$54,
        型とバイト数!$E$3:$E$54,
        IF(LEFT($H165,7)="varchar",_xlpm.可変bit数*8,
            IF(LEFT($H165,4)="char",_xlpm.可変bit数*8,
                IF(LEFT($H165,3)="bit",_xlpm.可変bit数,"???")
            )
        )
    )
)</f>
        <v>64</v>
      </c>
      <c r="J165" s="11"/>
      <c r="K165" s="11"/>
      <c r="L165" s="9"/>
      <c r="M165" s="11" t="str">
        <f>_xlfn.SINGLE(IF(K165="","",IF(L165="","参照先未定義",_xlfn.XLOOKUP(L165,B:B,C:C,"エラー"))))</f>
        <v/>
      </c>
      <c r="N165" s="11" t="s">
        <v>51</v>
      </c>
      <c r="O165" s="11"/>
      <c r="P165" s="11" t="s">
        <v>112</v>
      </c>
      <c r="Q165" s="11"/>
      <c r="R165" s="9"/>
      <c r="S165" s="9"/>
      <c r="T165" s="9"/>
      <c r="U165" s="11"/>
    </row>
    <row r="166" spans="1:21" ht="18.75" customHeight="1">
      <c r="A166" s="9" t="s">
        <v>46</v>
      </c>
      <c r="B166" s="9" t="str">
        <f t="shared" ca="1" si="3"/>
        <v>users.update_user</v>
      </c>
      <c r="C166" s="10">
        <f t="shared" si="0"/>
        <v>165</v>
      </c>
      <c r="D166" s="11" t="str" cm="1">
        <f t="array" aca="1" ref="D166" ca="1">INDIRECT(ADDRESS(ROW()-1,COLUMN()))</f>
        <v>users</v>
      </c>
      <c r="E166" s="11" t="str" cm="1">
        <f t="array" aca="1" ref="E166" ca="1">INDIRECT(ADDRESS(ROW()-1,COLUMN()))</f>
        <v>ユーザー</v>
      </c>
      <c r="F166" s="11" t="s">
        <v>119</v>
      </c>
      <c r="G166" s="11" t="s">
        <v>120</v>
      </c>
      <c r="H166" s="11" t="s">
        <v>71</v>
      </c>
      <c r="I166" s="11">
        <f>_xlfn.LET(
    _xlpm.可変bit数,--MID(H166,FIND("(",H166)+1,FIND(")",H166)-FIND("(",H166)-1),
    _xlfn.XLOOKUP(
        $H166,
        型とバイト数!$B$3:$B$54,
        型とバイト数!$E$3:$E$54,
        IF(LEFT($H166,7)="varchar",_xlpm.可変bit数*8,
            IF(LEFT($H166,4)="char",_xlpm.可変bit数*8,
                IF(LEFT($H166,3)="bit",_xlpm.可変bit数,"???")
            )
        )
    )
)</f>
        <v>256</v>
      </c>
      <c r="J166" s="11"/>
      <c r="K166" s="11"/>
      <c r="L166" s="9"/>
      <c r="M166" s="11" t="str">
        <f>_xlfn.SINGLE(IF(K166="","",IF(L166="","参照先未定義",_xlfn.XLOOKUP(L166,B:B,C:C,"エラー"))))</f>
        <v/>
      </c>
      <c r="N166" s="11" t="s">
        <v>51</v>
      </c>
      <c r="O166" s="11"/>
      <c r="P166" s="11" t="s">
        <v>115</v>
      </c>
      <c r="Q166" s="11"/>
      <c r="R166" s="9"/>
      <c r="S166" s="9"/>
      <c r="T166" s="9"/>
      <c r="U166" s="11" t="s">
        <v>116</v>
      </c>
    </row>
    <row r="167" spans="1:21" ht="18.75" customHeight="1">
      <c r="A167" s="9" t="s">
        <v>46</v>
      </c>
      <c r="B167" s="9" t="str">
        <f t="shared" ca="1" si="3"/>
        <v>users.soft_delete_flag</v>
      </c>
      <c r="C167" s="10">
        <f t="shared" si="0"/>
        <v>166</v>
      </c>
      <c r="D167" s="11" t="str" cm="1">
        <f t="array" aca="1" ref="D167" ca="1">INDIRECT(ADDRESS(ROW()-1,COLUMN()))</f>
        <v>users</v>
      </c>
      <c r="E167" s="11" t="str" cm="1">
        <f t="array" aca="1" ref="E167" ca="1">INDIRECT(ADDRESS(ROW()-1,COLUMN()))</f>
        <v>ユーザー</v>
      </c>
      <c r="F167" s="11" t="s">
        <v>121</v>
      </c>
      <c r="G167" s="11" t="s">
        <v>122</v>
      </c>
      <c r="H167" s="11" t="s">
        <v>517</v>
      </c>
      <c r="I167" s="11">
        <f>_xlfn.LET(
    _xlpm.可変bit数,--MID(H167,FIND("(",H167)+1,FIND(")",H167)-FIND("(",H167)-1),
    _xlfn.XLOOKUP(
        $H167,
        型とバイト数!$B$3:$B$54,
        型とバイト数!$E$3:$E$54,
        IF(LEFT($H167,7)="varchar",_xlpm.可変bit数*8,
            IF(LEFT($H167,4)="char",_xlpm.可変bit数*8,
                IF(LEFT($H167,3)="bit",_xlpm.可変bit数,"???")
            )
        )
    )
)</f>
        <v>8</v>
      </c>
      <c r="J167" s="11"/>
      <c r="K167" s="11"/>
      <c r="L167" s="9"/>
      <c r="M167" s="11" t="str">
        <f>_xlfn.SINGLE(IF(K167="","",IF(L167="","参照先未定義",_xlfn.XLOOKUP(L167,B:B,C:C,"エラー"))))</f>
        <v/>
      </c>
      <c r="N167" s="11" t="s">
        <v>51</v>
      </c>
      <c r="O167" s="11"/>
      <c r="P167" s="11">
        <v>0</v>
      </c>
      <c r="Q167" s="11"/>
      <c r="R167" s="9"/>
      <c r="S167" s="9"/>
      <c r="T167" s="9"/>
      <c r="U167" s="11"/>
    </row>
    <row r="168" spans="1:21" ht="18.75" customHeight="1">
      <c r="A168" s="9" t="s">
        <v>46</v>
      </c>
      <c r="B168" s="9" t="str">
        <f t="shared" si="3"/>
        <v>theme.theme_uuid</v>
      </c>
      <c r="C168" s="10">
        <f t="shared" si="0"/>
        <v>167</v>
      </c>
      <c r="D168" s="11" t="s">
        <v>252</v>
      </c>
      <c r="E168" s="11" t="s">
        <v>251</v>
      </c>
      <c r="F168" s="11" t="str">
        <f>D168&amp;"_uuid"</f>
        <v>theme_uuid</v>
      </c>
      <c r="G168" s="11" t="s">
        <v>50</v>
      </c>
      <c r="H168" s="11" t="s">
        <v>49</v>
      </c>
      <c r="I168" s="11">
        <f>_xlfn.LET(
    _xlpm.可変bit数,--MID(H168,FIND("(",H168)+1,FIND(")",H168)-FIND("(",H168)-1),
    _xlfn.XLOOKUP(
        $H168,
        型とバイト数!$B$3:$B$54,
        型とバイト数!$E$3:$E$54,
        IF(LEFT($H168,7)="varchar",_xlpm.可変bit数*8,
            IF(LEFT($H168,4)="char",_xlpm.可変bit数*8,
                IF(LEFT($H168,3)="bit",_xlpm.可変bit数,"???")
            )
        )
    )
)</f>
        <v>128</v>
      </c>
      <c r="J168" s="11" t="s">
        <v>488</v>
      </c>
      <c r="K168" s="11"/>
      <c r="L168" s="9"/>
      <c r="M168" s="11" t="str">
        <f>_xlfn.SINGLE(IF(K168="","",IF(L168="","参照先未定義",_xlfn.XLOOKUP(L168,B:B,C:C,"エラー"))))</f>
        <v/>
      </c>
      <c r="N168" s="11" t="s">
        <v>499</v>
      </c>
      <c r="O168" s="11" t="s">
        <v>499</v>
      </c>
      <c r="P168" s="11" t="s">
        <v>52</v>
      </c>
      <c r="Q168" s="11"/>
      <c r="R168" s="9"/>
      <c r="S168" s="9"/>
      <c r="T168" s="9"/>
      <c r="U168" s="11"/>
    </row>
    <row r="169" spans="1:21" ht="18.75" customHeight="1">
      <c r="A169" s="9" t="s">
        <v>46</v>
      </c>
      <c r="B169" s="9" t="str">
        <f t="shared" ca="1" si="3"/>
        <v>theme.theme_physical_name</v>
      </c>
      <c r="C169" s="10">
        <f t="shared" si="0"/>
        <v>168</v>
      </c>
      <c r="D169" s="11" t="str" cm="1">
        <f t="array" aca="1" ref="D169" ca="1">INDIRECT(ADDRESS(ROW()-1,COLUMN()))</f>
        <v>theme</v>
      </c>
      <c r="E169" s="11" t="str" cm="1">
        <f t="array" aca="1" ref="E169" ca="1">INDIRECT(ADDRESS(ROW()-1,COLUMN()))</f>
        <v>画面テーマ</v>
      </c>
      <c r="F169" s="11" t="s">
        <v>253</v>
      </c>
      <c r="G169" s="11" t="s">
        <v>254</v>
      </c>
      <c r="H169" s="11" t="s">
        <v>77</v>
      </c>
      <c r="I169" s="11">
        <f>_xlfn.LET(
    _xlpm.可変bit数,--MID(H169,FIND("(",H169)+1,FIND(")",H169)-FIND("(",H169)-1),
    _xlfn.XLOOKUP(
        $H169,
        型とバイト数!$B$3:$B$54,
        型とバイト数!$E$3:$E$54,
        IF(LEFT($H169,7)="varchar",_xlpm.可変bit数*8,
            IF(LEFT($H169,4)="char",_xlpm.可変bit数*8,
                IF(LEFT($H169,3)="bit",_xlpm.可変bit数,"???")
            )
        )
    )
)</f>
        <v>128</v>
      </c>
      <c r="J169" s="11"/>
      <c r="K169" s="11"/>
      <c r="L169" s="9"/>
      <c r="M169" s="11" t="str">
        <f>_xlfn.SINGLE(IF(K169="","",IF(L169="","参照先未定義",_xlfn.XLOOKUP(L169,B:B,C:C,"エラー"))))</f>
        <v/>
      </c>
      <c r="N169" s="11" t="s">
        <v>488</v>
      </c>
      <c r="O169" s="11" t="s">
        <v>488</v>
      </c>
      <c r="P169" s="11"/>
      <c r="Q169" s="11"/>
      <c r="R169" s="9"/>
      <c r="S169" s="9"/>
      <c r="T169" s="9"/>
      <c r="U169" s="11"/>
    </row>
    <row r="170" spans="1:21" ht="18.75" customHeight="1">
      <c r="A170" s="9" t="s">
        <v>46</v>
      </c>
      <c r="B170" s="9" t="str">
        <f t="shared" ca="1" si="3"/>
        <v>theme.theme_logical_name</v>
      </c>
      <c r="C170" s="10">
        <f t="shared" si="0"/>
        <v>169</v>
      </c>
      <c r="D170" s="11" t="str" cm="1">
        <f t="array" aca="1" ref="D170" ca="1">INDIRECT(ADDRESS(ROW()-1,COLUMN()))</f>
        <v>theme</v>
      </c>
      <c r="E170" s="11" t="str" cm="1">
        <f t="array" aca="1" ref="E170" ca="1">INDIRECT(ADDRESS(ROW()-1,COLUMN()))</f>
        <v>画面テーマ</v>
      </c>
      <c r="F170" s="11" t="s">
        <v>255</v>
      </c>
      <c r="G170" s="11" t="s">
        <v>256</v>
      </c>
      <c r="H170" s="11" t="s">
        <v>77</v>
      </c>
      <c r="I170" s="11">
        <f>_xlfn.LET(
    _xlpm.可変bit数,--MID(H170,FIND("(",H170)+1,FIND(")",H170)-FIND("(",H170)-1),
    _xlfn.XLOOKUP(
        $H170,
        型とバイト数!$B$3:$B$54,
        型とバイト数!$E$3:$E$54,
        IF(LEFT($H170,7)="varchar",_xlpm.可変bit数*8,
            IF(LEFT($H170,4)="char",_xlpm.可変bit数*8,
                IF(LEFT($H170,3)="bit",_xlpm.可変bit数,"???")
            )
        )
    )
)</f>
        <v>128</v>
      </c>
      <c r="J170" s="11"/>
      <c r="K170" s="11"/>
      <c r="L170" s="9"/>
      <c r="M170" s="11" t="str">
        <f>_xlfn.SINGLE(IF(K170="","",IF(L170="","参照先未定義",_xlfn.XLOOKUP(L170,B:B,C:C,"エラー"))))</f>
        <v/>
      </c>
      <c r="N170" s="11" t="s">
        <v>51</v>
      </c>
      <c r="O170" s="11"/>
      <c r="P170" s="11"/>
      <c r="Q170" s="11"/>
      <c r="R170" s="9"/>
      <c r="S170" s="9"/>
      <c r="T170" s="9"/>
      <c r="U170" s="11" t="s">
        <v>257</v>
      </c>
    </row>
    <row r="171" spans="1:21" ht="18.75" customHeight="1">
      <c r="A171" s="9" t="s">
        <v>46</v>
      </c>
      <c r="B171" s="9" t="str">
        <f t="shared" ca="1" si="3"/>
        <v>theme.create_datetime</v>
      </c>
      <c r="C171" s="10">
        <f t="shared" si="0"/>
        <v>170</v>
      </c>
      <c r="D171" s="11" t="str" cm="1">
        <f t="array" aca="1" ref="D171" ca="1">INDIRECT(ADDRESS(ROW()-1,COLUMN()))</f>
        <v>theme</v>
      </c>
      <c r="E171" s="11" t="str" cm="1">
        <f t="array" aca="1" ref="E171" ca="1">INDIRECT(ADDRESS(ROW()-1,COLUMN()))</f>
        <v>画面テーマ</v>
      </c>
      <c r="F171" s="11" t="s">
        <v>110</v>
      </c>
      <c r="G171" s="11" t="s">
        <v>111</v>
      </c>
      <c r="H171" s="11" t="s">
        <v>515</v>
      </c>
      <c r="I171" s="11">
        <f>_xlfn.LET(
    _xlpm.可変bit数,--MID(H171,FIND("(",H171)+1,FIND(")",H171)-FIND("(",H171)-1),
    _xlfn.XLOOKUP(
        $H171,
        型とバイト数!$B$3:$B$54,
        型とバイト数!$E$3:$E$54,
        IF(LEFT($H171,7)="varchar",_xlpm.可変bit数*8,
            IF(LEFT($H171,4)="char",_xlpm.可変bit数*8,
                IF(LEFT($H171,3)="bit",_xlpm.可変bit数,"???")
            )
        )
    )
)</f>
        <v>64</v>
      </c>
      <c r="J171" s="11"/>
      <c r="K171" s="11"/>
      <c r="L171" s="9"/>
      <c r="M171" s="11" t="str">
        <f>_xlfn.SINGLE(IF(K171="","",IF(L171="","参照先未定義",_xlfn.XLOOKUP(L171,B:B,C:C,"エラー"))))</f>
        <v/>
      </c>
      <c r="N171" s="11" t="s">
        <v>51</v>
      </c>
      <c r="O171" s="11"/>
      <c r="P171" s="11" t="s">
        <v>112</v>
      </c>
      <c r="Q171" s="11"/>
      <c r="R171" s="9"/>
      <c r="S171" s="9"/>
      <c r="T171" s="9"/>
      <c r="U171" s="11"/>
    </row>
    <row r="172" spans="1:21" ht="18.75" customHeight="1">
      <c r="A172" s="9" t="s">
        <v>46</v>
      </c>
      <c r="B172" s="9" t="str">
        <f t="shared" ca="1" si="3"/>
        <v>theme.create_user</v>
      </c>
      <c r="C172" s="10">
        <f t="shared" si="0"/>
        <v>171</v>
      </c>
      <c r="D172" s="11" t="str" cm="1">
        <f t="array" aca="1" ref="D172" ca="1">INDIRECT(ADDRESS(ROW()-1,COLUMN()))</f>
        <v>theme</v>
      </c>
      <c r="E172" s="11" t="str" cm="1">
        <f t="array" aca="1" ref="E172" ca="1">INDIRECT(ADDRESS(ROW()-1,COLUMN()))</f>
        <v>画面テーマ</v>
      </c>
      <c r="F172" s="11" t="s">
        <v>113</v>
      </c>
      <c r="G172" s="11" t="s">
        <v>114</v>
      </c>
      <c r="H172" s="11" t="s">
        <v>71</v>
      </c>
      <c r="I172" s="11">
        <f>_xlfn.LET(
    _xlpm.可変bit数,--MID(H172,FIND("(",H172)+1,FIND(")",H172)-FIND("(",H172)-1),
    _xlfn.XLOOKUP(
        $H172,
        型とバイト数!$B$3:$B$54,
        型とバイト数!$E$3:$E$54,
        IF(LEFT($H172,7)="varchar",_xlpm.可変bit数*8,
            IF(LEFT($H172,4)="char",_xlpm.可変bit数*8,
                IF(LEFT($H172,3)="bit",_xlpm.可変bit数,"???")
            )
        )
    )
)</f>
        <v>256</v>
      </c>
      <c r="J172" s="11"/>
      <c r="K172" s="11"/>
      <c r="L172" s="9"/>
      <c r="M172" s="11" t="str">
        <f>_xlfn.SINGLE(IF(K172="","",IF(L172="","参照先未定義",_xlfn.XLOOKUP(L172,B:B,C:C,"エラー"))))</f>
        <v/>
      </c>
      <c r="N172" s="11" t="s">
        <v>51</v>
      </c>
      <c r="O172" s="11"/>
      <c r="P172" s="11" t="s">
        <v>115</v>
      </c>
      <c r="Q172" s="11"/>
      <c r="R172" s="9"/>
      <c r="S172" s="9"/>
      <c r="T172" s="9"/>
      <c r="U172" s="11" t="s">
        <v>116</v>
      </c>
    </row>
    <row r="173" spans="1:21" ht="18.75" customHeight="1">
      <c r="A173" s="9" t="s">
        <v>46</v>
      </c>
      <c r="B173" s="9" t="str">
        <f t="shared" ca="1" si="3"/>
        <v>theme.update_datetime</v>
      </c>
      <c r="C173" s="10">
        <f t="shared" si="0"/>
        <v>172</v>
      </c>
      <c r="D173" s="11" t="str" cm="1">
        <f t="array" aca="1" ref="D173" ca="1">INDIRECT(ADDRESS(ROW()-1,COLUMN()))</f>
        <v>theme</v>
      </c>
      <c r="E173" s="11" t="str" cm="1">
        <f t="array" aca="1" ref="E173" ca="1">INDIRECT(ADDRESS(ROW()-1,COLUMN()))</f>
        <v>画面テーマ</v>
      </c>
      <c r="F173" s="11" t="s">
        <v>117</v>
      </c>
      <c r="G173" s="11" t="s">
        <v>118</v>
      </c>
      <c r="H173" s="11" t="s">
        <v>515</v>
      </c>
      <c r="I173" s="11">
        <f>_xlfn.LET(
    _xlpm.可変bit数,--MID(H173,FIND("(",H173)+1,FIND(")",H173)-FIND("(",H173)-1),
    _xlfn.XLOOKUP(
        $H173,
        型とバイト数!$B$3:$B$54,
        型とバイト数!$E$3:$E$54,
        IF(LEFT($H173,7)="varchar",_xlpm.可変bit数*8,
            IF(LEFT($H173,4)="char",_xlpm.可変bit数*8,
                IF(LEFT($H173,3)="bit",_xlpm.可変bit数,"???")
            )
        )
    )
)</f>
        <v>64</v>
      </c>
      <c r="J173" s="11"/>
      <c r="K173" s="11"/>
      <c r="L173" s="9"/>
      <c r="M173" s="11" t="str">
        <f>_xlfn.SINGLE(IF(K173="","",IF(L173="","参照先未定義",_xlfn.XLOOKUP(L173,B:B,C:C,"エラー"))))</f>
        <v/>
      </c>
      <c r="N173" s="11" t="s">
        <v>51</v>
      </c>
      <c r="O173" s="11"/>
      <c r="P173" s="11" t="s">
        <v>112</v>
      </c>
      <c r="Q173" s="11"/>
      <c r="R173" s="9"/>
      <c r="S173" s="9"/>
      <c r="T173" s="9"/>
      <c r="U173" s="11"/>
    </row>
    <row r="174" spans="1:21" ht="18.75" customHeight="1">
      <c r="A174" s="9" t="s">
        <v>46</v>
      </c>
      <c r="B174" s="9" t="str">
        <f t="shared" ca="1" si="3"/>
        <v>theme.update_user</v>
      </c>
      <c r="C174" s="10">
        <f t="shared" si="0"/>
        <v>173</v>
      </c>
      <c r="D174" s="11" t="str" cm="1">
        <f t="array" aca="1" ref="D174" ca="1">INDIRECT(ADDRESS(ROW()-1,COLUMN()))</f>
        <v>theme</v>
      </c>
      <c r="E174" s="11" t="str" cm="1">
        <f t="array" aca="1" ref="E174" ca="1">INDIRECT(ADDRESS(ROW()-1,COLUMN()))</f>
        <v>画面テーマ</v>
      </c>
      <c r="F174" s="11" t="s">
        <v>119</v>
      </c>
      <c r="G174" s="11" t="s">
        <v>120</v>
      </c>
      <c r="H174" s="11" t="s">
        <v>71</v>
      </c>
      <c r="I174" s="11">
        <f>_xlfn.LET(
    _xlpm.可変bit数,--MID(H174,FIND("(",H174)+1,FIND(")",H174)-FIND("(",H174)-1),
    _xlfn.XLOOKUP(
        $H174,
        型とバイト数!$B$3:$B$54,
        型とバイト数!$E$3:$E$54,
        IF(LEFT($H174,7)="varchar",_xlpm.可変bit数*8,
            IF(LEFT($H174,4)="char",_xlpm.可変bit数*8,
                IF(LEFT($H174,3)="bit",_xlpm.可変bit数,"???")
            )
        )
    )
)</f>
        <v>256</v>
      </c>
      <c r="J174" s="11"/>
      <c r="K174" s="11"/>
      <c r="L174" s="9"/>
      <c r="M174" s="11" t="str">
        <f>_xlfn.SINGLE(IF(K174="","",IF(L174="","参照先未定義",_xlfn.XLOOKUP(L174,B:B,C:C,"エラー"))))</f>
        <v/>
      </c>
      <c r="N174" s="11" t="s">
        <v>51</v>
      </c>
      <c r="O174" s="11"/>
      <c r="P174" s="11" t="s">
        <v>115</v>
      </c>
      <c r="Q174" s="11"/>
      <c r="R174" s="9"/>
      <c r="S174" s="9"/>
      <c r="T174" s="9"/>
      <c r="U174" s="11" t="s">
        <v>116</v>
      </c>
    </row>
    <row r="175" spans="1:21" ht="18.75" customHeight="1">
      <c r="A175" s="9" t="s">
        <v>46</v>
      </c>
      <c r="B175" s="9" t="str">
        <f t="shared" ca="1" si="3"/>
        <v>theme.soft_delete_flag</v>
      </c>
      <c r="C175" s="10">
        <f t="shared" si="0"/>
        <v>174</v>
      </c>
      <c r="D175" s="11" t="str" cm="1">
        <f t="array" aca="1" ref="D175" ca="1">INDIRECT(ADDRESS(ROW()-1,COLUMN()))</f>
        <v>theme</v>
      </c>
      <c r="E175" s="11" t="str" cm="1">
        <f t="array" aca="1" ref="E175" ca="1">INDIRECT(ADDRESS(ROW()-1,COLUMN()))</f>
        <v>画面テーマ</v>
      </c>
      <c r="F175" s="11" t="s">
        <v>121</v>
      </c>
      <c r="G175" s="11" t="s">
        <v>122</v>
      </c>
      <c r="H175" s="11" t="s">
        <v>517</v>
      </c>
      <c r="I175" s="11">
        <f>_xlfn.LET(
    _xlpm.可変bit数,--MID(H175,FIND("(",H175)+1,FIND(")",H175)-FIND("(",H175)-1),
    _xlfn.XLOOKUP(
        $H175,
        型とバイト数!$B$3:$B$54,
        型とバイト数!$E$3:$E$54,
        IF(LEFT($H175,7)="varchar",_xlpm.可変bit数*8,
            IF(LEFT($H175,4)="char",_xlpm.可変bit数*8,
                IF(LEFT($H175,3)="bit",_xlpm.可変bit数,"???")
            )
        )
    )
)</f>
        <v>8</v>
      </c>
      <c r="J175" s="11"/>
      <c r="K175" s="11"/>
      <c r="L175" s="9"/>
      <c r="M175" s="11" t="str">
        <f>_xlfn.SINGLE(IF(K175="","",IF(L175="","参照先未定義",_xlfn.XLOOKUP(L175,B:B,C:C,"エラー"))))</f>
        <v/>
      </c>
      <c r="N175" s="11" t="s">
        <v>51</v>
      </c>
      <c r="O175" s="11"/>
      <c r="P175" s="11">
        <v>0</v>
      </c>
      <c r="Q175" s="11"/>
      <c r="R175" s="9"/>
      <c r="S175" s="9"/>
      <c r="T175" s="9"/>
      <c r="U175" s="11"/>
    </row>
    <row r="176" spans="1:21" ht="18.75" customHeight="1">
      <c r="A176" s="9" t="s">
        <v>46</v>
      </c>
      <c r="B176" s="9" t="str">
        <f t="shared" si="3"/>
        <v>user_role.user_role_uuid</v>
      </c>
      <c r="C176" s="10">
        <f t="shared" si="0"/>
        <v>175</v>
      </c>
      <c r="D176" s="11" t="s">
        <v>258</v>
      </c>
      <c r="E176" s="11" t="s">
        <v>259</v>
      </c>
      <c r="F176" s="11" t="str">
        <f>D176&amp;"_uuid"</f>
        <v>user_role_uuid</v>
      </c>
      <c r="G176" s="11" t="s">
        <v>50</v>
      </c>
      <c r="H176" s="11" t="s">
        <v>49</v>
      </c>
      <c r="I176" s="11">
        <f>_xlfn.LET(
    _xlpm.可変bit数,--MID(H176,FIND("(",H176)+1,FIND(")",H176)-FIND("(",H176)-1),
    _xlfn.XLOOKUP(
        $H176,
        型とバイト数!$B$3:$B$54,
        型とバイト数!$E$3:$E$54,
        IF(LEFT($H176,7)="varchar",_xlpm.可変bit数*8,
            IF(LEFT($H176,4)="char",_xlpm.可変bit数*8,
                IF(LEFT($H176,3)="bit",_xlpm.可変bit数,"???")
            )
        )
    )
)</f>
        <v>128</v>
      </c>
      <c r="J176" s="11" t="s">
        <v>488</v>
      </c>
      <c r="K176" s="11"/>
      <c r="L176" s="9"/>
      <c r="M176" s="11" t="str">
        <f>_xlfn.SINGLE(IF(K176="","",IF(L176="","参照先未定義",_xlfn.XLOOKUP(L176,B:B,C:C,"エラー"))))</f>
        <v/>
      </c>
      <c r="N176" s="11" t="s">
        <v>499</v>
      </c>
      <c r="O176" s="11" t="s">
        <v>499</v>
      </c>
      <c r="P176" s="11" t="s">
        <v>52</v>
      </c>
      <c r="Q176" s="11"/>
      <c r="R176" s="9"/>
      <c r="S176" s="9"/>
      <c r="T176" s="9"/>
      <c r="U176" s="11"/>
    </row>
    <row r="177" spans="1:21" ht="18.75" customHeight="1">
      <c r="A177" s="9" t="s">
        <v>46</v>
      </c>
      <c r="B177" s="9" t="str">
        <f t="shared" ca="1" si="3"/>
        <v>user_role.user_role_physical_name</v>
      </c>
      <c r="C177" s="10">
        <f t="shared" si="0"/>
        <v>176</v>
      </c>
      <c r="D177" s="11" t="str" cm="1">
        <f t="array" aca="1" ref="D177" ca="1">INDIRECT(ADDRESS(ROW()-1,COLUMN()))</f>
        <v>user_role</v>
      </c>
      <c r="E177" s="11" t="str" cm="1">
        <f t="array" aca="1" ref="E177" ca="1">INDIRECT(ADDRESS(ROW()-1,COLUMN()))</f>
        <v>ユーザー権限</v>
      </c>
      <c r="F177" s="11" t="s">
        <v>241</v>
      </c>
      <c r="G177" s="11" t="s">
        <v>242</v>
      </c>
      <c r="H177" s="11" t="s">
        <v>55</v>
      </c>
      <c r="I177" s="11">
        <f>_xlfn.LET(
    _xlpm.可変bit数,--MID(H177,FIND("(",H177)+1,FIND(")",H177)-FIND("(",H177)-1),
    _xlfn.XLOOKUP(
        $H177,
        型とバイト数!$B$3:$B$54,
        型とバイト数!$E$3:$E$54,
        IF(LEFT($H177,7)="varchar",_xlpm.可変bit数*8,
            IF(LEFT($H177,4)="char",_xlpm.可変bit数*8,
                IF(LEFT($H177,3)="bit",_xlpm.可変bit数,"???")
            )
        )
    )
)</f>
        <v>64</v>
      </c>
      <c r="J177" s="11"/>
      <c r="K177" s="11"/>
      <c r="L177" s="9"/>
      <c r="M177" s="11" t="str">
        <f>_xlfn.SINGLE(IF(K177="","",IF(L177="","参照先未定義",_xlfn.XLOOKUP(L177,B:B,C:C,"エラー"))))</f>
        <v/>
      </c>
      <c r="N177" s="11" t="s">
        <v>488</v>
      </c>
      <c r="O177" s="11" t="s">
        <v>488</v>
      </c>
      <c r="P177" s="11"/>
      <c r="Q177" s="11"/>
      <c r="R177" s="9"/>
      <c r="S177" s="9"/>
      <c r="T177" s="9"/>
      <c r="U177" s="11"/>
    </row>
    <row r="178" spans="1:21" ht="18.75" customHeight="1">
      <c r="A178" s="9" t="s">
        <v>46</v>
      </c>
      <c r="B178" s="9" t="str">
        <f t="shared" ca="1" si="3"/>
        <v>user_role.user_role_logical_name</v>
      </c>
      <c r="C178" s="10">
        <f t="shared" si="0"/>
        <v>177</v>
      </c>
      <c r="D178" s="11" t="str" cm="1">
        <f t="array" aca="1" ref="D178" ca="1">INDIRECT(ADDRESS(ROW()-1,COLUMN()))</f>
        <v>user_role</v>
      </c>
      <c r="E178" s="11" t="str" cm="1">
        <f t="array" aca="1" ref="E178" ca="1">INDIRECT(ADDRESS(ROW()-1,COLUMN()))</f>
        <v>ユーザー権限</v>
      </c>
      <c r="F178" s="11" t="s">
        <v>260</v>
      </c>
      <c r="G178" s="11" t="s">
        <v>261</v>
      </c>
      <c r="H178" s="11" t="s">
        <v>55</v>
      </c>
      <c r="I178" s="11">
        <f>_xlfn.LET(
    _xlpm.可変bit数,--MID(H178,FIND("(",H178)+1,FIND(")",H178)-FIND("(",H178)-1),
    _xlfn.XLOOKUP(
        $H178,
        型とバイト数!$B$3:$B$54,
        型とバイト数!$E$3:$E$54,
        IF(LEFT($H178,7)="varchar",_xlpm.可変bit数*8,
            IF(LEFT($H178,4)="char",_xlpm.可変bit数*8,
                IF(LEFT($H178,3)="bit",_xlpm.可変bit数,"???")
            )
        )
    )
)</f>
        <v>64</v>
      </c>
      <c r="J178" s="11"/>
      <c r="K178" s="11"/>
      <c r="L178" s="9"/>
      <c r="M178" s="11" t="str">
        <f>_xlfn.SINGLE(IF(K178="","",IF(L178="","参照先未定義",_xlfn.XLOOKUP(L178,B:B,C:C,"エラー"))))</f>
        <v/>
      </c>
      <c r="N178" s="11" t="s">
        <v>51</v>
      </c>
      <c r="O178" s="11"/>
      <c r="P178" s="11"/>
      <c r="Q178" s="11"/>
      <c r="R178" s="9"/>
      <c r="S178" s="9"/>
      <c r="T178" s="9"/>
      <c r="U178" s="11" t="s">
        <v>257</v>
      </c>
    </row>
    <row r="179" spans="1:21" ht="18.75" customHeight="1">
      <c r="A179" s="9" t="s">
        <v>46</v>
      </c>
      <c r="B179" s="9" t="str">
        <f t="shared" ca="1" si="3"/>
        <v>user_role.create_datetime</v>
      </c>
      <c r="C179" s="10">
        <f t="shared" si="0"/>
        <v>178</v>
      </c>
      <c r="D179" s="11" t="str" cm="1">
        <f t="array" aca="1" ref="D179" ca="1">INDIRECT(ADDRESS(ROW()-1,COLUMN()))</f>
        <v>user_role</v>
      </c>
      <c r="E179" s="11" t="str" cm="1">
        <f t="array" aca="1" ref="E179" ca="1">INDIRECT(ADDRESS(ROW()-1,COLUMN()))</f>
        <v>ユーザー権限</v>
      </c>
      <c r="F179" s="11" t="s">
        <v>110</v>
      </c>
      <c r="G179" s="11" t="s">
        <v>111</v>
      </c>
      <c r="H179" s="11" t="s">
        <v>515</v>
      </c>
      <c r="I179" s="11">
        <f>_xlfn.LET(
    _xlpm.可変bit数,--MID(H179,FIND("(",H179)+1,FIND(")",H179)-FIND("(",H179)-1),
    _xlfn.XLOOKUP(
        $H179,
        型とバイト数!$B$3:$B$54,
        型とバイト数!$E$3:$E$54,
        IF(LEFT($H179,7)="varchar",_xlpm.可変bit数*8,
            IF(LEFT($H179,4)="char",_xlpm.可変bit数*8,
                IF(LEFT($H179,3)="bit",_xlpm.可変bit数,"???")
            )
        )
    )
)</f>
        <v>64</v>
      </c>
      <c r="J179" s="11"/>
      <c r="K179" s="11"/>
      <c r="L179" s="9"/>
      <c r="M179" s="11" t="str">
        <f>_xlfn.SINGLE(IF(K179="","",IF(L179="","参照先未定義",_xlfn.XLOOKUP(L179,B:B,C:C,"エラー"))))</f>
        <v/>
      </c>
      <c r="N179" s="11" t="s">
        <v>51</v>
      </c>
      <c r="O179" s="11"/>
      <c r="P179" s="11" t="s">
        <v>112</v>
      </c>
      <c r="Q179" s="11"/>
      <c r="R179" s="9"/>
      <c r="S179" s="9"/>
      <c r="T179" s="9"/>
      <c r="U179" s="11"/>
    </row>
    <row r="180" spans="1:21" ht="18.75" customHeight="1">
      <c r="A180" s="9" t="s">
        <v>46</v>
      </c>
      <c r="B180" s="9" t="str">
        <f t="shared" ca="1" si="3"/>
        <v>user_role.create_user</v>
      </c>
      <c r="C180" s="10">
        <f t="shared" si="0"/>
        <v>179</v>
      </c>
      <c r="D180" s="11" t="str" cm="1">
        <f t="array" aca="1" ref="D180" ca="1">INDIRECT(ADDRESS(ROW()-1,COLUMN()))</f>
        <v>user_role</v>
      </c>
      <c r="E180" s="11" t="str" cm="1">
        <f t="array" aca="1" ref="E180" ca="1">INDIRECT(ADDRESS(ROW()-1,COLUMN()))</f>
        <v>ユーザー権限</v>
      </c>
      <c r="F180" s="11" t="s">
        <v>113</v>
      </c>
      <c r="G180" s="11" t="s">
        <v>114</v>
      </c>
      <c r="H180" s="11" t="s">
        <v>71</v>
      </c>
      <c r="I180" s="11">
        <f>_xlfn.LET(
    _xlpm.可変bit数,--MID(H180,FIND("(",H180)+1,FIND(")",H180)-FIND("(",H180)-1),
    _xlfn.XLOOKUP(
        $H180,
        型とバイト数!$B$3:$B$54,
        型とバイト数!$E$3:$E$54,
        IF(LEFT($H180,7)="varchar",_xlpm.可変bit数*8,
            IF(LEFT($H180,4)="char",_xlpm.可変bit数*8,
                IF(LEFT($H180,3)="bit",_xlpm.可変bit数,"???")
            )
        )
    )
)</f>
        <v>256</v>
      </c>
      <c r="J180" s="11"/>
      <c r="K180" s="11"/>
      <c r="L180" s="9"/>
      <c r="M180" s="11" t="str">
        <f>_xlfn.SINGLE(IF(K180="","",IF(L180="","参照先未定義",_xlfn.XLOOKUP(L180,B:B,C:C,"エラー"))))</f>
        <v/>
      </c>
      <c r="N180" s="11" t="s">
        <v>51</v>
      </c>
      <c r="O180" s="11"/>
      <c r="P180" s="11" t="s">
        <v>115</v>
      </c>
      <c r="Q180" s="11"/>
      <c r="R180" s="9"/>
      <c r="S180" s="9"/>
      <c r="T180" s="9"/>
      <c r="U180" s="11" t="s">
        <v>116</v>
      </c>
    </row>
    <row r="181" spans="1:21" ht="18.75" customHeight="1">
      <c r="A181" s="9" t="s">
        <v>46</v>
      </c>
      <c r="B181" s="9" t="str">
        <f t="shared" ca="1" si="3"/>
        <v>user_role.update_datetime</v>
      </c>
      <c r="C181" s="10">
        <f t="shared" si="0"/>
        <v>180</v>
      </c>
      <c r="D181" s="11" t="str" cm="1">
        <f t="array" aca="1" ref="D181" ca="1">INDIRECT(ADDRESS(ROW()-1,COLUMN()))</f>
        <v>user_role</v>
      </c>
      <c r="E181" s="11" t="str" cm="1">
        <f t="array" aca="1" ref="E181" ca="1">INDIRECT(ADDRESS(ROW()-1,COLUMN()))</f>
        <v>ユーザー権限</v>
      </c>
      <c r="F181" s="11" t="s">
        <v>117</v>
      </c>
      <c r="G181" s="11" t="s">
        <v>118</v>
      </c>
      <c r="H181" s="11" t="s">
        <v>515</v>
      </c>
      <c r="I181" s="11">
        <f>_xlfn.LET(
    _xlpm.可変bit数,--MID(H181,FIND("(",H181)+1,FIND(")",H181)-FIND("(",H181)-1),
    _xlfn.XLOOKUP(
        $H181,
        型とバイト数!$B$3:$B$54,
        型とバイト数!$E$3:$E$54,
        IF(LEFT($H181,7)="varchar",_xlpm.可変bit数*8,
            IF(LEFT($H181,4)="char",_xlpm.可変bit数*8,
                IF(LEFT($H181,3)="bit",_xlpm.可変bit数,"???")
            )
        )
    )
)</f>
        <v>64</v>
      </c>
      <c r="J181" s="11"/>
      <c r="K181" s="11"/>
      <c r="L181" s="9"/>
      <c r="M181" s="11" t="str">
        <f>_xlfn.SINGLE(IF(K181="","",IF(L181="","参照先未定義",_xlfn.XLOOKUP(L181,B:B,C:C,"エラー"))))</f>
        <v/>
      </c>
      <c r="N181" s="11" t="s">
        <v>51</v>
      </c>
      <c r="O181" s="11"/>
      <c r="P181" s="11" t="s">
        <v>112</v>
      </c>
      <c r="Q181" s="11"/>
      <c r="R181" s="9"/>
      <c r="S181" s="9"/>
      <c r="T181" s="9"/>
      <c r="U181" s="11"/>
    </row>
    <row r="182" spans="1:21" ht="18.75" customHeight="1">
      <c r="A182" s="9" t="s">
        <v>46</v>
      </c>
      <c r="B182" s="9" t="str">
        <f t="shared" ca="1" si="3"/>
        <v>user_role.update_user</v>
      </c>
      <c r="C182" s="10">
        <f t="shared" si="0"/>
        <v>181</v>
      </c>
      <c r="D182" s="11" t="str" cm="1">
        <f t="array" aca="1" ref="D182" ca="1">INDIRECT(ADDRESS(ROW()-1,COLUMN()))</f>
        <v>user_role</v>
      </c>
      <c r="E182" s="11" t="str" cm="1">
        <f t="array" aca="1" ref="E182" ca="1">INDIRECT(ADDRESS(ROW()-1,COLUMN()))</f>
        <v>ユーザー権限</v>
      </c>
      <c r="F182" s="11" t="s">
        <v>119</v>
      </c>
      <c r="G182" s="11" t="s">
        <v>120</v>
      </c>
      <c r="H182" s="11" t="s">
        <v>71</v>
      </c>
      <c r="I182" s="11">
        <f>_xlfn.LET(
    _xlpm.可変bit数,--MID(H182,FIND("(",H182)+1,FIND(")",H182)-FIND("(",H182)-1),
    _xlfn.XLOOKUP(
        $H182,
        型とバイト数!$B$3:$B$54,
        型とバイト数!$E$3:$E$54,
        IF(LEFT($H182,7)="varchar",_xlpm.可変bit数*8,
            IF(LEFT($H182,4)="char",_xlpm.可変bit数*8,
                IF(LEFT($H182,3)="bit",_xlpm.可変bit数,"???")
            )
        )
    )
)</f>
        <v>256</v>
      </c>
      <c r="J182" s="11"/>
      <c r="K182" s="11"/>
      <c r="L182" s="9"/>
      <c r="M182" s="11" t="str">
        <f>_xlfn.SINGLE(IF(K182="","",IF(L182="","参照先未定義",_xlfn.XLOOKUP(L182,B:B,C:C,"エラー"))))</f>
        <v/>
      </c>
      <c r="N182" s="11" t="s">
        <v>51</v>
      </c>
      <c r="O182" s="11"/>
      <c r="P182" s="11" t="s">
        <v>115</v>
      </c>
      <c r="Q182" s="11"/>
      <c r="R182" s="9"/>
      <c r="S182" s="9"/>
      <c r="T182" s="9"/>
      <c r="U182" s="11" t="s">
        <v>116</v>
      </c>
    </row>
    <row r="183" spans="1:21" ht="18.75" customHeight="1">
      <c r="A183" s="9" t="s">
        <v>46</v>
      </c>
      <c r="B183" s="9" t="str">
        <f t="shared" ca="1" si="3"/>
        <v>user_role.soft_delete_flag</v>
      </c>
      <c r="C183" s="10">
        <f t="shared" si="0"/>
        <v>182</v>
      </c>
      <c r="D183" s="11" t="str" cm="1">
        <f t="array" aca="1" ref="D183" ca="1">INDIRECT(ADDRESS(ROW()-1,COLUMN()))</f>
        <v>user_role</v>
      </c>
      <c r="E183" s="11" t="str" cm="1">
        <f t="array" aca="1" ref="E183" ca="1">INDIRECT(ADDRESS(ROW()-1,COLUMN()))</f>
        <v>ユーザー権限</v>
      </c>
      <c r="F183" s="11" t="s">
        <v>121</v>
      </c>
      <c r="G183" s="11" t="s">
        <v>122</v>
      </c>
      <c r="H183" s="11" t="s">
        <v>517</v>
      </c>
      <c r="I183" s="11">
        <f>_xlfn.LET(
    _xlpm.可変bit数,--MID(H183,FIND("(",H183)+1,FIND(")",H183)-FIND("(",H183)-1),
    _xlfn.XLOOKUP(
        $H183,
        型とバイト数!$B$3:$B$54,
        型とバイト数!$E$3:$E$54,
        IF(LEFT($H183,7)="varchar",_xlpm.可変bit数*8,
            IF(LEFT($H183,4)="char",_xlpm.可変bit数*8,
                IF(LEFT($H183,3)="bit",_xlpm.可変bit数,"???")
            )
        )
    )
)</f>
        <v>8</v>
      </c>
      <c r="J183" s="11"/>
      <c r="K183" s="11"/>
      <c r="L183" s="9"/>
      <c r="M183" s="11" t="str">
        <f>_xlfn.SINGLE(IF(K183="","",IF(L183="","参照先未定義",_xlfn.XLOOKUP(L183,B:B,C:C,"エラー"))))</f>
        <v/>
      </c>
      <c r="N183" s="11" t="s">
        <v>51</v>
      </c>
      <c r="O183" s="11"/>
      <c r="P183" s="11">
        <v>0</v>
      </c>
      <c r="Q183" s="11"/>
      <c r="R183" s="9"/>
      <c r="S183" s="9"/>
      <c r="T183" s="9"/>
      <c r="U183" s="11"/>
    </row>
    <row r="184" spans="1:21" ht="18.75" customHeight="1">
      <c r="A184" s="9" t="s">
        <v>46</v>
      </c>
      <c r="B184" s="9" t="str">
        <f t="shared" si="3"/>
        <v>images_contents.images_contents_uuid</v>
      </c>
      <c r="C184" s="10">
        <f t="shared" si="0"/>
        <v>183</v>
      </c>
      <c r="D184" s="11" t="s">
        <v>496</v>
      </c>
      <c r="E184" s="11" t="s">
        <v>262</v>
      </c>
      <c r="F184" s="11" t="str">
        <f>D184&amp;"_uuid"</f>
        <v>images_contents_uuid</v>
      </c>
      <c r="G184" s="11" t="s">
        <v>50</v>
      </c>
      <c r="H184" s="11" t="s">
        <v>49</v>
      </c>
      <c r="I184" s="11">
        <f>_xlfn.LET(
    _xlpm.可変bit数,--MID(H184,FIND("(",H184)+1,FIND(")",H184)-FIND("(",H184)-1),
    _xlfn.XLOOKUP(
        $H184,
        型とバイト数!$B$3:$B$54,
        型とバイト数!$E$3:$E$54,
        IF(LEFT($H184,7)="varchar",_xlpm.可変bit数*8,
            IF(LEFT($H184,4)="char",_xlpm.可変bit数*8,
                IF(LEFT($H184,3)="bit",_xlpm.可変bit数,"???")
            )
        )
    )
)</f>
        <v>128</v>
      </c>
      <c r="J184" s="11" t="s">
        <v>488</v>
      </c>
      <c r="K184" s="11"/>
      <c r="L184" s="9"/>
      <c r="M184" s="11" t="str">
        <f>_xlfn.SINGLE(IF(K184="","",IF(L184="","参照先未定義",_xlfn.XLOOKUP(L184,B:B,C:C,"エラー"))))</f>
        <v/>
      </c>
      <c r="N184" s="11" t="s">
        <v>499</v>
      </c>
      <c r="O184" s="11" t="s">
        <v>499</v>
      </c>
      <c r="P184" s="11" t="s">
        <v>52</v>
      </c>
      <c r="Q184" s="11"/>
      <c r="R184" s="9"/>
      <c r="S184" s="9"/>
      <c r="T184" s="9"/>
      <c r="U184" s="11"/>
    </row>
    <row r="185" spans="1:21" ht="18.75" customHeight="1">
      <c r="A185" s="9" t="s">
        <v>46</v>
      </c>
      <c r="B185" s="9" t="str">
        <f t="shared" ca="1" si="3"/>
        <v>images_contents.image_id</v>
      </c>
      <c r="C185" s="10">
        <f t="shared" si="0"/>
        <v>184</v>
      </c>
      <c r="D185" s="11" t="str" cm="1">
        <f t="array" aca="1" ref="D185" ca="1">INDIRECT(ADDRESS(ROW()-1,COLUMN()))</f>
        <v>images_contents</v>
      </c>
      <c r="E185" s="11" t="str" cm="1">
        <f t="array" aca="1" ref="E185" ca="1">INDIRECT(ADDRESS(ROW()-1,COLUMN()))</f>
        <v>画像(ユーザー投稿)</v>
      </c>
      <c r="F185" s="11" t="s">
        <v>221</v>
      </c>
      <c r="G185" s="11" t="s">
        <v>222</v>
      </c>
      <c r="H185" s="11" t="s">
        <v>61</v>
      </c>
      <c r="I185" s="11">
        <f>_xlfn.LET(
    _xlpm.可変bit数,--MID(H185,FIND("(",H185)+1,FIND(")",H185)-FIND("(",H185)-1),
    _xlfn.XLOOKUP(
        $H185,
        型とバイト数!$B$3:$B$54,
        型とバイト数!$E$3:$E$54,
        IF(LEFT($H185,7)="varchar",_xlpm.可変bit数*8,
            IF(LEFT($H185,4)="char",_xlpm.可変bit数*8,
                IF(LEFT($H185,3)="bit",_xlpm.可変bit数,"???")
            )
        )
    )
)</f>
        <v>64</v>
      </c>
      <c r="J185" s="11"/>
      <c r="K185" s="11"/>
      <c r="L185" s="9"/>
      <c r="M185" s="11" t="str">
        <f>_xlfn.SINGLE(IF(K185="","",IF(L185="","参照先未定義",_xlfn.XLOOKUP(L185,B:B,C:C,"エラー"))))</f>
        <v/>
      </c>
      <c r="N185" s="11" t="s">
        <v>488</v>
      </c>
      <c r="O185" s="11" t="s">
        <v>488</v>
      </c>
      <c r="P185" s="11"/>
      <c r="Q185" s="11"/>
      <c r="R185" s="9"/>
      <c r="S185" s="9"/>
      <c r="T185" s="9"/>
      <c r="U185" s="11"/>
    </row>
    <row r="186" spans="1:21" ht="18.75" customHeight="1">
      <c r="A186" s="9" t="s">
        <v>46</v>
      </c>
      <c r="B186" s="9" t="str">
        <f t="shared" ca="1" si="3"/>
        <v>images_contents.user_id</v>
      </c>
      <c r="C186" s="10">
        <f t="shared" si="0"/>
        <v>185</v>
      </c>
      <c r="D186" s="11" t="str" cm="1">
        <f t="array" aca="1" ref="D186" ca="1">INDIRECT(ADDRESS(ROW()-1,COLUMN()))</f>
        <v>images_contents</v>
      </c>
      <c r="E186" s="11" t="str" cm="1">
        <f t="array" aca="1" ref="E186" ca="1">INDIRECT(ADDRESS(ROW()-1,COLUMN()))</f>
        <v>画像(ユーザー投稿)</v>
      </c>
      <c r="F186" s="11" t="s">
        <v>58</v>
      </c>
      <c r="G186" s="11" t="s">
        <v>59</v>
      </c>
      <c r="H186" s="11" t="s">
        <v>49</v>
      </c>
      <c r="I186" s="11">
        <f>_xlfn.LET(
    _xlpm.可変bit数,--MID(H186,FIND("(",H186)+1,FIND(")",H186)-FIND("(",H186)-1),
    _xlfn.XLOOKUP(
        $H186,
        型とバイト数!$B$3:$B$54,
        型とバイト数!$E$3:$E$54,
        IF(LEFT($H186,7)="varchar",_xlpm.可変bit数*8,
            IF(LEFT($H186,4)="char",_xlpm.可変bit数*8,
                IF(LEFT($H186,3)="bit",_xlpm.可変bit数,"???")
            )
        )
    )
)</f>
        <v>128</v>
      </c>
      <c r="J186" s="11"/>
      <c r="K186" s="11" t="s">
        <v>51</v>
      </c>
      <c r="L186" s="9" t="s">
        <v>519</v>
      </c>
      <c r="M186" s="11">
        <f ca="1">_xlfn.SINGLE(IF(K186="","",IF(L186="","参照先未定義",_xlfn.XLOOKUP(L186,B:B,C:C,"エラー"))))</f>
        <v>153</v>
      </c>
      <c r="N186" s="11" t="s">
        <v>51</v>
      </c>
      <c r="O186" s="11"/>
      <c r="P186" s="11"/>
      <c r="Q186" s="11"/>
      <c r="R186" s="9"/>
      <c r="S186" s="9"/>
      <c r="T186" s="9"/>
      <c r="U186" s="11"/>
    </row>
    <row r="187" spans="1:21" ht="18.75" customHeight="1">
      <c r="A187" s="9" t="s">
        <v>46</v>
      </c>
      <c r="B187" s="9" t="str">
        <f t="shared" ca="1" si="3"/>
        <v>images_contents.gcs_bucket</v>
      </c>
      <c r="C187" s="10">
        <f t="shared" si="0"/>
        <v>186</v>
      </c>
      <c r="D187" s="11" t="str" cm="1">
        <f t="array" aca="1" ref="D187" ca="1">INDIRECT(ADDRESS(ROW()-1,COLUMN()))</f>
        <v>images_contents</v>
      </c>
      <c r="E187" s="11" t="str" cm="1">
        <f t="array" aca="1" ref="E187" ca="1">INDIRECT(ADDRESS(ROW()-1,COLUMN()))</f>
        <v>画像(ユーザー投稿)</v>
      </c>
      <c r="F187" s="11" t="s">
        <v>263</v>
      </c>
      <c r="G187" s="11" t="s">
        <v>264</v>
      </c>
      <c r="H187" s="11" t="s">
        <v>265</v>
      </c>
      <c r="I187" s="11">
        <f>_xlfn.LET(
    _xlpm.可変bit数,--MID(H187,FIND("(",H187)+1,FIND(")",H187)-FIND("(",H187)-1),
    _xlfn.XLOOKUP(
        $H187,
        型とバイト数!$B$3:$B$54,
        型とバイト数!$E$3:$E$54,
        IF(LEFT($H187,7)="varchar",_xlpm.可変bit数*8,
            IF(LEFT($H187,4)="char",_xlpm.可変bit数*8,
                IF(LEFT($H187,3)="bit",_xlpm.可変bit数,"???")
            )
        )
    )
)</f>
        <v>800</v>
      </c>
      <c r="J187" s="11"/>
      <c r="K187" s="11"/>
      <c r="L187" s="9"/>
      <c r="M187" s="11" t="str">
        <f>_xlfn.SINGLE(IF(K187="","",IF(L187="","参照先未定義",_xlfn.XLOOKUP(L187,B:B,C:C,"エラー"))))</f>
        <v/>
      </c>
      <c r="N187" s="11" t="s">
        <v>51</v>
      </c>
      <c r="O187" s="11"/>
      <c r="P187" s="11"/>
      <c r="Q187" s="11"/>
      <c r="R187" s="9"/>
      <c r="S187" s="9"/>
      <c r="T187" s="9"/>
      <c r="U187" s="11"/>
    </row>
    <row r="188" spans="1:21" ht="18.75" customHeight="1">
      <c r="A188" s="9" t="s">
        <v>46</v>
      </c>
      <c r="B188" s="9" t="str">
        <f t="shared" ca="1" si="3"/>
        <v>images_contents.gcs_object_name</v>
      </c>
      <c r="C188" s="10">
        <f t="shared" si="0"/>
        <v>187</v>
      </c>
      <c r="D188" s="11" t="str" cm="1">
        <f t="array" aca="1" ref="D188" ca="1">INDIRECT(ADDRESS(ROW()-1,COLUMN()))</f>
        <v>images_contents</v>
      </c>
      <c r="E188" s="11" t="str" cm="1">
        <f t="array" aca="1" ref="E188" ca="1">INDIRECT(ADDRESS(ROW()-1,COLUMN()))</f>
        <v>画像(ユーザー投稿)</v>
      </c>
      <c r="F188" s="11" t="s">
        <v>266</v>
      </c>
      <c r="G188" s="11" t="s">
        <v>267</v>
      </c>
      <c r="H188" s="11" t="s">
        <v>268</v>
      </c>
      <c r="I188" s="11">
        <f>_xlfn.LET(
    _xlpm.可変bit数,--MID(H188,FIND("(",H188)+1,FIND(")",H188)-FIND("(",H188)-1),
    _xlfn.XLOOKUP(
        $H188,
        型とバイト数!$B$3:$B$54,
        型とバイト数!$E$3:$E$54,
        IF(LEFT($H188,7)="varchar",_xlpm.可変bit数*8,
            IF(LEFT($H188,4)="char",_xlpm.可変bit数*8,
                IF(LEFT($H188,3)="bit",_xlpm.可変bit数,"???")
            )
        )
    )
)</f>
        <v>4096</v>
      </c>
      <c r="J188" s="11"/>
      <c r="K188" s="11"/>
      <c r="L188" s="9"/>
      <c r="M188" s="11" t="str">
        <f>_xlfn.SINGLE(IF(K188="","",IF(L188="","参照先未定義",_xlfn.XLOOKUP(L188,B:B,C:C,"エラー"))))</f>
        <v/>
      </c>
      <c r="N188" s="11" t="s">
        <v>51</v>
      </c>
      <c r="O188" s="11"/>
      <c r="P188" s="11"/>
      <c r="Q188" s="11" t="s">
        <v>269</v>
      </c>
      <c r="R188" s="9"/>
      <c r="S188" s="9"/>
      <c r="T188" s="9"/>
      <c r="U188" s="11"/>
    </row>
    <row r="189" spans="1:21" ht="18.75" customHeight="1">
      <c r="A189" s="9" t="s">
        <v>46</v>
      </c>
      <c r="B189" s="9" t="str">
        <f t="shared" ref="B189:B243" ca="1" si="4">D189&amp;"."&amp;F189</f>
        <v>images_contents.cdn_url</v>
      </c>
      <c r="C189" s="10">
        <f t="shared" si="0"/>
        <v>188</v>
      </c>
      <c r="D189" s="11" t="str" cm="1">
        <f t="array" aca="1" ref="D189" ca="1">INDIRECT(ADDRESS(ROW()-1,COLUMN()))</f>
        <v>images_contents</v>
      </c>
      <c r="E189" s="11" t="str" cm="1">
        <f t="array" aca="1" ref="E189" ca="1">INDIRECT(ADDRESS(ROW()-1,COLUMN()))</f>
        <v>画像(ユーザー投稿)</v>
      </c>
      <c r="F189" s="11" t="s">
        <v>270</v>
      </c>
      <c r="G189" s="11" t="s">
        <v>271</v>
      </c>
      <c r="H189" s="11" t="s">
        <v>268</v>
      </c>
      <c r="I189" s="11">
        <f>_xlfn.LET(
    _xlpm.可変bit数,--MID(H189,FIND("(",H189)+1,FIND(")",H189)-FIND("(",H189)-1),
    _xlfn.XLOOKUP(
        $H189,
        型とバイト数!$B$3:$B$54,
        型とバイト数!$E$3:$E$54,
        IF(LEFT($H189,7)="varchar",_xlpm.可変bit数*8,
            IF(LEFT($H189,4)="char",_xlpm.可変bit数*8,
                IF(LEFT($H189,3)="bit",_xlpm.可変bit数,"???")
            )
        )
    )
)</f>
        <v>4096</v>
      </c>
      <c r="J189" s="11"/>
      <c r="K189" s="11"/>
      <c r="L189" s="9"/>
      <c r="M189" s="11" t="str">
        <f>_xlfn.SINGLE(IF(K189="","",IF(L189="","参照先未定義",_xlfn.XLOOKUP(L189,B:B,C:C,"エラー"))))</f>
        <v/>
      </c>
      <c r="N189" s="11"/>
      <c r="O189" s="11"/>
      <c r="P189" s="11"/>
      <c r="Q189" s="11" t="s">
        <v>272</v>
      </c>
      <c r="R189" s="9"/>
      <c r="S189" s="9"/>
      <c r="T189" s="9"/>
      <c r="U189" s="11"/>
    </row>
    <row r="190" spans="1:21" ht="18.75" customHeight="1">
      <c r="A190" s="9" t="s">
        <v>46</v>
      </c>
      <c r="B190" s="9" t="str">
        <f t="shared" ca="1" si="4"/>
        <v>images_contents.content_type</v>
      </c>
      <c r="C190" s="10">
        <f t="shared" si="0"/>
        <v>189</v>
      </c>
      <c r="D190" s="11" t="str" cm="1">
        <f t="array" aca="1" ref="D190" ca="1">INDIRECT(ADDRESS(ROW()-1,COLUMN()))</f>
        <v>images_contents</v>
      </c>
      <c r="E190" s="11" t="str" cm="1">
        <f t="array" aca="1" ref="E190" ca="1">INDIRECT(ADDRESS(ROW()-1,COLUMN()))</f>
        <v>画像(ユーザー投稿)</v>
      </c>
      <c r="F190" s="11" t="s">
        <v>273</v>
      </c>
      <c r="G190" s="11" t="s">
        <v>274</v>
      </c>
      <c r="H190" s="11" t="s">
        <v>275</v>
      </c>
      <c r="I190" s="11">
        <f>_xlfn.LET(
    _xlpm.可変bit数,--MID(H190,FIND("(",H190)+1,FIND(")",H190)-FIND("(",H190)-1),
    _xlfn.XLOOKUP(
        $H190,
        型とバイト数!$B$3:$B$54,
        型とバイト数!$E$3:$E$54,
        IF(LEFT($H190,7)="varchar",_xlpm.可変bit数*8,
            IF(LEFT($H190,4)="char",_xlpm.可変bit数*8,
                IF(LEFT($H190,3)="bit",_xlpm.可変bit数,"???")
            )
        )
    )
)</f>
        <v>400</v>
      </c>
      <c r="J190" s="11"/>
      <c r="K190" s="11"/>
      <c r="L190" s="9"/>
      <c r="M190" s="11" t="str">
        <f>_xlfn.SINGLE(IF(K190="","",IF(L190="","参照先未定義",_xlfn.XLOOKUP(L190,B:B,C:C,"エラー"))))</f>
        <v/>
      </c>
      <c r="N190" s="11"/>
      <c r="O190" s="11"/>
      <c r="P190" s="11"/>
      <c r="Q190" s="11" t="s">
        <v>276</v>
      </c>
      <c r="R190" s="9"/>
      <c r="S190" s="9"/>
      <c r="T190" s="9"/>
      <c r="U190" s="11"/>
    </row>
    <row r="191" spans="1:21" ht="18.75" customHeight="1">
      <c r="A191" s="9" t="s">
        <v>46</v>
      </c>
      <c r="B191" s="9" t="str">
        <f t="shared" ca="1" si="4"/>
        <v>images_contents.width</v>
      </c>
      <c r="C191" s="10">
        <f t="shared" si="0"/>
        <v>190</v>
      </c>
      <c r="D191" s="11" t="str" cm="1">
        <f t="array" aca="1" ref="D191" ca="1">INDIRECT(ADDRESS(ROW()-1,COLUMN()))</f>
        <v>images_contents</v>
      </c>
      <c r="E191" s="11" t="str" cm="1">
        <f t="array" aca="1" ref="E191" ca="1">INDIRECT(ADDRESS(ROW()-1,COLUMN()))</f>
        <v>画像(ユーザー投稿)</v>
      </c>
      <c r="F191" s="11" t="s">
        <v>277</v>
      </c>
      <c r="G191" s="11" t="s">
        <v>278</v>
      </c>
      <c r="H191" s="11" t="s">
        <v>105</v>
      </c>
      <c r="I191" s="11">
        <f>_xlfn.LET(
    _xlpm.可変bit数,--MID(H191,FIND("(",H191)+1,FIND(")",H191)-FIND("(",H191)-1),
    _xlfn.XLOOKUP(
        $H191,
        型とバイト数!$B$3:$B$54,
        型とバイト数!$E$3:$E$54,
        IF(LEFT($H191,7)="varchar",_xlpm.可変bit数*8,
            IF(LEFT($H191,4)="char",_xlpm.可変bit数*8,
                IF(LEFT($H191,3)="bit",_xlpm.可変bit数,"???")
            )
        )
    )
)</f>
        <v>32</v>
      </c>
      <c r="J191" s="11"/>
      <c r="K191" s="11"/>
      <c r="L191" s="9"/>
      <c r="M191" s="11" t="str">
        <f>_xlfn.SINGLE(IF(K191="","",IF(L191="","参照先未定義",_xlfn.XLOOKUP(L191,B:B,C:C,"エラー"))))</f>
        <v/>
      </c>
      <c r="N191" s="11"/>
      <c r="O191" s="11"/>
      <c r="P191" s="11"/>
      <c r="Q191" s="11"/>
      <c r="R191" s="9"/>
      <c r="S191" s="9"/>
      <c r="T191" s="9"/>
      <c r="U191" s="11"/>
    </row>
    <row r="192" spans="1:21" ht="18.75" customHeight="1">
      <c r="A192" s="9" t="s">
        <v>46</v>
      </c>
      <c r="B192" s="9" t="str">
        <f t="shared" ca="1" si="4"/>
        <v>images_contents.height</v>
      </c>
      <c r="C192" s="10">
        <f t="shared" si="0"/>
        <v>191</v>
      </c>
      <c r="D192" s="11" t="str" cm="1">
        <f t="array" aca="1" ref="D192" ca="1">INDIRECT(ADDRESS(ROW()-1,COLUMN()))</f>
        <v>images_contents</v>
      </c>
      <c r="E192" s="11" t="str" cm="1">
        <f t="array" aca="1" ref="E192" ca="1">INDIRECT(ADDRESS(ROW()-1,COLUMN()))</f>
        <v>画像(ユーザー投稿)</v>
      </c>
      <c r="F192" s="11" t="s">
        <v>78</v>
      </c>
      <c r="G192" s="11" t="s">
        <v>279</v>
      </c>
      <c r="H192" s="11" t="s">
        <v>105</v>
      </c>
      <c r="I192" s="11">
        <f>_xlfn.LET(
    _xlpm.可変bit数,--MID(H192,FIND("(",H192)+1,FIND(")",H192)-FIND("(",H192)-1),
    _xlfn.XLOOKUP(
        $H192,
        型とバイト数!$B$3:$B$54,
        型とバイト数!$E$3:$E$54,
        IF(LEFT($H192,7)="varchar",_xlpm.可変bit数*8,
            IF(LEFT($H192,4)="char",_xlpm.可変bit数*8,
                IF(LEFT($H192,3)="bit",_xlpm.可変bit数,"???")
            )
        )
    )
)</f>
        <v>32</v>
      </c>
      <c r="J192" s="11"/>
      <c r="K192" s="11"/>
      <c r="L192" s="9"/>
      <c r="M192" s="11" t="str">
        <f>_xlfn.SINGLE(IF(K192="","",IF(L192="","参照先未定義",_xlfn.XLOOKUP(L192,B:B,C:C,"エラー"))))</f>
        <v/>
      </c>
      <c r="N192" s="11"/>
      <c r="O192" s="11"/>
      <c r="P192" s="11"/>
      <c r="Q192" s="11"/>
      <c r="R192" s="9"/>
      <c r="S192" s="9"/>
      <c r="T192" s="9"/>
      <c r="U192" s="11"/>
    </row>
    <row r="193" spans="1:21" ht="18.75" customHeight="1">
      <c r="A193" s="9" t="s">
        <v>46</v>
      </c>
      <c r="B193" s="9" t="str">
        <f t="shared" ca="1" si="4"/>
        <v>images_contents.file_size</v>
      </c>
      <c r="C193" s="10">
        <f t="shared" si="0"/>
        <v>192</v>
      </c>
      <c r="D193" s="11" t="str" cm="1">
        <f t="array" aca="1" ref="D193" ca="1">INDIRECT(ADDRESS(ROW()-1,COLUMN()))</f>
        <v>images_contents</v>
      </c>
      <c r="E193" s="11" t="str" cm="1">
        <f t="array" aca="1" ref="E193" ca="1">INDIRECT(ADDRESS(ROW()-1,COLUMN()))</f>
        <v>画像(ユーザー投稿)</v>
      </c>
      <c r="F193" s="11" t="s">
        <v>280</v>
      </c>
      <c r="G193" s="11" t="s">
        <v>281</v>
      </c>
      <c r="H193" s="11" t="s">
        <v>105</v>
      </c>
      <c r="I193" s="11">
        <f>_xlfn.LET(
    _xlpm.可変bit数,--MID(H193,FIND("(",H193)+1,FIND(")",H193)-FIND("(",H193)-1),
    _xlfn.XLOOKUP(
        $H193,
        型とバイト数!$B$3:$B$54,
        型とバイト数!$E$3:$E$54,
        IF(LEFT($H193,7)="varchar",_xlpm.可変bit数*8,
            IF(LEFT($H193,4)="char",_xlpm.可変bit数*8,
                IF(LEFT($H193,3)="bit",_xlpm.可変bit数,"???")
            )
        )
    )
)</f>
        <v>32</v>
      </c>
      <c r="J193" s="11"/>
      <c r="K193" s="11"/>
      <c r="L193" s="9"/>
      <c r="M193" s="11" t="str">
        <f>_xlfn.SINGLE(IF(K193="","",IF(L193="","参照先未定義",_xlfn.XLOOKUP(L193,B:B,C:C,"エラー"))))</f>
        <v/>
      </c>
      <c r="N193" s="11"/>
      <c r="O193" s="11"/>
      <c r="P193" s="11"/>
      <c r="Q193" s="11"/>
      <c r="R193" s="9"/>
      <c r="S193" s="9"/>
      <c r="T193" s="9"/>
      <c r="U193" s="11"/>
    </row>
    <row r="194" spans="1:21" ht="18.75" customHeight="1">
      <c r="A194" s="9" t="s">
        <v>46</v>
      </c>
      <c r="B194" s="9" t="str">
        <f t="shared" ca="1" si="4"/>
        <v>images_contents.alt_text</v>
      </c>
      <c r="C194" s="10">
        <f t="shared" si="0"/>
        <v>193</v>
      </c>
      <c r="D194" s="11" t="str" cm="1">
        <f t="array" aca="1" ref="D194" ca="1">INDIRECT(ADDRESS(ROW()-1,COLUMN()))</f>
        <v>images_contents</v>
      </c>
      <c r="E194" s="11" t="str" cm="1">
        <f t="array" aca="1" ref="E194" ca="1">INDIRECT(ADDRESS(ROW()-1,COLUMN()))</f>
        <v>画像(ユーザー投稿)</v>
      </c>
      <c r="F194" s="11" t="s">
        <v>282</v>
      </c>
      <c r="G194" s="11" t="s">
        <v>283</v>
      </c>
      <c r="H194" s="11" t="s">
        <v>175</v>
      </c>
      <c r="I194" s="11">
        <f>_xlfn.LET(
    _xlpm.可変bit数,--MID(H194,FIND("(",H194)+1,FIND(")",H194)-FIND("(",H194)-1),
    _xlfn.XLOOKUP(
        $H194,
        型とバイト数!$B$3:$B$54,
        型とバイト数!$E$3:$E$54,
        IF(LEFT($H194,7)="varchar",_xlpm.可変bit数*8,
            IF(LEFT($H194,4)="char",_xlpm.可変bit数*8,
                IF(LEFT($H194,3)="bit",_xlpm.可変bit数,"???")
            )
        )
    )
)</f>
        <v>2040</v>
      </c>
      <c r="J194" s="11"/>
      <c r="K194" s="11"/>
      <c r="L194" s="9"/>
      <c r="M194" s="11" t="str">
        <f>_xlfn.SINGLE(IF(K194="","",IF(L194="","参照先未定義",_xlfn.XLOOKUP(L194,B:B,C:C,"エラー"))))</f>
        <v/>
      </c>
      <c r="N194" s="11"/>
      <c r="O194" s="11"/>
      <c r="P194" s="11"/>
      <c r="Q194" s="11"/>
      <c r="R194" s="9"/>
      <c r="S194" s="9"/>
      <c r="T194" s="9"/>
      <c r="U194" s="11"/>
    </row>
    <row r="195" spans="1:21" ht="18.75" customHeight="1">
      <c r="A195" s="9" t="s">
        <v>46</v>
      </c>
      <c r="B195" s="9" t="str">
        <f t="shared" ca="1" si="4"/>
        <v>images_contents.create_datetime</v>
      </c>
      <c r="C195" s="10">
        <f t="shared" si="0"/>
        <v>194</v>
      </c>
      <c r="D195" s="11" t="str" cm="1">
        <f t="array" aca="1" ref="D195" ca="1">INDIRECT(ADDRESS(ROW()-1,COLUMN()))</f>
        <v>images_contents</v>
      </c>
      <c r="E195" s="11" t="str" cm="1">
        <f t="array" aca="1" ref="E195" ca="1">INDIRECT(ADDRESS(ROW()-1,COLUMN()))</f>
        <v>画像(ユーザー投稿)</v>
      </c>
      <c r="F195" s="11" t="s">
        <v>110</v>
      </c>
      <c r="G195" s="11" t="s">
        <v>111</v>
      </c>
      <c r="H195" s="11" t="s">
        <v>515</v>
      </c>
      <c r="I195" s="11">
        <f>_xlfn.LET(
    _xlpm.可変bit数,--MID(H195,FIND("(",H195)+1,FIND(")",H195)-FIND("(",H195)-1),
    _xlfn.XLOOKUP(
        $H195,
        型とバイト数!$B$3:$B$54,
        型とバイト数!$E$3:$E$54,
        IF(LEFT($H195,7)="varchar",_xlpm.可変bit数*8,
            IF(LEFT($H195,4)="char",_xlpm.可変bit数*8,
                IF(LEFT($H195,3)="bit",_xlpm.可変bit数,"???")
            )
        )
    )
)</f>
        <v>64</v>
      </c>
      <c r="J195" s="11"/>
      <c r="K195" s="11"/>
      <c r="L195" s="9"/>
      <c r="M195" s="11" t="str">
        <f>_xlfn.SINGLE(IF(K195="","",IF(L195="","参照先未定義",_xlfn.XLOOKUP(L195,B:B,C:C,"エラー"))))</f>
        <v/>
      </c>
      <c r="N195" s="11" t="s">
        <v>51</v>
      </c>
      <c r="O195" s="11"/>
      <c r="P195" s="11" t="s">
        <v>112</v>
      </c>
      <c r="Q195" s="11"/>
      <c r="R195" s="9"/>
      <c r="S195" s="9"/>
      <c r="T195" s="9"/>
      <c r="U195" s="11"/>
    </row>
    <row r="196" spans="1:21" ht="18.75" customHeight="1">
      <c r="A196" s="9" t="s">
        <v>46</v>
      </c>
      <c r="B196" s="9" t="str">
        <f t="shared" ca="1" si="4"/>
        <v>images_contents.create_user</v>
      </c>
      <c r="C196" s="10">
        <f t="shared" si="0"/>
        <v>195</v>
      </c>
      <c r="D196" s="11" t="str" cm="1">
        <f t="array" aca="1" ref="D196" ca="1">INDIRECT(ADDRESS(ROW()-1,COLUMN()))</f>
        <v>images_contents</v>
      </c>
      <c r="E196" s="11" t="str" cm="1">
        <f t="array" aca="1" ref="E196" ca="1">INDIRECT(ADDRESS(ROW()-1,COLUMN()))</f>
        <v>画像(ユーザー投稿)</v>
      </c>
      <c r="F196" s="11" t="s">
        <v>113</v>
      </c>
      <c r="G196" s="11" t="s">
        <v>114</v>
      </c>
      <c r="H196" s="11" t="s">
        <v>71</v>
      </c>
      <c r="I196" s="11">
        <f>_xlfn.LET(
    _xlpm.可変bit数,--MID(H196,FIND("(",H196)+1,FIND(")",H196)-FIND("(",H196)-1),
    _xlfn.XLOOKUP(
        $H196,
        型とバイト数!$B$3:$B$54,
        型とバイト数!$E$3:$E$54,
        IF(LEFT($H196,7)="varchar",_xlpm.可変bit数*8,
            IF(LEFT($H196,4)="char",_xlpm.可変bit数*8,
                IF(LEFT($H196,3)="bit",_xlpm.可変bit数,"???")
            )
        )
    )
)</f>
        <v>256</v>
      </c>
      <c r="J196" s="11"/>
      <c r="K196" s="11"/>
      <c r="L196" s="9"/>
      <c r="M196" s="11" t="str">
        <f>_xlfn.SINGLE(IF(K196="","",IF(L196="","参照先未定義",_xlfn.XLOOKUP(L196,B:B,C:C,"エラー"))))</f>
        <v/>
      </c>
      <c r="N196" s="11" t="s">
        <v>51</v>
      </c>
      <c r="O196" s="11"/>
      <c r="P196" s="11" t="s">
        <v>115</v>
      </c>
      <c r="Q196" s="11"/>
      <c r="R196" s="9"/>
      <c r="S196" s="9"/>
      <c r="T196" s="9"/>
      <c r="U196" s="11" t="s">
        <v>116</v>
      </c>
    </row>
    <row r="197" spans="1:21" ht="18.75" customHeight="1">
      <c r="A197" s="9" t="s">
        <v>46</v>
      </c>
      <c r="B197" s="9" t="str">
        <f t="shared" ca="1" si="4"/>
        <v>images_contents.update_datetime</v>
      </c>
      <c r="C197" s="10">
        <f t="shared" si="0"/>
        <v>196</v>
      </c>
      <c r="D197" s="11" t="str" cm="1">
        <f t="array" aca="1" ref="D197" ca="1">INDIRECT(ADDRESS(ROW()-1,COLUMN()))</f>
        <v>images_contents</v>
      </c>
      <c r="E197" s="11" t="str" cm="1">
        <f t="array" aca="1" ref="E197" ca="1">INDIRECT(ADDRESS(ROW()-1,COLUMN()))</f>
        <v>画像(ユーザー投稿)</v>
      </c>
      <c r="F197" s="11" t="s">
        <v>117</v>
      </c>
      <c r="G197" s="11" t="s">
        <v>118</v>
      </c>
      <c r="H197" s="11" t="s">
        <v>515</v>
      </c>
      <c r="I197" s="11">
        <f>_xlfn.LET(
    _xlpm.可変bit数,--MID(H197,FIND("(",H197)+1,FIND(")",H197)-FIND("(",H197)-1),
    _xlfn.XLOOKUP(
        $H197,
        型とバイト数!$B$3:$B$54,
        型とバイト数!$E$3:$E$54,
        IF(LEFT($H197,7)="varchar",_xlpm.可変bit数*8,
            IF(LEFT($H197,4)="char",_xlpm.可変bit数*8,
                IF(LEFT($H197,3)="bit",_xlpm.可変bit数,"???")
            )
        )
    )
)</f>
        <v>64</v>
      </c>
      <c r="J197" s="11"/>
      <c r="K197" s="11"/>
      <c r="L197" s="9"/>
      <c r="M197" s="11" t="str">
        <f>_xlfn.SINGLE(IF(K197="","",IF(L197="","参照先未定義",_xlfn.XLOOKUP(L197,B:B,C:C,"エラー"))))</f>
        <v/>
      </c>
      <c r="N197" s="11" t="s">
        <v>51</v>
      </c>
      <c r="O197" s="11"/>
      <c r="P197" s="11" t="s">
        <v>112</v>
      </c>
      <c r="Q197" s="11"/>
      <c r="R197" s="9"/>
      <c r="S197" s="9"/>
      <c r="T197" s="9"/>
      <c r="U197" s="11"/>
    </row>
    <row r="198" spans="1:21" ht="18.75" customHeight="1">
      <c r="A198" s="9" t="s">
        <v>46</v>
      </c>
      <c r="B198" s="9" t="str">
        <f t="shared" ca="1" si="4"/>
        <v>images_contents.update_user</v>
      </c>
      <c r="C198" s="10">
        <f t="shared" si="0"/>
        <v>197</v>
      </c>
      <c r="D198" s="11" t="str" cm="1">
        <f t="array" aca="1" ref="D198" ca="1">INDIRECT(ADDRESS(ROW()-1,COLUMN()))</f>
        <v>images_contents</v>
      </c>
      <c r="E198" s="11" t="str" cm="1">
        <f t="array" aca="1" ref="E198" ca="1">INDIRECT(ADDRESS(ROW()-1,COLUMN()))</f>
        <v>画像(ユーザー投稿)</v>
      </c>
      <c r="F198" s="11" t="s">
        <v>119</v>
      </c>
      <c r="G198" s="11" t="s">
        <v>120</v>
      </c>
      <c r="H198" s="11" t="s">
        <v>71</v>
      </c>
      <c r="I198" s="11">
        <f>_xlfn.LET(
    _xlpm.可変bit数,--MID(H198,FIND("(",H198)+1,FIND(")",H198)-FIND("(",H198)-1),
    _xlfn.XLOOKUP(
        $H198,
        型とバイト数!$B$3:$B$54,
        型とバイト数!$E$3:$E$54,
        IF(LEFT($H198,7)="varchar",_xlpm.可変bit数*8,
            IF(LEFT($H198,4)="char",_xlpm.可変bit数*8,
                IF(LEFT($H198,3)="bit",_xlpm.可変bit数,"???")
            )
        )
    )
)</f>
        <v>256</v>
      </c>
      <c r="J198" s="11"/>
      <c r="K198" s="11"/>
      <c r="L198" s="9"/>
      <c r="M198" s="11" t="str">
        <f>_xlfn.SINGLE(IF(K198="","",IF(L198="","参照先未定義",_xlfn.XLOOKUP(L198,B:B,C:C,"エラー"))))</f>
        <v/>
      </c>
      <c r="N198" s="11" t="s">
        <v>51</v>
      </c>
      <c r="O198" s="11"/>
      <c r="P198" s="11" t="s">
        <v>115</v>
      </c>
      <c r="Q198" s="11"/>
      <c r="R198" s="9"/>
      <c r="S198" s="9"/>
      <c r="T198" s="9"/>
      <c r="U198" s="11" t="s">
        <v>116</v>
      </c>
    </row>
    <row r="199" spans="1:21" ht="18.75" customHeight="1">
      <c r="A199" s="9" t="s">
        <v>46</v>
      </c>
      <c r="B199" s="9" t="str">
        <f t="shared" ca="1" si="4"/>
        <v>images_contents.soft_delete_flag</v>
      </c>
      <c r="C199" s="10">
        <f t="shared" si="0"/>
        <v>198</v>
      </c>
      <c r="D199" s="11" t="str" cm="1">
        <f t="array" aca="1" ref="D199" ca="1">INDIRECT(ADDRESS(ROW()-1,COLUMN()))</f>
        <v>images_contents</v>
      </c>
      <c r="E199" s="11" t="str" cm="1">
        <f t="array" aca="1" ref="E199" ca="1">INDIRECT(ADDRESS(ROW()-1,COLUMN()))</f>
        <v>画像(ユーザー投稿)</v>
      </c>
      <c r="F199" s="11" t="s">
        <v>121</v>
      </c>
      <c r="G199" s="11" t="s">
        <v>122</v>
      </c>
      <c r="H199" s="11" t="s">
        <v>517</v>
      </c>
      <c r="I199" s="11">
        <f>_xlfn.LET(
    _xlpm.可変bit数,--MID(H199,FIND("(",H199)+1,FIND(")",H199)-FIND("(",H199)-1),
    _xlfn.XLOOKUP(
        $H199,
        型とバイト数!$B$3:$B$54,
        型とバイト数!$E$3:$E$54,
        IF(LEFT($H199,7)="varchar",_xlpm.可変bit数*8,
            IF(LEFT($H199,4)="char",_xlpm.可変bit数*8,
                IF(LEFT($H199,3)="bit",_xlpm.可変bit数,"???")
            )
        )
    )
)</f>
        <v>8</v>
      </c>
      <c r="J199" s="11"/>
      <c r="K199" s="11"/>
      <c r="L199" s="9"/>
      <c r="M199" s="11" t="str">
        <f>_xlfn.SINGLE(IF(K199="","",IF(L199="","参照先未定義",_xlfn.XLOOKUP(L199,B:B,C:C,"エラー"))))</f>
        <v/>
      </c>
      <c r="N199" s="11" t="s">
        <v>51</v>
      </c>
      <c r="O199" s="11"/>
      <c r="P199" s="11">
        <v>0</v>
      </c>
      <c r="Q199" s="11"/>
      <c r="R199" s="9"/>
      <c r="S199" s="9"/>
      <c r="T199" s="9"/>
      <c r="U199" s="11"/>
    </row>
    <row r="200" spans="1:21" ht="18.75" customHeight="1">
      <c r="A200" s="9" t="s">
        <v>46</v>
      </c>
      <c r="B200" s="9" t="str">
        <f t="shared" si="4"/>
        <v>images_system.images_system_uuid</v>
      </c>
      <c r="C200" s="10">
        <f t="shared" si="0"/>
        <v>199</v>
      </c>
      <c r="D200" s="11" t="s">
        <v>485</v>
      </c>
      <c r="E200" s="11" t="s">
        <v>284</v>
      </c>
      <c r="F200" s="11" t="str">
        <f>D200&amp;"_uuid"</f>
        <v>images_system_uuid</v>
      </c>
      <c r="G200" s="11" t="s">
        <v>50</v>
      </c>
      <c r="H200" s="11" t="s">
        <v>49</v>
      </c>
      <c r="I200" s="11">
        <f>_xlfn.LET(
    _xlpm.可変bit数,--MID(H200,FIND("(",H200)+1,FIND(")",H200)-FIND("(",H200)-1),
    _xlfn.XLOOKUP(
        $H200,
        型とバイト数!$B$3:$B$54,
        型とバイト数!$E$3:$E$54,
        IF(LEFT($H200,7)="varchar",_xlpm.可変bit数*8,
            IF(LEFT($H200,4)="char",_xlpm.可変bit数*8,
                IF(LEFT($H200,3)="bit",_xlpm.可変bit数,"???")
            )
        )
    )
)</f>
        <v>128</v>
      </c>
      <c r="J200" s="11" t="s">
        <v>488</v>
      </c>
      <c r="K200" s="11"/>
      <c r="L200" s="9"/>
      <c r="M200" s="11" t="str">
        <f>_xlfn.SINGLE(IF(K200="","",IF(L200="","参照先未定義",_xlfn.XLOOKUP(L200,B:B,C:C,"エラー"))))</f>
        <v/>
      </c>
      <c r="N200" s="11" t="s">
        <v>499</v>
      </c>
      <c r="O200" s="11" t="s">
        <v>499</v>
      </c>
      <c r="P200" s="11" t="s">
        <v>52</v>
      </c>
      <c r="Q200" s="11"/>
      <c r="R200" s="9"/>
      <c r="S200" s="9"/>
      <c r="T200" s="9"/>
      <c r="U200" s="11"/>
    </row>
    <row r="201" spans="1:21" ht="18.75" customHeight="1">
      <c r="A201" s="9" t="s">
        <v>46</v>
      </c>
      <c r="B201" s="9" t="str">
        <f t="shared" ca="1" si="4"/>
        <v>images_system.image_id</v>
      </c>
      <c r="C201" s="10">
        <f t="shared" si="0"/>
        <v>200</v>
      </c>
      <c r="D201" s="11" t="str" cm="1">
        <f t="array" aca="1" ref="D201" ca="1">INDIRECT(ADDRESS(ROW()-1,COLUMN()))</f>
        <v>images_system</v>
      </c>
      <c r="E201" s="11" t="str" cm="1">
        <f t="array" aca="1" ref="E201" ca="1">INDIRECT(ADDRESS(ROW()-1,COLUMN()))</f>
        <v>画像(システム管理)</v>
      </c>
      <c r="F201" s="11" t="s">
        <v>221</v>
      </c>
      <c r="G201" s="11" t="s">
        <v>222</v>
      </c>
      <c r="H201" s="11" t="s">
        <v>61</v>
      </c>
      <c r="I201" s="11">
        <f>_xlfn.LET(
    _xlpm.可変bit数,--MID(H201,FIND("(",H201)+1,FIND(")",H201)-FIND("(",H201)-1),
    _xlfn.XLOOKUP(
        $H201,
        型とバイト数!$B$3:$B$54,
        型とバイト数!$E$3:$E$54,
        IF(LEFT($H201,7)="varchar",_xlpm.可変bit数*8,
            IF(LEFT($H201,4)="char",_xlpm.可変bit数*8,
                IF(LEFT($H201,3)="bit",_xlpm.可変bit数,"???")
            )
        )
    )
)</f>
        <v>64</v>
      </c>
      <c r="J201" s="11"/>
      <c r="K201" s="11"/>
      <c r="L201" s="9"/>
      <c r="M201" s="11" t="str">
        <f>_xlfn.SINGLE(IF(K201="","",IF(L201="","参照先未定義",_xlfn.XLOOKUP(L201,B:B,C:C,"エラー"))))</f>
        <v/>
      </c>
      <c r="N201" s="11" t="s">
        <v>488</v>
      </c>
      <c r="O201" s="11" t="s">
        <v>488</v>
      </c>
      <c r="P201" s="11"/>
      <c r="Q201" s="11"/>
      <c r="R201" s="9"/>
      <c r="S201" s="9"/>
      <c r="T201" s="9"/>
      <c r="U201" s="11"/>
    </row>
    <row r="202" spans="1:21" ht="18.75" customHeight="1">
      <c r="A202" s="9" t="s">
        <v>46</v>
      </c>
      <c r="B202" s="9" t="str">
        <f t="shared" ca="1" si="4"/>
        <v>images_system.gcs_bucket</v>
      </c>
      <c r="C202" s="10">
        <f t="shared" si="0"/>
        <v>201</v>
      </c>
      <c r="D202" s="11" t="str" cm="1">
        <f t="array" aca="1" ref="D202" ca="1">INDIRECT(ADDRESS(ROW()-1,COLUMN()))</f>
        <v>images_system</v>
      </c>
      <c r="E202" s="11" t="str" cm="1">
        <f t="array" aca="1" ref="E202" ca="1">INDIRECT(ADDRESS(ROW()-1,COLUMN()))</f>
        <v>画像(システム管理)</v>
      </c>
      <c r="F202" s="11" t="s">
        <v>263</v>
      </c>
      <c r="G202" s="11" t="s">
        <v>264</v>
      </c>
      <c r="H202" s="11" t="s">
        <v>265</v>
      </c>
      <c r="I202" s="11">
        <f>_xlfn.LET(
    _xlpm.可変bit数,--MID(H202,FIND("(",H202)+1,FIND(")",H202)-FIND("(",H202)-1),
    _xlfn.XLOOKUP(
        $H202,
        型とバイト数!$B$3:$B$54,
        型とバイト数!$E$3:$E$54,
        IF(LEFT($H202,7)="varchar",_xlpm.可変bit数*8,
            IF(LEFT($H202,4)="char",_xlpm.可変bit数*8,
                IF(LEFT($H202,3)="bit",_xlpm.可変bit数,"???")
            )
        )
    )
)</f>
        <v>800</v>
      </c>
      <c r="J202" s="11"/>
      <c r="K202" s="11"/>
      <c r="L202" s="9"/>
      <c r="M202" s="11" t="str">
        <f>_xlfn.SINGLE(IF(K202="","",IF(L202="","参照先未定義",_xlfn.XLOOKUP(L202,B:B,C:C,"エラー"))))</f>
        <v/>
      </c>
      <c r="N202" s="11" t="s">
        <v>51</v>
      </c>
      <c r="O202" s="11"/>
      <c r="P202" s="11"/>
      <c r="Q202" s="11"/>
      <c r="R202" s="9"/>
      <c r="S202" s="9"/>
      <c r="T202" s="9"/>
      <c r="U202" s="11"/>
    </row>
    <row r="203" spans="1:21" ht="18.75" customHeight="1">
      <c r="A203" s="9" t="s">
        <v>46</v>
      </c>
      <c r="B203" s="9" t="str">
        <f t="shared" ca="1" si="4"/>
        <v>images_system.gcs_object_name</v>
      </c>
      <c r="C203" s="10">
        <f t="shared" si="0"/>
        <v>202</v>
      </c>
      <c r="D203" s="11" t="str" cm="1">
        <f t="array" aca="1" ref="D203" ca="1">INDIRECT(ADDRESS(ROW()-1,COLUMN()))</f>
        <v>images_system</v>
      </c>
      <c r="E203" s="11" t="str" cm="1">
        <f t="array" aca="1" ref="E203" ca="1">INDIRECT(ADDRESS(ROW()-1,COLUMN()))</f>
        <v>画像(システム管理)</v>
      </c>
      <c r="F203" s="11" t="s">
        <v>266</v>
      </c>
      <c r="G203" s="11" t="s">
        <v>267</v>
      </c>
      <c r="H203" s="11" t="s">
        <v>268</v>
      </c>
      <c r="I203" s="11">
        <f>_xlfn.LET(
    _xlpm.可変bit数,--MID(H203,FIND("(",H203)+1,FIND(")",H203)-FIND("(",H203)-1),
    _xlfn.XLOOKUP(
        $H203,
        型とバイト数!$B$3:$B$54,
        型とバイト数!$E$3:$E$54,
        IF(LEFT($H203,7)="varchar",_xlpm.可変bit数*8,
            IF(LEFT($H203,4)="char",_xlpm.可変bit数*8,
                IF(LEFT($H203,3)="bit",_xlpm.可変bit数,"???")
            )
        )
    )
)</f>
        <v>4096</v>
      </c>
      <c r="J203" s="11"/>
      <c r="K203" s="11"/>
      <c r="L203" s="9"/>
      <c r="M203" s="11" t="str">
        <f>_xlfn.SINGLE(IF(K203="","",IF(L203="","参照先未定義",_xlfn.XLOOKUP(L203,B:B,C:C,"エラー"))))</f>
        <v/>
      </c>
      <c r="N203" s="11" t="s">
        <v>51</v>
      </c>
      <c r="O203" s="11"/>
      <c r="P203" s="11"/>
      <c r="Q203" s="11" t="s">
        <v>269</v>
      </c>
      <c r="R203" s="9"/>
      <c r="S203" s="9"/>
      <c r="T203" s="9"/>
      <c r="U203" s="11"/>
    </row>
    <row r="204" spans="1:21" ht="18.75" customHeight="1">
      <c r="A204" s="9" t="s">
        <v>46</v>
      </c>
      <c r="B204" s="9" t="str">
        <f t="shared" ca="1" si="4"/>
        <v>images_system.cdn_url</v>
      </c>
      <c r="C204" s="10">
        <f t="shared" si="0"/>
        <v>203</v>
      </c>
      <c r="D204" s="11" t="str" cm="1">
        <f t="array" aca="1" ref="D204" ca="1">INDIRECT(ADDRESS(ROW()-1,COLUMN()))</f>
        <v>images_system</v>
      </c>
      <c r="E204" s="11" t="str" cm="1">
        <f t="array" aca="1" ref="E204" ca="1">INDIRECT(ADDRESS(ROW()-1,COLUMN()))</f>
        <v>画像(システム管理)</v>
      </c>
      <c r="F204" s="11" t="s">
        <v>270</v>
      </c>
      <c r="G204" s="11" t="s">
        <v>271</v>
      </c>
      <c r="H204" s="11" t="s">
        <v>268</v>
      </c>
      <c r="I204" s="11">
        <f>_xlfn.LET(
    _xlpm.可変bit数,--MID(H204,FIND("(",H204)+1,FIND(")",H204)-FIND("(",H204)-1),
    _xlfn.XLOOKUP(
        $H204,
        型とバイト数!$B$3:$B$54,
        型とバイト数!$E$3:$E$54,
        IF(LEFT($H204,7)="varchar",_xlpm.可変bit数*8,
            IF(LEFT($H204,4)="char",_xlpm.可変bit数*8,
                IF(LEFT($H204,3)="bit",_xlpm.可変bit数,"???")
            )
        )
    )
)</f>
        <v>4096</v>
      </c>
      <c r="J204" s="11"/>
      <c r="K204" s="11"/>
      <c r="L204" s="9"/>
      <c r="M204" s="11" t="str">
        <f>_xlfn.SINGLE(IF(K204="","",IF(L204="","参照先未定義",_xlfn.XLOOKUP(L204,B:B,C:C,"エラー"))))</f>
        <v/>
      </c>
      <c r="N204" s="11"/>
      <c r="O204" s="11"/>
      <c r="P204" s="11"/>
      <c r="Q204" s="11" t="s">
        <v>272</v>
      </c>
      <c r="R204" s="9"/>
      <c r="S204" s="9"/>
      <c r="T204" s="9"/>
      <c r="U204" s="11"/>
    </row>
    <row r="205" spans="1:21" ht="18.75" customHeight="1">
      <c r="A205" s="9" t="s">
        <v>46</v>
      </c>
      <c r="B205" s="9" t="str">
        <f t="shared" ca="1" si="4"/>
        <v>images_system.content_type</v>
      </c>
      <c r="C205" s="10">
        <f t="shared" ref="C205:C251" si="5">ROW()-1</f>
        <v>204</v>
      </c>
      <c r="D205" s="11" t="str" cm="1">
        <f t="array" aca="1" ref="D205" ca="1">INDIRECT(ADDRESS(ROW()-1,COLUMN()))</f>
        <v>images_system</v>
      </c>
      <c r="E205" s="11" t="str" cm="1">
        <f t="array" aca="1" ref="E205" ca="1">INDIRECT(ADDRESS(ROW()-1,COLUMN()))</f>
        <v>画像(システム管理)</v>
      </c>
      <c r="F205" s="11" t="s">
        <v>273</v>
      </c>
      <c r="G205" s="11" t="s">
        <v>274</v>
      </c>
      <c r="H205" s="11" t="s">
        <v>275</v>
      </c>
      <c r="I205" s="11">
        <f>_xlfn.LET(
    _xlpm.可変bit数,--MID(H205,FIND("(",H205)+1,FIND(")",H205)-FIND("(",H205)-1),
    _xlfn.XLOOKUP(
        $H205,
        型とバイト数!$B$3:$B$54,
        型とバイト数!$E$3:$E$54,
        IF(LEFT($H205,7)="varchar",_xlpm.可変bit数*8,
            IF(LEFT($H205,4)="char",_xlpm.可変bit数*8,
                IF(LEFT($H205,3)="bit",_xlpm.可変bit数,"???")
            )
        )
    )
)</f>
        <v>400</v>
      </c>
      <c r="J205" s="11"/>
      <c r="K205" s="11"/>
      <c r="L205" s="9"/>
      <c r="M205" s="11" t="str">
        <f>_xlfn.SINGLE(IF(K205="","",IF(L205="","参照先未定義",_xlfn.XLOOKUP(L205,B:B,C:C,"エラー"))))</f>
        <v/>
      </c>
      <c r="N205" s="11"/>
      <c r="O205" s="11"/>
      <c r="P205" s="11"/>
      <c r="Q205" s="11" t="s">
        <v>276</v>
      </c>
      <c r="R205" s="9"/>
      <c r="S205" s="9"/>
      <c r="T205" s="9"/>
      <c r="U205" s="11"/>
    </row>
    <row r="206" spans="1:21" ht="18.75" customHeight="1">
      <c r="A206" s="9" t="s">
        <v>46</v>
      </c>
      <c r="B206" s="9" t="str">
        <f t="shared" ca="1" si="4"/>
        <v>images_system.width</v>
      </c>
      <c r="C206" s="10">
        <f t="shared" si="5"/>
        <v>205</v>
      </c>
      <c r="D206" s="11" t="str" cm="1">
        <f t="array" aca="1" ref="D206" ca="1">INDIRECT(ADDRESS(ROW()-1,COLUMN()))</f>
        <v>images_system</v>
      </c>
      <c r="E206" s="11" t="str" cm="1">
        <f t="array" aca="1" ref="E206" ca="1">INDIRECT(ADDRESS(ROW()-1,COLUMN()))</f>
        <v>画像(システム管理)</v>
      </c>
      <c r="F206" s="11" t="s">
        <v>277</v>
      </c>
      <c r="G206" s="11" t="s">
        <v>278</v>
      </c>
      <c r="H206" s="11" t="s">
        <v>105</v>
      </c>
      <c r="I206" s="11">
        <f>_xlfn.LET(
    _xlpm.可変bit数,--MID(H206,FIND("(",H206)+1,FIND(")",H206)-FIND("(",H206)-1),
    _xlfn.XLOOKUP(
        $H206,
        型とバイト数!$B$3:$B$54,
        型とバイト数!$E$3:$E$54,
        IF(LEFT($H206,7)="varchar",_xlpm.可変bit数*8,
            IF(LEFT($H206,4)="char",_xlpm.可変bit数*8,
                IF(LEFT($H206,3)="bit",_xlpm.可変bit数,"???")
            )
        )
    )
)</f>
        <v>32</v>
      </c>
      <c r="J206" s="11"/>
      <c r="K206" s="11"/>
      <c r="L206" s="9"/>
      <c r="M206" s="11" t="str">
        <f>_xlfn.SINGLE(IF(K206="","",IF(L206="","参照先未定義",_xlfn.XLOOKUP(L206,B:B,C:C,"エラー"))))</f>
        <v/>
      </c>
      <c r="N206" s="11"/>
      <c r="O206" s="11"/>
      <c r="P206" s="11"/>
      <c r="Q206" s="11"/>
      <c r="R206" s="9"/>
      <c r="S206" s="9"/>
      <c r="T206" s="9"/>
      <c r="U206" s="11"/>
    </row>
    <row r="207" spans="1:21" ht="18.75" customHeight="1">
      <c r="A207" s="9" t="s">
        <v>46</v>
      </c>
      <c r="B207" s="9" t="str">
        <f t="shared" ca="1" si="4"/>
        <v>images_system.height</v>
      </c>
      <c r="C207" s="10">
        <f t="shared" si="5"/>
        <v>206</v>
      </c>
      <c r="D207" s="11" t="str" cm="1">
        <f t="array" aca="1" ref="D207" ca="1">INDIRECT(ADDRESS(ROW()-1,COLUMN()))</f>
        <v>images_system</v>
      </c>
      <c r="E207" s="11" t="str" cm="1">
        <f t="array" aca="1" ref="E207" ca="1">INDIRECT(ADDRESS(ROW()-1,COLUMN()))</f>
        <v>画像(システム管理)</v>
      </c>
      <c r="F207" s="11" t="s">
        <v>78</v>
      </c>
      <c r="G207" s="11" t="s">
        <v>279</v>
      </c>
      <c r="H207" s="11" t="s">
        <v>105</v>
      </c>
      <c r="I207" s="11">
        <f>_xlfn.LET(
    _xlpm.可変bit数,--MID(H207,FIND("(",H207)+1,FIND(")",H207)-FIND("(",H207)-1),
    _xlfn.XLOOKUP(
        $H207,
        型とバイト数!$B$3:$B$54,
        型とバイト数!$E$3:$E$54,
        IF(LEFT($H207,7)="varchar",_xlpm.可変bit数*8,
            IF(LEFT($H207,4)="char",_xlpm.可変bit数*8,
                IF(LEFT($H207,3)="bit",_xlpm.可変bit数,"???")
            )
        )
    )
)</f>
        <v>32</v>
      </c>
      <c r="J207" s="11"/>
      <c r="K207" s="11"/>
      <c r="L207" s="9"/>
      <c r="M207" s="11" t="str">
        <f>_xlfn.SINGLE(IF(K207="","",IF(L207="","参照先未定義",_xlfn.XLOOKUP(L207,B:B,C:C,"エラー"))))</f>
        <v/>
      </c>
      <c r="N207" s="11"/>
      <c r="O207" s="11"/>
      <c r="P207" s="11"/>
      <c r="Q207" s="11"/>
      <c r="R207" s="9"/>
      <c r="S207" s="9"/>
      <c r="T207" s="9"/>
      <c r="U207" s="11"/>
    </row>
    <row r="208" spans="1:21" ht="18.75" customHeight="1">
      <c r="A208" s="9" t="s">
        <v>46</v>
      </c>
      <c r="B208" s="9" t="str">
        <f t="shared" ca="1" si="4"/>
        <v>images_system.file_size</v>
      </c>
      <c r="C208" s="10">
        <f t="shared" si="5"/>
        <v>207</v>
      </c>
      <c r="D208" s="11" t="str" cm="1">
        <f t="array" aca="1" ref="D208" ca="1">INDIRECT(ADDRESS(ROW()-1,COLUMN()))</f>
        <v>images_system</v>
      </c>
      <c r="E208" s="11" t="str" cm="1">
        <f t="array" aca="1" ref="E208" ca="1">INDIRECT(ADDRESS(ROW()-1,COLUMN()))</f>
        <v>画像(システム管理)</v>
      </c>
      <c r="F208" s="11" t="s">
        <v>280</v>
      </c>
      <c r="G208" s="11" t="s">
        <v>281</v>
      </c>
      <c r="H208" s="11" t="s">
        <v>105</v>
      </c>
      <c r="I208" s="11">
        <f>_xlfn.LET(
    _xlpm.可変bit数,--MID(H208,FIND("(",H208)+1,FIND(")",H208)-FIND("(",H208)-1),
    _xlfn.XLOOKUP(
        $H208,
        型とバイト数!$B$3:$B$54,
        型とバイト数!$E$3:$E$54,
        IF(LEFT($H208,7)="varchar",_xlpm.可変bit数*8,
            IF(LEFT($H208,4)="char",_xlpm.可変bit数*8,
                IF(LEFT($H208,3)="bit",_xlpm.可変bit数,"???")
            )
        )
    )
)</f>
        <v>32</v>
      </c>
      <c r="J208" s="11"/>
      <c r="K208" s="11"/>
      <c r="L208" s="9"/>
      <c r="M208" s="11" t="str">
        <f>_xlfn.SINGLE(IF(K208="","",IF(L208="","参照先未定義",_xlfn.XLOOKUP(L208,B:B,C:C,"エラー"))))</f>
        <v/>
      </c>
      <c r="N208" s="11"/>
      <c r="O208" s="11"/>
      <c r="P208" s="11"/>
      <c r="Q208" s="11"/>
      <c r="R208" s="9"/>
      <c r="S208" s="9"/>
      <c r="T208" s="9"/>
      <c r="U208" s="11"/>
    </row>
    <row r="209" spans="1:21" ht="18.75" customHeight="1">
      <c r="A209" s="9" t="s">
        <v>46</v>
      </c>
      <c r="B209" s="9" t="str">
        <f t="shared" ca="1" si="4"/>
        <v>images_system.alt_text</v>
      </c>
      <c r="C209" s="10">
        <f t="shared" si="5"/>
        <v>208</v>
      </c>
      <c r="D209" s="11" t="str" cm="1">
        <f t="array" aca="1" ref="D209" ca="1">INDIRECT(ADDRESS(ROW()-1,COLUMN()))</f>
        <v>images_system</v>
      </c>
      <c r="E209" s="11" t="str" cm="1">
        <f t="array" aca="1" ref="E209" ca="1">INDIRECT(ADDRESS(ROW()-1,COLUMN()))</f>
        <v>画像(システム管理)</v>
      </c>
      <c r="F209" s="11" t="s">
        <v>282</v>
      </c>
      <c r="G209" s="11" t="s">
        <v>283</v>
      </c>
      <c r="H209" s="11" t="s">
        <v>175</v>
      </c>
      <c r="I209" s="11">
        <f>_xlfn.LET(
    _xlpm.可変bit数,--MID(H209,FIND("(",H209)+1,FIND(")",H209)-FIND("(",H209)-1),
    _xlfn.XLOOKUP(
        $H209,
        型とバイト数!$B$3:$B$54,
        型とバイト数!$E$3:$E$54,
        IF(LEFT($H209,7)="varchar",_xlpm.可変bit数*8,
            IF(LEFT($H209,4)="char",_xlpm.可変bit数*8,
                IF(LEFT($H209,3)="bit",_xlpm.可変bit数,"???")
            )
        )
    )
)</f>
        <v>2040</v>
      </c>
      <c r="J209" s="11"/>
      <c r="K209" s="11"/>
      <c r="L209" s="9"/>
      <c r="M209" s="11" t="str">
        <f>_xlfn.SINGLE(IF(K209="","",IF(L209="","参照先未定義",_xlfn.XLOOKUP(L209,B:B,C:C,"エラー"))))</f>
        <v/>
      </c>
      <c r="N209" s="11"/>
      <c r="O209" s="11"/>
      <c r="P209" s="11"/>
      <c r="Q209" s="11"/>
      <c r="R209" s="9"/>
      <c r="S209" s="9"/>
      <c r="T209" s="9"/>
      <c r="U209" s="11"/>
    </row>
    <row r="210" spans="1:21" ht="18.75" customHeight="1">
      <c r="A210" s="9" t="s">
        <v>46</v>
      </c>
      <c r="B210" s="9" t="str">
        <f t="shared" ca="1" si="4"/>
        <v>images_system.create_datetime</v>
      </c>
      <c r="C210" s="10">
        <f t="shared" si="5"/>
        <v>209</v>
      </c>
      <c r="D210" s="11" t="str" cm="1">
        <f t="array" aca="1" ref="D210" ca="1">INDIRECT(ADDRESS(ROW()-1,COLUMN()))</f>
        <v>images_system</v>
      </c>
      <c r="E210" s="11" t="str" cm="1">
        <f t="array" aca="1" ref="E210" ca="1">INDIRECT(ADDRESS(ROW()-1,COLUMN()))</f>
        <v>画像(システム管理)</v>
      </c>
      <c r="F210" s="11" t="s">
        <v>110</v>
      </c>
      <c r="G210" s="11" t="s">
        <v>111</v>
      </c>
      <c r="H210" s="11" t="s">
        <v>515</v>
      </c>
      <c r="I210" s="11">
        <f>_xlfn.LET(
    _xlpm.可変bit数,--MID(H210,FIND("(",H210)+1,FIND(")",H210)-FIND("(",H210)-1),
    _xlfn.XLOOKUP(
        $H210,
        型とバイト数!$B$3:$B$54,
        型とバイト数!$E$3:$E$54,
        IF(LEFT($H210,7)="varchar",_xlpm.可変bit数*8,
            IF(LEFT($H210,4)="char",_xlpm.可変bit数*8,
                IF(LEFT($H210,3)="bit",_xlpm.可変bit数,"???")
            )
        )
    )
)</f>
        <v>64</v>
      </c>
      <c r="J210" s="11"/>
      <c r="K210" s="11"/>
      <c r="L210" s="9"/>
      <c r="M210" s="11" t="str">
        <f>_xlfn.SINGLE(IF(K210="","",IF(L210="","参照先未定義",_xlfn.XLOOKUP(L210,B:B,C:C,"エラー"))))</f>
        <v/>
      </c>
      <c r="N210" s="11" t="s">
        <v>51</v>
      </c>
      <c r="O210" s="11"/>
      <c r="P210" s="11" t="s">
        <v>112</v>
      </c>
      <c r="Q210" s="11"/>
      <c r="R210" s="9"/>
      <c r="S210" s="9"/>
      <c r="T210" s="9"/>
      <c r="U210" s="11"/>
    </row>
    <row r="211" spans="1:21" ht="18.75" customHeight="1">
      <c r="A211" s="9" t="s">
        <v>46</v>
      </c>
      <c r="B211" s="9" t="str">
        <f t="shared" ca="1" si="4"/>
        <v>images_system.create_user</v>
      </c>
      <c r="C211" s="10">
        <f t="shared" si="5"/>
        <v>210</v>
      </c>
      <c r="D211" s="11" t="str" cm="1">
        <f t="array" aca="1" ref="D211" ca="1">INDIRECT(ADDRESS(ROW()-1,COLUMN()))</f>
        <v>images_system</v>
      </c>
      <c r="E211" s="11" t="str" cm="1">
        <f t="array" aca="1" ref="E211" ca="1">INDIRECT(ADDRESS(ROW()-1,COLUMN()))</f>
        <v>画像(システム管理)</v>
      </c>
      <c r="F211" s="11" t="s">
        <v>113</v>
      </c>
      <c r="G211" s="11" t="s">
        <v>114</v>
      </c>
      <c r="H211" s="11" t="s">
        <v>71</v>
      </c>
      <c r="I211" s="11">
        <f>_xlfn.LET(
    _xlpm.可変bit数,--MID(H211,FIND("(",H211)+1,FIND(")",H211)-FIND("(",H211)-1),
    _xlfn.XLOOKUP(
        $H211,
        型とバイト数!$B$3:$B$54,
        型とバイト数!$E$3:$E$54,
        IF(LEFT($H211,7)="varchar",_xlpm.可変bit数*8,
            IF(LEFT($H211,4)="char",_xlpm.可変bit数*8,
                IF(LEFT($H211,3)="bit",_xlpm.可変bit数,"???")
            )
        )
    )
)</f>
        <v>256</v>
      </c>
      <c r="J211" s="11"/>
      <c r="K211" s="11"/>
      <c r="L211" s="9"/>
      <c r="M211" s="11" t="str">
        <f>_xlfn.SINGLE(IF(K211="","",IF(L211="","参照先未定義",_xlfn.XLOOKUP(L211,B:B,C:C,"エラー"))))</f>
        <v/>
      </c>
      <c r="N211" s="11" t="s">
        <v>51</v>
      </c>
      <c r="O211" s="11"/>
      <c r="P211" s="11" t="s">
        <v>115</v>
      </c>
      <c r="Q211" s="11"/>
      <c r="R211" s="9"/>
      <c r="S211" s="9"/>
      <c r="T211" s="9"/>
      <c r="U211" s="11" t="s">
        <v>116</v>
      </c>
    </row>
    <row r="212" spans="1:21" ht="18.75" customHeight="1">
      <c r="A212" s="9" t="s">
        <v>46</v>
      </c>
      <c r="B212" s="9" t="str">
        <f t="shared" ca="1" si="4"/>
        <v>images_system.update_datetime</v>
      </c>
      <c r="C212" s="10">
        <f t="shared" si="5"/>
        <v>211</v>
      </c>
      <c r="D212" s="11" t="str" cm="1">
        <f t="array" aca="1" ref="D212" ca="1">INDIRECT(ADDRESS(ROW()-1,COLUMN()))</f>
        <v>images_system</v>
      </c>
      <c r="E212" s="11" t="str" cm="1">
        <f t="array" aca="1" ref="E212" ca="1">INDIRECT(ADDRESS(ROW()-1,COLUMN()))</f>
        <v>画像(システム管理)</v>
      </c>
      <c r="F212" s="11" t="s">
        <v>117</v>
      </c>
      <c r="G212" s="11" t="s">
        <v>118</v>
      </c>
      <c r="H212" s="11" t="s">
        <v>515</v>
      </c>
      <c r="I212" s="11">
        <f>_xlfn.LET(
    _xlpm.可変bit数,--MID(H212,FIND("(",H212)+1,FIND(")",H212)-FIND("(",H212)-1),
    _xlfn.XLOOKUP(
        $H212,
        型とバイト数!$B$3:$B$54,
        型とバイト数!$E$3:$E$54,
        IF(LEFT($H212,7)="varchar",_xlpm.可変bit数*8,
            IF(LEFT($H212,4)="char",_xlpm.可変bit数*8,
                IF(LEFT($H212,3)="bit",_xlpm.可変bit数,"???")
            )
        )
    )
)</f>
        <v>64</v>
      </c>
      <c r="J212" s="11"/>
      <c r="K212" s="11"/>
      <c r="L212" s="9"/>
      <c r="M212" s="11" t="str">
        <f>_xlfn.SINGLE(IF(K212="","",IF(L212="","参照先未定義",_xlfn.XLOOKUP(L212,B:B,C:C,"エラー"))))</f>
        <v/>
      </c>
      <c r="N212" s="11" t="s">
        <v>51</v>
      </c>
      <c r="O212" s="11"/>
      <c r="P212" s="11" t="s">
        <v>112</v>
      </c>
      <c r="Q212" s="11"/>
      <c r="R212" s="9"/>
      <c r="S212" s="9"/>
      <c r="T212" s="9"/>
      <c r="U212" s="11"/>
    </row>
    <row r="213" spans="1:21" ht="18.75" customHeight="1">
      <c r="A213" s="9" t="s">
        <v>46</v>
      </c>
      <c r="B213" s="9" t="str">
        <f t="shared" ca="1" si="4"/>
        <v>images_system.update_user</v>
      </c>
      <c r="C213" s="10">
        <f t="shared" si="5"/>
        <v>212</v>
      </c>
      <c r="D213" s="11" t="str" cm="1">
        <f t="array" aca="1" ref="D213" ca="1">INDIRECT(ADDRESS(ROW()-1,COLUMN()))</f>
        <v>images_system</v>
      </c>
      <c r="E213" s="11" t="str" cm="1">
        <f t="array" aca="1" ref="E213" ca="1">INDIRECT(ADDRESS(ROW()-1,COLUMN()))</f>
        <v>画像(システム管理)</v>
      </c>
      <c r="F213" s="11" t="s">
        <v>119</v>
      </c>
      <c r="G213" s="11" t="s">
        <v>120</v>
      </c>
      <c r="H213" s="11" t="s">
        <v>71</v>
      </c>
      <c r="I213" s="11">
        <f>_xlfn.LET(
    _xlpm.可変bit数,--MID(H213,FIND("(",H213)+1,FIND(")",H213)-FIND("(",H213)-1),
    _xlfn.XLOOKUP(
        $H213,
        型とバイト数!$B$3:$B$54,
        型とバイト数!$E$3:$E$54,
        IF(LEFT($H213,7)="varchar",_xlpm.可変bit数*8,
            IF(LEFT($H213,4)="char",_xlpm.可変bit数*8,
                IF(LEFT($H213,3)="bit",_xlpm.可変bit数,"???")
            )
        )
    )
)</f>
        <v>256</v>
      </c>
      <c r="J213" s="11"/>
      <c r="K213" s="11"/>
      <c r="L213" s="9"/>
      <c r="M213" s="11" t="str">
        <f>_xlfn.SINGLE(IF(K213="","",IF(L213="","参照先未定義",_xlfn.XLOOKUP(L213,B:B,C:C,"エラー"))))</f>
        <v/>
      </c>
      <c r="N213" s="11" t="s">
        <v>51</v>
      </c>
      <c r="O213" s="11"/>
      <c r="P213" s="11" t="s">
        <v>115</v>
      </c>
      <c r="Q213" s="11"/>
      <c r="R213" s="9"/>
      <c r="S213" s="9"/>
      <c r="T213" s="9"/>
      <c r="U213" s="11" t="s">
        <v>116</v>
      </c>
    </row>
    <row r="214" spans="1:21" ht="18.75" customHeight="1">
      <c r="A214" s="9" t="s">
        <v>46</v>
      </c>
      <c r="B214" s="9" t="str">
        <f t="shared" ca="1" si="4"/>
        <v>images_system.soft_delete_flag</v>
      </c>
      <c r="C214" s="10">
        <f t="shared" si="5"/>
        <v>213</v>
      </c>
      <c r="D214" s="11" t="str" cm="1">
        <f t="array" aca="1" ref="D214" ca="1">INDIRECT(ADDRESS(ROW()-1,COLUMN()))</f>
        <v>images_system</v>
      </c>
      <c r="E214" s="11" t="str" cm="1">
        <f t="array" aca="1" ref="E214" ca="1">INDIRECT(ADDRESS(ROW()-1,COLUMN()))</f>
        <v>画像(システム管理)</v>
      </c>
      <c r="F214" s="11" t="s">
        <v>121</v>
      </c>
      <c r="G214" s="11" t="s">
        <v>122</v>
      </c>
      <c r="H214" s="11" t="s">
        <v>517</v>
      </c>
      <c r="I214" s="11">
        <f>_xlfn.LET(
    _xlpm.可変bit数,--MID(H214,FIND("(",H214)+1,FIND(")",H214)-FIND("(",H214)-1),
    _xlfn.XLOOKUP(
        $H214,
        型とバイト数!$B$3:$B$54,
        型とバイト数!$E$3:$E$54,
        IF(LEFT($H214,7)="varchar",_xlpm.可変bit数*8,
            IF(LEFT($H214,4)="char",_xlpm.可変bit数*8,
                IF(LEFT($H214,3)="bit",_xlpm.可変bit数,"???")
            )
        )
    )
)</f>
        <v>8</v>
      </c>
      <c r="J214" s="11"/>
      <c r="K214" s="11"/>
      <c r="L214" s="9"/>
      <c r="M214" s="11" t="str">
        <f>_xlfn.SINGLE(IF(K214="","",IF(L214="","参照先未定義",_xlfn.XLOOKUP(L214,B:B,C:C,"エラー"))))</f>
        <v/>
      </c>
      <c r="N214" s="11" t="s">
        <v>51</v>
      </c>
      <c r="O214" s="11"/>
      <c r="P214" s="11">
        <v>0</v>
      </c>
      <c r="Q214" s="11"/>
      <c r="R214" s="9"/>
      <c r="S214" s="9"/>
      <c r="T214" s="9"/>
      <c r="U214" s="11"/>
    </row>
    <row r="215" spans="1:21" ht="18.75" customHeight="1">
      <c r="A215" s="9" t="s">
        <v>46</v>
      </c>
      <c r="B215" s="9" t="str">
        <f t="shared" si="4"/>
        <v>screen_element.screen_element_uuid</v>
      </c>
      <c r="C215" s="10">
        <f t="shared" si="5"/>
        <v>214</v>
      </c>
      <c r="D215" s="11" t="s">
        <v>285</v>
      </c>
      <c r="E215" s="11" t="s">
        <v>286</v>
      </c>
      <c r="F215" s="11" t="str">
        <f>D215&amp;"_uuid"</f>
        <v>screen_element_uuid</v>
      </c>
      <c r="G215" s="11" t="s">
        <v>50</v>
      </c>
      <c r="H215" s="11" t="s">
        <v>49</v>
      </c>
      <c r="I215" s="11">
        <f>_xlfn.LET(
    _xlpm.可変bit数,--MID(H215,FIND("(",H215)+1,FIND(")",H215)-FIND("(",H215)-1),
    _xlfn.XLOOKUP(
        $H215,
        型とバイト数!$B$3:$B$54,
        型とバイト数!$E$3:$E$54,
        IF(LEFT($H215,7)="varchar",_xlpm.可変bit数*8,
            IF(LEFT($H215,4)="char",_xlpm.可変bit数*8,
                IF(LEFT($H215,3)="bit",_xlpm.可変bit数,"???")
            )
        )
    )
)</f>
        <v>128</v>
      </c>
      <c r="J215" s="11" t="s">
        <v>488</v>
      </c>
      <c r="K215" s="11"/>
      <c r="L215" s="9"/>
      <c r="M215" s="11" t="str">
        <f>_xlfn.SINGLE(IF(K215="","",IF(L215="","参照先未定義",_xlfn.XLOOKUP(L215,B:B,C:C,"エラー"))))</f>
        <v/>
      </c>
      <c r="N215" s="11" t="s">
        <v>499</v>
      </c>
      <c r="O215" s="11" t="s">
        <v>499</v>
      </c>
      <c r="P215" s="11" t="s">
        <v>52</v>
      </c>
      <c r="Q215" s="11"/>
      <c r="R215" s="9"/>
      <c r="S215" s="9"/>
      <c r="T215" s="9"/>
      <c r="U215" s="11"/>
    </row>
    <row r="216" spans="1:21" ht="18.75" customHeight="1">
      <c r="A216" s="9" t="s">
        <v>46</v>
      </c>
      <c r="B216" s="9" t="str">
        <f t="shared" ca="1" si="4"/>
        <v>screen_element.message_id</v>
      </c>
      <c r="C216" s="10">
        <f t="shared" si="5"/>
        <v>215</v>
      </c>
      <c r="D216" s="11" t="str" cm="1">
        <f t="array" aca="1" ref="D216" ca="1">INDIRECT(ADDRESS(ROW()-1,COLUMN()))</f>
        <v>screen_element</v>
      </c>
      <c r="E216" s="11" t="str" cm="1">
        <f t="array" aca="1" ref="E216" ca="1">INDIRECT(ADDRESS(ROW()-1,COLUMN()))</f>
        <v>画面要素</v>
      </c>
      <c r="F216" s="11" t="s">
        <v>207</v>
      </c>
      <c r="G216" s="11" t="s">
        <v>208</v>
      </c>
      <c r="H216" s="11" t="s">
        <v>77</v>
      </c>
      <c r="I216" s="11">
        <f>_xlfn.LET(
    _xlpm.可変bit数,--MID(H216,FIND("(",H216)+1,FIND(")",H216)-FIND("(",H216)-1),
    _xlfn.XLOOKUP(
        $H216,
        型とバイト数!$B$3:$B$54,
        型とバイト数!$E$3:$E$54,
        IF(LEFT($H216,7)="varchar",_xlpm.可変bit数*8,
            IF(LEFT($H216,4)="char",_xlpm.可変bit数*8,
                IF(LEFT($H216,3)="bit",_xlpm.可変bit数,"???")
            )
        )
    )
)</f>
        <v>128</v>
      </c>
      <c r="J216" s="11"/>
      <c r="K216" s="11"/>
      <c r="L216" s="9"/>
      <c r="M216" s="11" t="str">
        <f>_xlfn.SINGLE(IF(K216="","",IF(L216="","参照先未定義",_xlfn.XLOOKUP(L216,B:B,C:C,"エラー"))))</f>
        <v/>
      </c>
      <c r="N216" s="11" t="s">
        <v>488</v>
      </c>
      <c r="O216" s="11" t="s">
        <v>488</v>
      </c>
      <c r="P216" s="11"/>
      <c r="Q216" s="11" t="s">
        <v>209</v>
      </c>
      <c r="R216" s="9"/>
      <c r="S216" s="9"/>
      <c r="T216" s="9"/>
      <c r="U216" s="11"/>
    </row>
    <row r="217" spans="1:21" ht="18.75" customHeight="1">
      <c r="A217" s="9" t="s">
        <v>46</v>
      </c>
      <c r="B217" s="9" t="str">
        <f t="shared" ca="1" si="4"/>
        <v>screen_element.create_datetime</v>
      </c>
      <c r="C217" s="10">
        <f t="shared" si="5"/>
        <v>216</v>
      </c>
      <c r="D217" s="11" t="str" cm="1">
        <f t="array" aca="1" ref="D217" ca="1">INDIRECT(ADDRESS(ROW()-1,COLUMN()))</f>
        <v>screen_element</v>
      </c>
      <c r="E217" s="11" t="str" cm="1">
        <f t="array" aca="1" ref="E217" ca="1">INDIRECT(ADDRESS(ROW()-1,COLUMN()))</f>
        <v>画面要素</v>
      </c>
      <c r="F217" s="11" t="s">
        <v>110</v>
      </c>
      <c r="G217" s="11" t="s">
        <v>111</v>
      </c>
      <c r="H217" s="11" t="s">
        <v>515</v>
      </c>
      <c r="I217" s="11">
        <f>_xlfn.LET(
    _xlpm.可変bit数,--MID(H217,FIND("(",H217)+1,FIND(")",H217)-FIND("(",H217)-1),
    _xlfn.XLOOKUP(
        $H217,
        型とバイト数!$B$3:$B$54,
        型とバイト数!$E$3:$E$54,
        IF(LEFT($H217,7)="varchar",_xlpm.可変bit数*8,
            IF(LEFT($H217,4)="char",_xlpm.可変bit数*8,
                IF(LEFT($H217,3)="bit",_xlpm.可変bit数,"???")
            )
        )
    )
)</f>
        <v>64</v>
      </c>
      <c r="J217" s="11"/>
      <c r="K217" s="11"/>
      <c r="L217" s="9"/>
      <c r="M217" s="11" t="str">
        <f>_xlfn.SINGLE(IF(K217="","",IF(L217="","参照先未定義",_xlfn.XLOOKUP(L217,B:B,C:C,"エラー"))))</f>
        <v/>
      </c>
      <c r="N217" s="11" t="s">
        <v>51</v>
      </c>
      <c r="O217" s="11"/>
      <c r="P217" s="11" t="s">
        <v>112</v>
      </c>
      <c r="Q217" s="11"/>
      <c r="R217" s="9"/>
      <c r="S217" s="9"/>
      <c r="T217" s="9"/>
      <c r="U217" s="11"/>
    </row>
    <row r="218" spans="1:21" ht="18.75" customHeight="1">
      <c r="A218" s="9" t="s">
        <v>46</v>
      </c>
      <c r="B218" s="9" t="str">
        <f t="shared" ca="1" si="4"/>
        <v>screen_element.create_user</v>
      </c>
      <c r="C218" s="10">
        <f t="shared" si="5"/>
        <v>217</v>
      </c>
      <c r="D218" s="11" t="str" cm="1">
        <f t="array" aca="1" ref="D218" ca="1">INDIRECT(ADDRESS(ROW()-1,COLUMN()))</f>
        <v>screen_element</v>
      </c>
      <c r="E218" s="11" t="str" cm="1">
        <f t="array" aca="1" ref="E218" ca="1">INDIRECT(ADDRESS(ROW()-1,COLUMN()))</f>
        <v>画面要素</v>
      </c>
      <c r="F218" s="11" t="s">
        <v>113</v>
      </c>
      <c r="G218" s="11" t="s">
        <v>114</v>
      </c>
      <c r="H218" s="11" t="s">
        <v>71</v>
      </c>
      <c r="I218" s="11">
        <f>_xlfn.LET(
    _xlpm.可変bit数,--MID(H218,FIND("(",H218)+1,FIND(")",H218)-FIND("(",H218)-1),
    _xlfn.XLOOKUP(
        $H218,
        型とバイト数!$B$3:$B$54,
        型とバイト数!$E$3:$E$54,
        IF(LEFT($H218,7)="varchar",_xlpm.可変bit数*8,
            IF(LEFT($H218,4)="char",_xlpm.可変bit数*8,
                IF(LEFT($H218,3)="bit",_xlpm.可変bit数,"???")
            )
        )
    )
)</f>
        <v>256</v>
      </c>
      <c r="J218" s="11"/>
      <c r="K218" s="11"/>
      <c r="L218" s="9"/>
      <c r="M218" s="11" t="str">
        <f>_xlfn.SINGLE(IF(K218="","",IF(L218="","参照先未定義",_xlfn.XLOOKUP(L218,B:B,C:C,"エラー"))))</f>
        <v/>
      </c>
      <c r="N218" s="11" t="s">
        <v>51</v>
      </c>
      <c r="O218" s="11"/>
      <c r="P218" s="11" t="s">
        <v>115</v>
      </c>
      <c r="Q218" s="11"/>
      <c r="R218" s="9"/>
      <c r="S218" s="9"/>
      <c r="T218" s="9"/>
      <c r="U218" s="11" t="s">
        <v>116</v>
      </c>
    </row>
    <row r="219" spans="1:21" ht="18.75" customHeight="1">
      <c r="A219" s="9" t="s">
        <v>46</v>
      </c>
      <c r="B219" s="9" t="str">
        <f t="shared" ca="1" si="4"/>
        <v>screen_element.update_datetime</v>
      </c>
      <c r="C219" s="10">
        <f t="shared" si="5"/>
        <v>218</v>
      </c>
      <c r="D219" s="11" t="str" cm="1">
        <f t="array" aca="1" ref="D219" ca="1">INDIRECT(ADDRESS(ROW()-1,COLUMN()))</f>
        <v>screen_element</v>
      </c>
      <c r="E219" s="11" t="str" cm="1">
        <f t="array" aca="1" ref="E219" ca="1">INDIRECT(ADDRESS(ROW()-1,COLUMN()))</f>
        <v>画面要素</v>
      </c>
      <c r="F219" s="11" t="s">
        <v>117</v>
      </c>
      <c r="G219" s="11" t="s">
        <v>118</v>
      </c>
      <c r="H219" s="11" t="s">
        <v>515</v>
      </c>
      <c r="I219" s="11">
        <f>_xlfn.LET(
    _xlpm.可変bit数,--MID(H219,FIND("(",H219)+1,FIND(")",H219)-FIND("(",H219)-1),
    _xlfn.XLOOKUP(
        $H219,
        型とバイト数!$B$3:$B$54,
        型とバイト数!$E$3:$E$54,
        IF(LEFT($H219,7)="varchar",_xlpm.可変bit数*8,
            IF(LEFT($H219,4)="char",_xlpm.可変bit数*8,
                IF(LEFT($H219,3)="bit",_xlpm.可変bit数,"???")
            )
        )
    )
)</f>
        <v>64</v>
      </c>
      <c r="J219" s="11"/>
      <c r="K219" s="11"/>
      <c r="L219" s="9"/>
      <c r="M219" s="11" t="str">
        <f>_xlfn.SINGLE(IF(K219="","",IF(L219="","参照先未定義",_xlfn.XLOOKUP(L219,B:B,C:C,"エラー"))))</f>
        <v/>
      </c>
      <c r="N219" s="11" t="s">
        <v>51</v>
      </c>
      <c r="O219" s="11"/>
      <c r="P219" s="11" t="s">
        <v>112</v>
      </c>
      <c r="Q219" s="11"/>
      <c r="R219" s="9"/>
      <c r="S219" s="9"/>
      <c r="T219" s="9"/>
      <c r="U219" s="11"/>
    </row>
    <row r="220" spans="1:21" ht="18.75" customHeight="1">
      <c r="A220" s="9" t="s">
        <v>46</v>
      </c>
      <c r="B220" s="9" t="str">
        <f t="shared" ca="1" si="4"/>
        <v>screen_element.update_user</v>
      </c>
      <c r="C220" s="10">
        <f t="shared" si="5"/>
        <v>219</v>
      </c>
      <c r="D220" s="11" t="str" cm="1">
        <f t="array" aca="1" ref="D220" ca="1">INDIRECT(ADDRESS(ROW()-1,COLUMN()))</f>
        <v>screen_element</v>
      </c>
      <c r="E220" s="11" t="str" cm="1">
        <f t="array" aca="1" ref="E220" ca="1">INDIRECT(ADDRESS(ROW()-1,COLUMN()))</f>
        <v>画面要素</v>
      </c>
      <c r="F220" s="11" t="s">
        <v>119</v>
      </c>
      <c r="G220" s="11" t="s">
        <v>120</v>
      </c>
      <c r="H220" s="11" t="s">
        <v>71</v>
      </c>
      <c r="I220" s="11">
        <f>_xlfn.LET(
    _xlpm.可変bit数,--MID(H220,FIND("(",H220)+1,FIND(")",H220)-FIND("(",H220)-1),
    _xlfn.XLOOKUP(
        $H220,
        型とバイト数!$B$3:$B$54,
        型とバイト数!$E$3:$E$54,
        IF(LEFT($H220,7)="varchar",_xlpm.可変bit数*8,
            IF(LEFT($H220,4)="char",_xlpm.可変bit数*8,
                IF(LEFT($H220,3)="bit",_xlpm.可変bit数,"???")
            )
        )
    )
)</f>
        <v>256</v>
      </c>
      <c r="J220" s="11"/>
      <c r="K220" s="11"/>
      <c r="L220" s="9"/>
      <c r="M220" s="11" t="str">
        <f>_xlfn.SINGLE(IF(K220="","",IF(L220="","参照先未定義",_xlfn.XLOOKUP(L220,B:B,C:C,"エラー"))))</f>
        <v/>
      </c>
      <c r="N220" s="11" t="s">
        <v>51</v>
      </c>
      <c r="O220" s="11"/>
      <c r="P220" s="11" t="s">
        <v>115</v>
      </c>
      <c r="Q220" s="11"/>
      <c r="R220" s="9"/>
      <c r="S220" s="9"/>
      <c r="T220" s="9"/>
      <c r="U220" s="11" t="s">
        <v>116</v>
      </c>
    </row>
    <row r="221" spans="1:21" ht="18.75" customHeight="1">
      <c r="A221" s="9" t="s">
        <v>46</v>
      </c>
      <c r="B221" s="9" t="str">
        <f t="shared" ca="1" si="4"/>
        <v>screen_element.soft_delete_flag</v>
      </c>
      <c r="C221" s="10">
        <f t="shared" si="5"/>
        <v>220</v>
      </c>
      <c r="D221" s="11" t="str" cm="1">
        <f t="array" aca="1" ref="D221" ca="1">INDIRECT(ADDRESS(ROW()-1,COLUMN()))</f>
        <v>screen_element</v>
      </c>
      <c r="E221" s="11" t="str" cm="1">
        <f t="array" aca="1" ref="E221" ca="1">INDIRECT(ADDRESS(ROW()-1,COLUMN()))</f>
        <v>画面要素</v>
      </c>
      <c r="F221" s="11" t="s">
        <v>121</v>
      </c>
      <c r="G221" s="11" t="s">
        <v>122</v>
      </c>
      <c r="H221" s="11" t="s">
        <v>517</v>
      </c>
      <c r="I221" s="11">
        <f>_xlfn.LET(
    _xlpm.可変bit数,--MID(H221,FIND("(",H221)+1,FIND(")",H221)-FIND("(",H221)-1),
    _xlfn.XLOOKUP(
        $H221,
        型とバイト数!$B$3:$B$54,
        型とバイト数!$E$3:$E$54,
        IF(LEFT($H221,7)="varchar",_xlpm.可変bit数*8,
            IF(LEFT($H221,4)="char",_xlpm.可変bit数*8,
                IF(LEFT($H221,3)="bit",_xlpm.可変bit数,"???")
            )
        )
    )
)</f>
        <v>8</v>
      </c>
      <c r="J221" s="11"/>
      <c r="K221" s="11"/>
      <c r="L221" s="9"/>
      <c r="M221" s="11" t="str">
        <f>_xlfn.SINGLE(IF(K221="","",IF(L221="","参照先未定義",_xlfn.XLOOKUP(L221,B:B,C:C,"エラー"))))</f>
        <v/>
      </c>
      <c r="N221" s="11" t="s">
        <v>51</v>
      </c>
      <c r="O221" s="11"/>
      <c r="P221" s="11">
        <v>0</v>
      </c>
      <c r="Q221" s="11"/>
      <c r="R221" s="9"/>
      <c r="S221" s="9"/>
      <c r="T221" s="9"/>
      <c r="U221" s="11"/>
    </row>
    <row r="222" spans="1:21" ht="18.75" customHeight="1">
      <c r="A222" s="9" t="s">
        <v>46</v>
      </c>
      <c r="B222" s="9" t="str">
        <f t="shared" si="4"/>
        <v>likes.likes_uuid</v>
      </c>
      <c r="C222" s="10">
        <f t="shared" si="5"/>
        <v>221</v>
      </c>
      <c r="D222" s="11" t="s">
        <v>501</v>
      </c>
      <c r="E222" s="11" t="s">
        <v>104</v>
      </c>
      <c r="F222" s="11" t="str">
        <f>D222&amp;"_uuid"</f>
        <v>likes_uuid</v>
      </c>
      <c r="G222" s="11" t="s">
        <v>50</v>
      </c>
      <c r="H222" s="11" t="s">
        <v>49</v>
      </c>
      <c r="I222" s="11">
        <f>_xlfn.LET(
    _xlpm.可変bit数,--MID(H222,FIND("(",H222)+1,FIND(")",H222)-FIND("(",H222)-1),
    _xlfn.XLOOKUP(
        $H222,
        型とバイト数!$B$3:$B$54,
        型とバイト数!$E$3:$E$54,
        IF(LEFT($H222,7)="varchar",_xlpm.可変bit数*8,
            IF(LEFT($H222,4)="char",_xlpm.可変bit数*8,
                IF(LEFT($H222,3)="bit",_xlpm.可変bit数,"???")
            )
        )
    )
)</f>
        <v>128</v>
      </c>
      <c r="J222" s="11" t="s">
        <v>488</v>
      </c>
      <c r="K222" s="11"/>
      <c r="L222" s="9"/>
      <c r="M222" s="11" t="str">
        <f>_xlfn.SINGLE(IF(K222="","",IF(L222="","参照先未定義",_xlfn.XLOOKUP(L222,B:B,C:C,"エラー"))))</f>
        <v/>
      </c>
      <c r="N222" s="11" t="s">
        <v>499</v>
      </c>
      <c r="O222" s="11" t="s">
        <v>499</v>
      </c>
      <c r="P222" s="11" t="s">
        <v>52</v>
      </c>
      <c r="Q222" s="11"/>
      <c r="R222" s="9"/>
      <c r="S222" s="9"/>
      <c r="T222" s="9"/>
      <c r="U222" s="11"/>
    </row>
    <row r="223" spans="1:21" ht="18.75" customHeight="1">
      <c r="A223" s="9" t="s">
        <v>46</v>
      </c>
      <c r="B223" s="9" t="str">
        <f t="shared" si="4"/>
        <v>likes.likes_do_user</v>
      </c>
      <c r="C223" s="10">
        <f t="shared" si="5"/>
        <v>222</v>
      </c>
      <c r="D223" s="11" t="s">
        <v>501</v>
      </c>
      <c r="E223" s="11" t="str" cm="1">
        <f t="array" aca="1" ref="E223" ca="1">INDIRECT(ADDRESS(ROW()-1,COLUMN()))</f>
        <v>いいね</v>
      </c>
      <c r="F223" s="11" t="s">
        <v>502</v>
      </c>
      <c r="G223" s="11" t="s">
        <v>287</v>
      </c>
      <c r="H223" s="11" t="s">
        <v>49</v>
      </c>
      <c r="I223" s="11">
        <f>_xlfn.LET(
    _xlpm.可変bit数,--MID(H223,FIND("(",H223)+1,FIND(")",H223)-FIND("(",H223)-1),
    _xlfn.XLOOKUP(
        $H223,
        型とバイト数!$B$3:$B$54,
        型とバイト数!$E$3:$E$54,
        IF(LEFT($H223,7)="varchar",_xlpm.可変bit数*8,
            IF(LEFT($H223,4)="char",_xlpm.可変bit数*8,
                IF(LEFT($H223,3)="bit",_xlpm.可変bit数,"???")
            )
        )
    )
)</f>
        <v>128</v>
      </c>
      <c r="J223" s="11"/>
      <c r="K223" s="11" t="s">
        <v>479</v>
      </c>
      <c r="L223" s="9" t="s">
        <v>519</v>
      </c>
      <c r="M223" s="11">
        <f ca="1">_xlfn.SINGLE(IF(K223="","",IF(L223="","参照先未定義",_xlfn.XLOOKUP(L223,B:B,C:C,"エラー"))))</f>
        <v>153</v>
      </c>
      <c r="N223" s="11" t="s">
        <v>51</v>
      </c>
      <c r="O223" s="11" t="s">
        <v>498</v>
      </c>
      <c r="P223" s="11"/>
      <c r="Q223" s="11" t="s">
        <v>503</v>
      </c>
      <c r="R223" s="9"/>
      <c r="S223" s="9"/>
      <c r="T223" s="9"/>
      <c r="U223" s="11"/>
    </row>
    <row r="224" spans="1:21" ht="18.75" customHeight="1">
      <c r="A224" s="9" t="s">
        <v>46</v>
      </c>
      <c r="B224" s="9" t="str">
        <f t="shared" ca="1" si="4"/>
        <v>likes.likes_target_user</v>
      </c>
      <c r="C224" s="10">
        <f t="shared" si="5"/>
        <v>223</v>
      </c>
      <c r="D224" s="11" t="str" cm="1">
        <f t="array" aca="1" ref="D224" ca="1">INDIRECT(ADDRESS(ROW()-1,COLUMN()))</f>
        <v>likes</v>
      </c>
      <c r="E224" s="11" t="str" cm="1">
        <f t="array" aca="1" ref="E224" ca="1">INDIRECT(ADDRESS(ROW()-1,COLUMN()))</f>
        <v>いいね</v>
      </c>
      <c r="F224" s="11" t="s">
        <v>504</v>
      </c>
      <c r="G224" s="11" t="s">
        <v>288</v>
      </c>
      <c r="H224" s="11" t="s">
        <v>49</v>
      </c>
      <c r="I224" s="11">
        <f>_xlfn.LET(
    _xlpm.可変bit数,--MID(H224,FIND("(",H224)+1,FIND(")",H224)-FIND("(",H224)-1),
    _xlfn.XLOOKUP(
        $H224,
        型とバイト数!$B$3:$B$54,
        型とバイト数!$E$3:$E$54,
        IF(LEFT($H224,7)="varchar",_xlpm.可変bit数*8,
            IF(LEFT($H224,4)="char",_xlpm.可変bit数*8,
                IF(LEFT($H224,3)="bit",_xlpm.可変bit数,"???")
            )
        )
    )
)</f>
        <v>128</v>
      </c>
      <c r="J224" s="11"/>
      <c r="K224" s="11" t="s">
        <v>479</v>
      </c>
      <c r="L224" s="9" t="s">
        <v>519</v>
      </c>
      <c r="M224" s="11">
        <f ca="1">_xlfn.SINGLE(IF(K224="","",IF(L224="","参照先未定義",_xlfn.XLOOKUP(L224,B:B,C:C,"エラー"))))</f>
        <v>153</v>
      </c>
      <c r="N224" s="11" t="s">
        <v>51</v>
      </c>
      <c r="O224" s="11" t="s">
        <v>498</v>
      </c>
      <c r="P224" s="11"/>
      <c r="Q224" s="11" t="s">
        <v>503</v>
      </c>
      <c r="R224" s="9"/>
      <c r="S224" s="9"/>
      <c r="T224" s="9"/>
      <c r="U224" s="11"/>
    </row>
    <row r="225" spans="1:21" ht="18.75" customHeight="1">
      <c r="A225" s="9" t="s">
        <v>46</v>
      </c>
      <c r="B225" s="9" t="str">
        <f t="shared" ca="1" si="4"/>
        <v>likes.likes_type</v>
      </c>
      <c r="C225" s="10">
        <f t="shared" si="5"/>
        <v>224</v>
      </c>
      <c r="D225" s="11" t="str" cm="1">
        <f t="array" aca="1" ref="D225" ca="1">INDIRECT(ADDRESS(ROW()-1,COLUMN()))</f>
        <v>likes</v>
      </c>
      <c r="E225" s="11" t="str" cm="1">
        <f t="array" aca="1" ref="E225" ca="1">INDIRECT(ADDRESS(ROW()-1,COLUMN()))</f>
        <v>いいね</v>
      </c>
      <c r="F225" s="11" t="s">
        <v>505</v>
      </c>
      <c r="G225" s="11" t="s">
        <v>289</v>
      </c>
      <c r="H225" s="11" t="s">
        <v>516</v>
      </c>
      <c r="I225" s="11" t="str">
        <f>_xlfn.LET(
    _xlpm.可変bit数,--MID(H225,FIND("(",H225)+1,FIND(")",H225)-FIND("(",H225)-1),
    _xlfn.XLOOKUP(
        $H225,
        型とバイト数!$B$3:$B$54,
        型とバイト数!$E$3:$E$54,
        IF(LEFT($H225,7)="varchar",_xlpm.可変bit数*8,
            IF(LEFT($H225,4)="char",_xlpm.可変bit数*8,
                IF(LEFT($H225,3)="bit",_xlpm.可変bit数,"???")
            )
        )
    )
)</f>
        <v>-</v>
      </c>
      <c r="J225" s="11"/>
      <c r="K225" s="11"/>
      <c r="L225" s="9"/>
      <c r="M225" s="11" t="str">
        <f>_xlfn.SINGLE(IF(K225="","",IF(L225="","参照先未定義",_xlfn.XLOOKUP(L225,B:B,C:C,"エラー"))))</f>
        <v/>
      </c>
      <c r="N225" s="11" t="s">
        <v>51</v>
      </c>
      <c r="O225" s="11" t="s">
        <v>498</v>
      </c>
      <c r="P225" s="11"/>
      <c r="Q225" s="11" t="s">
        <v>506</v>
      </c>
      <c r="R225" s="9"/>
      <c r="S225" s="9"/>
      <c r="T225" s="9"/>
      <c r="U225" s="11"/>
    </row>
    <row r="226" spans="1:21" ht="18.75" customHeight="1">
      <c r="A226" s="9" t="s">
        <v>46</v>
      </c>
      <c r="B226" s="9" t="str">
        <f t="shared" ca="1" si="4"/>
        <v>likes.likes_datetime</v>
      </c>
      <c r="C226" s="10">
        <f t="shared" si="5"/>
        <v>225</v>
      </c>
      <c r="D226" s="11" t="str" cm="1">
        <f t="array" aca="1" ref="D226" ca="1">INDIRECT(ADDRESS(ROW()-1,COLUMN()))</f>
        <v>likes</v>
      </c>
      <c r="E226" s="11" t="str" cm="1">
        <f t="array" aca="1" ref="E226" ca="1">INDIRECT(ADDRESS(ROW()-1,COLUMN()))</f>
        <v>いいね</v>
      </c>
      <c r="F226" s="11" t="s">
        <v>507</v>
      </c>
      <c r="G226" s="11" t="s">
        <v>290</v>
      </c>
      <c r="H226" s="11" t="s">
        <v>515</v>
      </c>
      <c r="I226" s="11">
        <f>_xlfn.LET(
    _xlpm.可変bit数,--MID(H226,FIND("(",H226)+1,FIND(")",H226)-FIND("(",H226)-1),
    _xlfn.XLOOKUP(
        $H226,
        型とバイト数!$B$3:$B$54,
        型とバイト数!$E$3:$E$54,
        IF(LEFT($H226,7)="varchar",_xlpm.可変bit数*8,
            IF(LEFT($H226,4)="char",_xlpm.可変bit数*8,
                IF(LEFT($H226,3)="bit",_xlpm.可変bit数,"???")
            )
        )
    )
)</f>
        <v>64</v>
      </c>
      <c r="J226" s="11"/>
      <c r="K226" s="11"/>
      <c r="L226" s="9"/>
      <c r="M226" s="11" t="str">
        <f>_xlfn.SINGLE(IF(K226="","",IF(L226="","参照先未定義",_xlfn.XLOOKUP(L226,B:B,C:C,"エラー"))))</f>
        <v/>
      </c>
      <c r="N226" s="11" t="s">
        <v>51</v>
      </c>
      <c r="O226" s="11"/>
      <c r="P226" s="11"/>
      <c r="Q226" s="11"/>
      <c r="R226" s="9"/>
      <c r="S226" s="9"/>
      <c r="T226" s="9"/>
      <c r="U226" s="11"/>
    </row>
    <row r="227" spans="1:21" ht="18.75" customHeight="1">
      <c r="A227" s="9" t="s">
        <v>46</v>
      </c>
      <c r="B227" s="9" t="str">
        <f t="shared" ca="1" si="4"/>
        <v>likes.create_datetime</v>
      </c>
      <c r="C227" s="10">
        <f t="shared" si="5"/>
        <v>226</v>
      </c>
      <c r="D227" s="11" t="str" cm="1">
        <f t="array" aca="1" ref="D227" ca="1">INDIRECT(ADDRESS(ROW()-1,COLUMN()))</f>
        <v>likes</v>
      </c>
      <c r="E227" s="11" t="str" cm="1">
        <f t="array" aca="1" ref="E227" ca="1">INDIRECT(ADDRESS(ROW()-1,COLUMN()))</f>
        <v>いいね</v>
      </c>
      <c r="F227" s="11" t="s">
        <v>110</v>
      </c>
      <c r="G227" s="11" t="s">
        <v>111</v>
      </c>
      <c r="H227" s="11" t="s">
        <v>515</v>
      </c>
      <c r="I227" s="11">
        <f>_xlfn.LET(
    _xlpm.可変bit数,--MID(H227,FIND("(",H227)+1,FIND(")",H227)-FIND("(",H227)-1),
    _xlfn.XLOOKUP(
        $H227,
        型とバイト数!$B$3:$B$54,
        型とバイト数!$E$3:$E$54,
        IF(LEFT($H227,7)="varchar",_xlpm.可変bit数*8,
            IF(LEFT($H227,4)="char",_xlpm.可変bit数*8,
                IF(LEFT($H227,3)="bit",_xlpm.可変bit数,"???")
            )
        )
    )
)</f>
        <v>64</v>
      </c>
      <c r="J227" s="11"/>
      <c r="K227" s="11"/>
      <c r="L227" s="9"/>
      <c r="M227" s="11" t="str">
        <f>_xlfn.SINGLE(IF(K227="","",IF(L227="","参照先未定義",_xlfn.XLOOKUP(L227,B:B,C:C,"エラー"))))</f>
        <v/>
      </c>
      <c r="N227" s="11" t="s">
        <v>51</v>
      </c>
      <c r="O227" s="11"/>
      <c r="P227" s="11" t="s">
        <v>112</v>
      </c>
      <c r="Q227" s="11"/>
      <c r="R227" s="9"/>
      <c r="S227" s="9"/>
      <c r="T227" s="9"/>
      <c r="U227" s="11"/>
    </row>
    <row r="228" spans="1:21" ht="18.75" customHeight="1">
      <c r="A228" s="9" t="s">
        <v>46</v>
      </c>
      <c r="B228" s="9" t="str">
        <f t="shared" ca="1" si="4"/>
        <v>likes.create_user</v>
      </c>
      <c r="C228" s="10">
        <f t="shared" si="5"/>
        <v>227</v>
      </c>
      <c r="D228" s="11" t="str" cm="1">
        <f t="array" aca="1" ref="D228" ca="1">INDIRECT(ADDRESS(ROW()-1,COLUMN()))</f>
        <v>likes</v>
      </c>
      <c r="E228" s="11" t="str" cm="1">
        <f t="array" aca="1" ref="E228" ca="1">INDIRECT(ADDRESS(ROW()-1,COLUMN()))</f>
        <v>いいね</v>
      </c>
      <c r="F228" s="11" t="s">
        <v>113</v>
      </c>
      <c r="G228" s="11" t="s">
        <v>114</v>
      </c>
      <c r="H228" s="11" t="s">
        <v>71</v>
      </c>
      <c r="I228" s="11">
        <f>_xlfn.LET(
    _xlpm.可変bit数,--MID(H228,FIND("(",H228)+1,FIND(")",H228)-FIND("(",H228)-1),
    _xlfn.XLOOKUP(
        $H228,
        型とバイト数!$B$3:$B$54,
        型とバイト数!$E$3:$E$54,
        IF(LEFT($H228,7)="varchar",_xlpm.可変bit数*8,
            IF(LEFT($H228,4)="char",_xlpm.可変bit数*8,
                IF(LEFT($H228,3)="bit",_xlpm.可変bit数,"???")
            )
        )
    )
)</f>
        <v>256</v>
      </c>
      <c r="J228" s="11"/>
      <c r="K228" s="11"/>
      <c r="L228" s="9"/>
      <c r="M228" s="11" t="str">
        <f>_xlfn.SINGLE(IF(K228="","",IF(L228="","参照先未定義",_xlfn.XLOOKUP(L228,B:B,C:C,"エラー"))))</f>
        <v/>
      </c>
      <c r="N228" s="11" t="s">
        <v>51</v>
      </c>
      <c r="O228" s="11"/>
      <c r="P228" s="11" t="s">
        <v>115</v>
      </c>
      <c r="Q228" s="11"/>
      <c r="R228" s="9"/>
      <c r="S228" s="9"/>
      <c r="T228" s="9"/>
      <c r="U228" s="11" t="s">
        <v>116</v>
      </c>
    </row>
    <row r="229" spans="1:21" ht="18.75" customHeight="1">
      <c r="A229" s="9" t="s">
        <v>46</v>
      </c>
      <c r="B229" s="9" t="str">
        <f t="shared" ca="1" si="4"/>
        <v>likes.update_datetime</v>
      </c>
      <c r="C229" s="10">
        <f t="shared" si="5"/>
        <v>228</v>
      </c>
      <c r="D229" s="11" t="str" cm="1">
        <f t="array" aca="1" ref="D229" ca="1">INDIRECT(ADDRESS(ROW()-1,COLUMN()))</f>
        <v>likes</v>
      </c>
      <c r="E229" s="11" t="str" cm="1">
        <f t="array" aca="1" ref="E229" ca="1">INDIRECT(ADDRESS(ROW()-1,COLUMN()))</f>
        <v>いいね</v>
      </c>
      <c r="F229" s="11" t="s">
        <v>117</v>
      </c>
      <c r="G229" s="11" t="s">
        <v>118</v>
      </c>
      <c r="H229" s="11" t="s">
        <v>515</v>
      </c>
      <c r="I229" s="11">
        <f>_xlfn.LET(
    _xlpm.可変bit数,--MID(H229,FIND("(",H229)+1,FIND(")",H229)-FIND("(",H229)-1),
    _xlfn.XLOOKUP(
        $H229,
        型とバイト数!$B$3:$B$54,
        型とバイト数!$E$3:$E$54,
        IF(LEFT($H229,7)="varchar",_xlpm.可変bit数*8,
            IF(LEFT($H229,4)="char",_xlpm.可変bit数*8,
                IF(LEFT($H229,3)="bit",_xlpm.可変bit数,"???")
            )
        )
    )
)</f>
        <v>64</v>
      </c>
      <c r="J229" s="11"/>
      <c r="K229" s="11"/>
      <c r="L229" s="9"/>
      <c r="M229" s="11" t="str">
        <f>_xlfn.SINGLE(IF(K229="","",IF(L229="","参照先未定義",_xlfn.XLOOKUP(L229,B:B,C:C,"エラー"))))</f>
        <v/>
      </c>
      <c r="N229" s="11" t="s">
        <v>51</v>
      </c>
      <c r="O229" s="11"/>
      <c r="P229" s="11" t="s">
        <v>112</v>
      </c>
      <c r="Q229" s="11"/>
      <c r="R229" s="9"/>
      <c r="S229" s="9"/>
      <c r="T229" s="9"/>
      <c r="U229" s="11"/>
    </row>
    <row r="230" spans="1:21" ht="18.75" customHeight="1">
      <c r="A230" s="9" t="s">
        <v>46</v>
      </c>
      <c r="B230" s="9" t="str">
        <f t="shared" ca="1" si="4"/>
        <v>likes.update_user</v>
      </c>
      <c r="C230" s="10">
        <f t="shared" si="5"/>
        <v>229</v>
      </c>
      <c r="D230" s="11" t="str" cm="1">
        <f t="array" aca="1" ref="D230" ca="1">INDIRECT(ADDRESS(ROW()-1,COLUMN()))</f>
        <v>likes</v>
      </c>
      <c r="E230" s="11" t="str" cm="1">
        <f t="array" aca="1" ref="E230" ca="1">INDIRECT(ADDRESS(ROW()-1,COLUMN()))</f>
        <v>いいね</v>
      </c>
      <c r="F230" s="11" t="s">
        <v>119</v>
      </c>
      <c r="G230" s="11" t="s">
        <v>120</v>
      </c>
      <c r="H230" s="11" t="s">
        <v>71</v>
      </c>
      <c r="I230" s="11">
        <f>_xlfn.LET(
    _xlpm.可変bit数,--MID(H230,FIND("(",H230)+1,FIND(")",H230)-FIND("(",H230)-1),
    _xlfn.XLOOKUP(
        $H230,
        型とバイト数!$B$3:$B$54,
        型とバイト数!$E$3:$E$54,
        IF(LEFT($H230,7)="varchar",_xlpm.可変bit数*8,
            IF(LEFT($H230,4)="char",_xlpm.可変bit数*8,
                IF(LEFT($H230,3)="bit",_xlpm.可変bit数,"???")
            )
        )
    )
)</f>
        <v>256</v>
      </c>
      <c r="J230" s="11"/>
      <c r="K230" s="11"/>
      <c r="L230" s="9"/>
      <c r="M230" s="11" t="str">
        <f>_xlfn.SINGLE(IF(K230="","",IF(L230="","参照先未定義",_xlfn.XLOOKUP(L230,B:B,C:C,"エラー"))))</f>
        <v/>
      </c>
      <c r="N230" s="11" t="s">
        <v>51</v>
      </c>
      <c r="O230" s="11"/>
      <c r="P230" s="11" t="s">
        <v>115</v>
      </c>
      <c r="Q230" s="11"/>
      <c r="R230" s="9"/>
      <c r="S230" s="9"/>
      <c r="T230" s="9"/>
      <c r="U230" s="11" t="s">
        <v>116</v>
      </c>
    </row>
    <row r="231" spans="1:21" ht="18.75" customHeight="1">
      <c r="A231" s="9" t="s">
        <v>46</v>
      </c>
      <c r="B231" s="9" t="str">
        <f t="shared" ca="1" si="4"/>
        <v>likes.soft_delete_flag</v>
      </c>
      <c r="C231" s="10">
        <f t="shared" si="5"/>
        <v>230</v>
      </c>
      <c r="D231" s="11" t="str" cm="1">
        <f t="array" aca="1" ref="D231" ca="1">INDIRECT(ADDRESS(ROW()-1,COLUMN()))</f>
        <v>likes</v>
      </c>
      <c r="E231" s="11" t="str" cm="1">
        <f t="array" aca="1" ref="E231" ca="1">INDIRECT(ADDRESS(ROW()-1,COLUMN()))</f>
        <v>いいね</v>
      </c>
      <c r="F231" s="11" t="s">
        <v>121</v>
      </c>
      <c r="G231" s="11" t="s">
        <v>122</v>
      </c>
      <c r="H231" s="11" t="s">
        <v>517</v>
      </c>
      <c r="I231" s="11">
        <f>_xlfn.LET(
    _xlpm.可変bit数,--MID(H231,FIND("(",H231)+1,FIND(")",H231)-FIND("(",H231)-1),
    _xlfn.XLOOKUP(
        $H231,
        型とバイト数!$B$3:$B$54,
        型とバイト数!$E$3:$E$54,
        IF(LEFT($H231,7)="varchar",_xlpm.可変bit数*8,
            IF(LEFT($H231,4)="char",_xlpm.可変bit数*8,
                IF(LEFT($H231,3)="bit",_xlpm.可変bit数,"???")
            )
        )
    )
)</f>
        <v>8</v>
      </c>
      <c r="J231" s="11"/>
      <c r="K231" s="11"/>
      <c r="L231" s="9"/>
      <c r="M231" s="11" t="str">
        <f>_xlfn.SINGLE(IF(K231="","",IF(L231="","参照先未定義",_xlfn.XLOOKUP(L231,B:B,C:C,"エラー"))))</f>
        <v/>
      </c>
      <c r="N231" s="11" t="s">
        <v>51</v>
      </c>
      <c r="O231" s="11"/>
      <c r="P231" s="11">
        <v>0</v>
      </c>
      <c r="Q231" s="11"/>
      <c r="R231" s="9"/>
      <c r="S231" s="9"/>
      <c r="T231" s="9"/>
      <c r="U231" s="11"/>
    </row>
    <row r="232" spans="1:21" ht="18.75" customHeight="1">
      <c r="A232" s="9" t="s">
        <v>46</v>
      </c>
      <c r="B232" s="9" t="str">
        <f t="shared" si="4"/>
        <v>movie_link.movie_link_uuid</v>
      </c>
      <c r="C232" s="10">
        <f t="shared" si="5"/>
        <v>231</v>
      </c>
      <c r="D232" s="11" t="s">
        <v>291</v>
      </c>
      <c r="E232" s="11" t="s">
        <v>83</v>
      </c>
      <c r="F232" s="11" t="str">
        <f>D232&amp;"_uuid"</f>
        <v>movie_link_uuid</v>
      </c>
      <c r="G232" s="11" t="s">
        <v>50</v>
      </c>
      <c r="H232" s="11" t="s">
        <v>49</v>
      </c>
      <c r="I232" s="11">
        <f>_xlfn.LET(
    _xlpm.可変bit数,--MID(H232,FIND("(",H232)+1,FIND(")",H232)-FIND("(",H232)-1),
    _xlfn.XLOOKUP(
        $H232,
        型とバイト数!$B$3:$B$54,
        型とバイト数!$E$3:$E$54,
        IF(LEFT($H232,7)="varchar",_xlpm.可変bit数*8,
            IF(LEFT($H232,4)="char",_xlpm.可変bit数*8,
                IF(LEFT($H232,3)="bit",_xlpm.可変bit数,"???")
            )
        )
    )
)</f>
        <v>128</v>
      </c>
      <c r="J232" s="11" t="s">
        <v>488</v>
      </c>
      <c r="K232" s="11"/>
      <c r="L232" s="9"/>
      <c r="M232" s="11" t="str">
        <f>_xlfn.SINGLE(IF(K232="","",IF(L232="","参照先未定義",_xlfn.XLOOKUP(L232,B:B,C:C,"エラー"))))</f>
        <v/>
      </c>
      <c r="N232" s="11" t="s">
        <v>499</v>
      </c>
      <c r="O232" s="11" t="s">
        <v>499</v>
      </c>
      <c r="P232" s="11" t="s">
        <v>52</v>
      </c>
      <c r="Q232" s="11"/>
      <c r="R232" s="9"/>
      <c r="S232" s="9"/>
      <c r="T232" s="9"/>
      <c r="U232" s="11"/>
    </row>
    <row r="233" spans="1:21" ht="18.75" customHeight="1">
      <c r="A233" s="9" t="s">
        <v>46</v>
      </c>
      <c r="B233" s="9" t="str">
        <f t="shared" ca="1" si="4"/>
        <v>movie_link.movie_id</v>
      </c>
      <c r="C233" s="10">
        <f t="shared" si="5"/>
        <v>232</v>
      </c>
      <c r="D233" s="11" t="str" cm="1">
        <f t="array" aca="1" ref="D233" ca="1">INDIRECT(ADDRESS(ROW()-1,COLUMN()))</f>
        <v>movie_link</v>
      </c>
      <c r="E233" s="11" t="str" cm="1">
        <f t="array" aca="1" ref="E233" ca="1">INDIRECT(ADDRESS(ROW()-1,COLUMN()))</f>
        <v>動画リンク</v>
      </c>
      <c r="F233" s="11" t="s">
        <v>292</v>
      </c>
      <c r="G233" s="11" t="s">
        <v>293</v>
      </c>
      <c r="H233" s="11" t="s">
        <v>61</v>
      </c>
      <c r="I233" s="11">
        <f>_xlfn.LET(
    _xlpm.可変bit数,--MID(H233,FIND("(",H233)+1,FIND(")",H233)-FIND("(",H233)-1),
    _xlfn.XLOOKUP(
        $H233,
        型とバイト数!$B$3:$B$54,
        型とバイト数!$E$3:$E$54,
        IF(LEFT($H233,7)="varchar",_xlpm.可変bit数*8,
            IF(LEFT($H233,4)="char",_xlpm.可変bit数*8,
                IF(LEFT($H233,3)="bit",_xlpm.可変bit数,"???")
            )
        )
    )
)</f>
        <v>64</v>
      </c>
      <c r="J233" s="11"/>
      <c r="K233" s="11"/>
      <c r="L233" s="9"/>
      <c r="M233" s="11" t="str">
        <f>_xlfn.SINGLE(IF(K233="","",IF(L233="","参照先未定義",_xlfn.XLOOKUP(L233,B:B,C:C,"エラー"))))</f>
        <v/>
      </c>
      <c r="N233" s="11" t="s">
        <v>488</v>
      </c>
      <c r="O233" s="11" t="s">
        <v>488</v>
      </c>
      <c r="P233" s="11"/>
      <c r="Q233" s="11"/>
      <c r="R233" s="9"/>
      <c r="S233" s="9"/>
      <c r="T233" s="9"/>
      <c r="U233" s="11"/>
    </row>
    <row r="234" spans="1:21" ht="18.75" customHeight="1">
      <c r="A234" s="9" t="s">
        <v>46</v>
      </c>
      <c r="B234" s="9" t="str">
        <f t="shared" ca="1" si="4"/>
        <v>movie_link.vtuber_profiles_id</v>
      </c>
      <c r="C234" s="10">
        <f t="shared" si="5"/>
        <v>233</v>
      </c>
      <c r="D234" s="11" t="str" cm="1">
        <f t="array" aca="1" ref="D234" ca="1">INDIRECT(ADDRESS(ROW()-1,COLUMN()))</f>
        <v>movie_link</v>
      </c>
      <c r="E234" s="11" t="str" cm="1">
        <f t="array" aca="1" ref="E234" ca="1">INDIRECT(ADDRESS(ROW()-1,COLUMN()))</f>
        <v>動画リンク</v>
      </c>
      <c r="F234" s="11" t="s">
        <v>53</v>
      </c>
      <c r="G234" s="11" t="s">
        <v>54</v>
      </c>
      <c r="H234" s="11" t="s">
        <v>49</v>
      </c>
      <c r="I234" s="11">
        <f>_xlfn.LET(
    _xlpm.可変bit数,--MID(H234,FIND("(",H234)+1,FIND(")",H234)-FIND("(",H234)-1),
    _xlfn.XLOOKUP(
        $H234,
        型とバイト数!$B$3:$B$54,
        型とバイト数!$E$3:$E$54,
        IF(LEFT($H234,7)="varchar",_xlpm.可変bit数*8,
            IF(LEFT($H234,4)="char",_xlpm.可変bit数*8,
                IF(LEFT($H234,3)="bit",_xlpm.可変bit数,"???")
            )
        )
    )
)</f>
        <v>128</v>
      </c>
      <c r="J234" s="11"/>
      <c r="K234" s="11" t="s">
        <v>51</v>
      </c>
      <c r="L234" s="9" t="s">
        <v>522</v>
      </c>
      <c r="M234" s="11">
        <f>_xlfn.SINGLE(IF(K234="","",IF(L234="","参照先未定義",_xlfn.XLOOKUP(L234,B:B,C:C,"エラー"))))</f>
        <v>1</v>
      </c>
      <c r="N234" s="11" t="s">
        <v>51</v>
      </c>
      <c r="O234" s="11"/>
      <c r="P234" s="11"/>
      <c r="Q234" s="11"/>
      <c r="R234" s="9"/>
      <c r="S234" s="9"/>
      <c r="T234" s="9"/>
      <c r="U234" s="11"/>
    </row>
    <row r="235" spans="1:21" ht="18.75" customHeight="1">
      <c r="A235" s="9" t="s">
        <v>46</v>
      </c>
      <c r="B235" s="9" t="str">
        <f t="shared" ca="1" si="4"/>
        <v>movie_link.url</v>
      </c>
      <c r="C235" s="10">
        <f t="shared" si="5"/>
        <v>234</v>
      </c>
      <c r="D235" s="11" t="str" cm="1">
        <f t="array" aca="1" ref="D235" ca="1">INDIRECT(ADDRESS(ROW()-1,COLUMN()))</f>
        <v>movie_link</v>
      </c>
      <c r="E235" s="11" t="str" cm="1">
        <f t="array" aca="1" ref="E235" ca="1">INDIRECT(ADDRESS(ROW()-1,COLUMN()))</f>
        <v>動画リンク</v>
      </c>
      <c r="F235" s="11" t="s">
        <v>294</v>
      </c>
      <c r="G235" s="11" t="s">
        <v>295</v>
      </c>
      <c r="H235" s="11" t="s">
        <v>87</v>
      </c>
      <c r="I235" s="11" t="str">
        <f>_xlfn.LET(
    _xlpm.可変bit数,--MID(H235,FIND("(",H235)+1,FIND(")",H235)-FIND("(",H235)-1),
    _xlfn.XLOOKUP(
        $H235,
        型とバイト数!$B$3:$B$54,
        型とバイト数!$E$3:$E$54,
        IF(LEFT($H235,7)="varchar",_xlpm.可変bit数*8,
            IF(LEFT($H235,4)="char",_xlpm.可変bit数*8,
                IF(LEFT($H235,3)="bit",_xlpm.可変bit数,"???")
            )
        )
    )
)</f>
        <v>-</v>
      </c>
      <c r="J235" s="11"/>
      <c r="K235" s="11"/>
      <c r="L235" s="9"/>
      <c r="M235" s="11" t="str">
        <f>_xlfn.SINGLE(IF(K235="","",IF(L235="","参照先未定義",_xlfn.XLOOKUP(L235,B:B,C:C,"エラー"))))</f>
        <v/>
      </c>
      <c r="N235" s="11" t="s">
        <v>51</v>
      </c>
      <c r="O235" s="11"/>
      <c r="P235" s="11"/>
      <c r="Q235" s="11"/>
      <c r="R235" s="9"/>
      <c r="S235" s="9"/>
      <c r="T235" s="9"/>
      <c r="U235" s="11"/>
    </row>
    <row r="236" spans="1:21" ht="18.75" customHeight="1">
      <c r="A236" s="9" t="s">
        <v>46</v>
      </c>
      <c r="B236" s="9" t="str">
        <f t="shared" ca="1" si="4"/>
        <v>movie_link.create_datetime</v>
      </c>
      <c r="C236" s="10">
        <f t="shared" si="5"/>
        <v>235</v>
      </c>
      <c r="D236" s="11" t="str" cm="1">
        <f t="array" aca="1" ref="D236" ca="1">INDIRECT(ADDRESS(ROW()-1,COLUMN()))</f>
        <v>movie_link</v>
      </c>
      <c r="E236" s="11" t="str" cm="1">
        <f t="array" aca="1" ref="E236" ca="1">INDIRECT(ADDRESS(ROW()-1,COLUMN()))</f>
        <v>動画リンク</v>
      </c>
      <c r="F236" s="11" t="s">
        <v>110</v>
      </c>
      <c r="G236" s="11" t="s">
        <v>111</v>
      </c>
      <c r="H236" s="11" t="s">
        <v>515</v>
      </c>
      <c r="I236" s="11">
        <f>_xlfn.LET(
    _xlpm.可変bit数,--MID(H236,FIND("(",H236)+1,FIND(")",H236)-FIND("(",H236)-1),
    _xlfn.XLOOKUP(
        $H236,
        型とバイト数!$B$3:$B$54,
        型とバイト数!$E$3:$E$54,
        IF(LEFT($H236,7)="varchar",_xlpm.可変bit数*8,
            IF(LEFT($H236,4)="char",_xlpm.可変bit数*8,
                IF(LEFT($H236,3)="bit",_xlpm.可変bit数,"???")
            )
        )
    )
)</f>
        <v>64</v>
      </c>
      <c r="J236" s="11"/>
      <c r="K236" s="11"/>
      <c r="L236" s="9"/>
      <c r="M236" s="11" t="str">
        <f>_xlfn.SINGLE(IF(K236="","",IF(L236="","参照先未定義",_xlfn.XLOOKUP(L236,B:B,C:C,"エラー"))))</f>
        <v/>
      </c>
      <c r="N236" s="11" t="s">
        <v>51</v>
      </c>
      <c r="O236" s="11"/>
      <c r="P236" s="11" t="s">
        <v>112</v>
      </c>
      <c r="Q236" s="11"/>
      <c r="R236" s="9"/>
      <c r="S236" s="9"/>
      <c r="T236" s="9"/>
      <c r="U236" s="11"/>
    </row>
    <row r="237" spans="1:21" ht="18.75" customHeight="1">
      <c r="A237" s="9" t="s">
        <v>46</v>
      </c>
      <c r="B237" s="9" t="str">
        <f t="shared" ca="1" si="4"/>
        <v>movie_link.create_user</v>
      </c>
      <c r="C237" s="10">
        <f t="shared" si="5"/>
        <v>236</v>
      </c>
      <c r="D237" s="11" t="str" cm="1">
        <f t="array" aca="1" ref="D237" ca="1">INDIRECT(ADDRESS(ROW()-1,COLUMN()))</f>
        <v>movie_link</v>
      </c>
      <c r="E237" s="11" t="str" cm="1">
        <f t="array" aca="1" ref="E237" ca="1">INDIRECT(ADDRESS(ROW()-1,COLUMN()))</f>
        <v>動画リンク</v>
      </c>
      <c r="F237" s="11" t="s">
        <v>113</v>
      </c>
      <c r="G237" s="11" t="s">
        <v>114</v>
      </c>
      <c r="H237" s="11" t="s">
        <v>71</v>
      </c>
      <c r="I237" s="11">
        <f>_xlfn.LET(
    _xlpm.可変bit数,--MID(H237,FIND("(",H237)+1,FIND(")",H237)-FIND("(",H237)-1),
    _xlfn.XLOOKUP(
        $H237,
        型とバイト数!$B$3:$B$54,
        型とバイト数!$E$3:$E$54,
        IF(LEFT($H237,7)="varchar",_xlpm.可変bit数*8,
            IF(LEFT($H237,4)="char",_xlpm.可変bit数*8,
                IF(LEFT($H237,3)="bit",_xlpm.可変bit数,"???")
            )
        )
    )
)</f>
        <v>256</v>
      </c>
      <c r="J237" s="11"/>
      <c r="K237" s="11"/>
      <c r="L237" s="9"/>
      <c r="M237" s="11" t="str">
        <f>_xlfn.SINGLE(IF(K237="","",IF(L237="","参照先未定義",_xlfn.XLOOKUP(L237,B:B,C:C,"エラー"))))</f>
        <v/>
      </c>
      <c r="N237" s="11" t="s">
        <v>51</v>
      </c>
      <c r="O237" s="11"/>
      <c r="P237" s="11" t="s">
        <v>115</v>
      </c>
      <c r="Q237" s="11"/>
      <c r="R237" s="9"/>
      <c r="S237" s="9"/>
      <c r="T237" s="9"/>
      <c r="U237" s="11" t="s">
        <v>116</v>
      </c>
    </row>
    <row r="238" spans="1:21" ht="18.75" customHeight="1">
      <c r="A238" s="9" t="s">
        <v>46</v>
      </c>
      <c r="B238" s="9" t="str">
        <f t="shared" ca="1" si="4"/>
        <v>movie_link.update_datetime</v>
      </c>
      <c r="C238" s="10">
        <f t="shared" si="5"/>
        <v>237</v>
      </c>
      <c r="D238" s="11" t="str" cm="1">
        <f t="array" aca="1" ref="D238" ca="1">INDIRECT(ADDRESS(ROW()-1,COLUMN()))</f>
        <v>movie_link</v>
      </c>
      <c r="E238" s="11" t="str" cm="1">
        <f t="array" aca="1" ref="E238" ca="1">INDIRECT(ADDRESS(ROW()-1,COLUMN()))</f>
        <v>動画リンク</v>
      </c>
      <c r="F238" s="11" t="s">
        <v>117</v>
      </c>
      <c r="G238" s="11" t="s">
        <v>118</v>
      </c>
      <c r="H238" s="11" t="s">
        <v>515</v>
      </c>
      <c r="I238" s="11">
        <f>_xlfn.LET(
    _xlpm.可変bit数,--MID(H238,FIND("(",H238)+1,FIND(")",H238)-FIND("(",H238)-1),
    _xlfn.XLOOKUP(
        $H238,
        型とバイト数!$B$3:$B$54,
        型とバイト数!$E$3:$E$54,
        IF(LEFT($H238,7)="varchar",_xlpm.可変bit数*8,
            IF(LEFT($H238,4)="char",_xlpm.可変bit数*8,
                IF(LEFT($H238,3)="bit",_xlpm.可変bit数,"???")
            )
        )
    )
)</f>
        <v>64</v>
      </c>
      <c r="J238" s="11"/>
      <c r="K238" s="11"/>
      <c r="L238" s="9"/>
      <c r="M238" s="11" t="str">
        <f>_xlfn.SINGLE(IF(K238="","",IF(L238="","参照先未定義",_xlfn.XLOOKUP(L238,B:B,C:C,"エラー"))))</f>
        <v/>
      </c>
      <c r="N238" s="11" t="s">
        <v>51</v>
      </c>
      <c r="O238" s="11"/>
      <c r="P238" s="11" t="s">
        <v>112</v>
      </c>
      <c r="Q238" s="11"/>
      <c r="R238" s="9"/>
      <c r="S238" s="9"/>
      <c r="T238" s="9"/>
      <c r="U238" s="11"/>
    </row>
    <row r="239" spans="1:21" ht="18.75" customHeight="1">
      <c r="A239" s="9" t="s">
        <v>46</v>
      </c>
      <c r="B239" s="9" t="str">
        <f t="shared" ca="1" si="4"/>
        <v>movie_link.update_user</v>
      </c>
      <c r="C239" s="10">
        <f t="shared" si="5"/>
        <v>238</v>
      </c>
      <c r="D239" s="11" t="str" cm="1">
        <f t="array" aca="1" ref="D239" ca="1">INDIRECT(ADDRESS(ROW()-1,COLUMN()))</f>
        <v>movie_link</v>
      </c>
      <c r="E239" s="11" t="str" cm="1">
        <f t="array" aca="1" ref="E239" ca="1">INDIRECT(ADDRESS(ROW()-1,COLUMN()))</f>
        <v>動画リンク</v>
      </c>
      <c r="F239" s="11" t="s">
        <v>119</v>
      </c>
      <c r="G239" s="11" t="s">
        <v>120</v>
      </c>
      <c r="H239" s="11" t="s">
        <v>71</v>
      </c>
      <c r="I239" s="11">
        <f>_xlfn.LET(
    _xlpm.可変bit数,--MID(H239,FIND("(",H239)+1,FIND(")",H239)-FIND("(",H239)-1),
    _xlfn.XLOOKUP(
        $H239,
        型とバイト数!$B$3:$B$54,
        型とバイト数!$E$3:$E$54,
        IF(LEFT($H239,7)="varchar",_xlpm.可変bit数*8,
            IF(LEFT($H239,4)="char",_xlpm.可変bit数*8,
                IF(LEFT($H239,3)="bit",_xlpm.可変bit数,"???")
            )
        )
    )
)</f>
        <v>256</v>
      </c>
      <c r="J239" s="11"/>
      <c r="K239" s="11"/>
      <c r="L239" s="9"/>
      <c r="M239" s="11" t="str">
        <f>_xlfn.SINGLE(IF(K239="","",IF(L239="","参照先未定義",_xlfn.XLOOKUP(L239,B:B,C:C,"エラー"))))</f>
        <v/>
      </c>
      <c r="N239" s="11" t="s">
        <v>51</v>
      </c>
      <c r="O239" s="11"/>
      <c r="P239" s="11" t="s">
        <v>115</v>
      </c>
      <c r="Q239" s="11"/>
      <c r="R239" s="9"/>
      <c r="S239" s="9"/>
      <c r="T239" s="9"/>
      <c r="U239" s="11" t="s">
        <v>116</v>
      </c>
    </row>
    <row r="240" spans="1:21" ht="18.75" customHeight="1">
      <c r="A240" s="9" t="s">
        <v>46</v>
      </c>
      <c r="B240" s="9" t="str">
        <f t="shared" ca="1" si="4"/>
        <v>movie_link.soft_delete_flag</v>
      </c>
      <c r="C240" s="10">
        <f t="shared" si="5"/>
        <v>239</v>
      </c>
      <c r="D240" s="11" t="str" cm="1">
        <f t="array" aca="1" ref="D240" ca="1">INDIRECT(ADDRESS(ROW()-1,COLUMN()))</f>
        <v>movie_link</v>
      </c>
      <c r="E240" s="11" t="str" cm="1">
        <f t="array" aca="1" ref="E240" ca="1">INDIRECT(ADDRESS(ROW()-1,COLUMN()))</f>
        <v>動画リンク</v>
      </c>
      <c r="F240" s="11" t="s">
        <v>121</v>
      </c>
      <c r="G240" s="11" t="s">
        <v>122</v>
      </c>
      <c r="H240" s="11" t="s">
        <v>517</v>
      </c>
      <c r="I240" s="11">
        <f>_xlfn.LET(
    _xlpm.可変bit数,--MID(H240,FIND("(",H240)+1,FIND(")",H240)-FIND("(",H240)-1),
    _xlfn.XLOOKUP(
        $H240,
        型とバイト数!$B$3:$B$54,
        型とバイト数!$E$3:$E$54,
        IF(LEFT($H240,7)="varchar",_xlpm.可変bit数*8,
            IF(LEFT($H240,4)="char",_xlpm.可変bit数*8,
                IF(LEFT($H240,3)="bit",_xlpm.可変bit数,"???")
            )
        )
    )
)</f>
        <v>8</v>
      </c>
      <c r="J240" s="11"/>
      <c r="K240" s="11"/>
      <c r="L240" s="9"/>
      <c r="M240" s="11" t="str">
        <f>_xlfn.SINGLE(IF(K240="","",IF(L240="","参照先未定義",_xlfn.XLOOKUP(L240,B:B,C:C,"エラー"))))</f>
        <v/>
      </c>
      <c r="N240" s="11" t="s">
        <v>51</v>
      </c>
      <c r="O240" s="11"/>
      <c r="P240" s="11">
        <v>0</v>
      </c>
      <c r="Q240" s="11"/>
      <c r="R240" s="9"/>
      <c r="S240" s="9"/>
      <c r="T240" s="9"/>
      <c r="U240" s="11"/>
    </row>
    <row r="241" spans="1:21" ht="18.75" customHeight="1">
      <c r="A241" s="9" t="s">
        <v>46</v>
      </c>
      <c r="B241" s="9" t="str">
        <f t="shared" si="4"/>
        <v>vtuber_profiles_lang.vtuber_profiles_lang_uuid</v>
      </c>
      <c r="C241" s="10">
        <f t="shared" si="5"/>
        <v>240</v>
      </c>
      <c r="D241" s="11" t="s">
        <v>475</v>
      </c>
      <c r="E241" s="11" t="s">
        <v>474</v>
      </c>
      <c r="F241" s="11" t="str">
        <f>D241&amp;"_uuid"</f>
        <v>vtuber_profiles_lang_uuid</v>
      </c>
      <c r="G241" s="11" t="s">
        <v>50</v>
      </c>
      <c r="H241" s="11" t="s">
        <v>49</v>
      </c>
      <c r="I241" s="11">
        <f>_xlfn.LET(
    _xlpm.可変bit数,--MID(H241,FIND("(",H241)+1,FIND(")",H241)-FIND("(",H241)-1),
    _xlfn.XLOOKUP(
        $H241,
        型とバイト数!$B$3:$B$54,
        型とバイト数!$E$3:$E$54,
        IF(LEFT($H241,7)="varchar",_xlpm.可変bit数*8,
            IF(LEFT($H241,4)="char",_xlpm.可変bit数*8,
                IF(LEFT($H241,3)="bit",_xlpm.可変bit数,"???")
            )
        )
    )
)</f>
        <v>128</v>
      </c>
      <c r="J241" s="11" t="s">
        <v>488</v>
      </c>
      <c r="K241" s="11"/>
      <c r="L241" s="9"/>
      <c r="M241" s="11" t="str">
        <f>_xlfn.SINGLE(IF(K241="","",IF(L241="","参照先未定義",_xlfn.XLOOKUP(L241,B:B,C:C,"エラー"))))</f>
        <v/>
      </c>
      <c r="N241" s="11" t="s">
        <v>499</v>
      </c>
      <c r="O241" s="11" t="s">
        <v>499</v>
      </c>
      <c r="P241" s="11" t="s">
        <v>52</v>
      </c>
      <c r="Q241" s="11"/>
      <c r="R241" s="9"/>
      <c r="S241" s="9"/>
      <c r="T241" s="9"/>
      <c r="U241" s="11"/>
    </row>
    <row r="242" spans="1:21" ht="18.75" customHeight="1">
      <c r="A242" s="9" t="s">
        <v>46</v>
      </c>
      <c r="B242" s="9" t="str">
        <f t="shared" ca="1" si="4"/>
        <v>vtuber_profiles_lang.vtuber_profiles_id</v>
      </c>
      <c r="C242" s="10">
        <f t="shared" si="5"/>
        <v>241</v>
      </c>
      <c r="D242" s="11" t="str" cm="1">
        <f t="array" aca="1" ref="D242" ca="1">INDIRECT(ADDRESS(ROW()-1,COLUMN()))</f>
        <v>vtuber_profiles_lang</v>
      </c>
      <c r="E242" s="11" t="str" cm="1">
        <f t="array" aca="1" ref="E242" ca="1">INDIRECT(ADDRESS(ROW()-1,COLUMN()))</f>
        <v>Vtuberプロフィール(各言語)</v>
      </c>
      <c r="F242" s="11" t="s">
        <v>493</v>
      </c>
      <c r="G242" s="11" t="s">
        <v>54</v>
      </c>
      <c r="H242" s="11" t="s">
        <v>49</v>
      </c>
      <c r="I242" s="11">
        <f>_xlfn.LET(
    _xlpm.可変bit数,--MID(H242,FIND("(",H242)+1,FIND(")",H242)-FIND("(",H242)-1),
    _xlfn.XLOOKUP(
        $H242,
        型とバイト数!$B$3:$B$54,
        型とバイト数!$E$3:$E$54,
        IF(LEFT($H242,7)="varchar",_xlpm.可変bit数*8,
            IF(LEFT($H242,4)="char",_xlpm.可変bit数*8,
                IF(LEFT($H242,3)="bit",_xlpm.可変bit数,"???")
            )
        )
    )
)</f>
        <v>128</v>
      </c>
      <c r="J242" s="11"/>
      <c r="K242" s="11" t="s">
        <v>476</v>
      </c>
      <c r="L242" s="9" t="s">
        <v>522</v>
      </c>
      <c r="M242" s="11">
        <f>_xlfn.SINGLE(IF(K242="","",IF(L242="","参照先未定義",_xlfn.XLOOKUP(L242,B:B,C:C,"エラー"))))</f>
        <v>1</v>
      </c>
      <c r="N242" s="11" t="s">
        <v>51</v>
      </c>
      <c r="O242" s="11" t="s">
        <v>497</v>
      </c>
      <c r="P242" s="11"/>
      <c r="Q242" s="11" t="s">
        <v>500</v>
      </c>
      <c r="R242" s="9"/>
      <c r="S242" s="9"/>
      <c r="T242" s="9"/>
      <c r="U242" s="11"/>
    </row>
    <row r="243" spans="1:21" ht="18.75" customHeight="1">
      <c r="A243" s="9" t="s">
        <v>46</v>
      </c>
      <c r="B243" s="9" t="str">
        <f t="shared" ca="1" si="4"/>
        <v>vtuber_profiles_lang.lang</v>
      </c>
      <c r="C243" s="10">
        <f t="shared" si="5"/>
        <v>242</v>
      </c>
      <c r="D243" s="11" t="str" cm="1">
        <f t="array" aca="1" ref="D243" ca="1">INDIRECT(ADDRESS(ROW()-1,COLUMN()))</f>
        <v>vtuber_profiles_lang</v>
      </c>
      <c r="E243" s="11" t="str" cm="1">
        <f t="array" aca="1" ref="E243" ca="1">INDIRECT(ADDRESS(ROW()-1,COLUMN()))</f>
        <v>Vtuberプロフィール(各言語)</v>
      </c>
      <c r="F243" s="11" t="s">
        <v>481</v>
      </c>
      <c r="G243" s="11" t="s">
        <v>480</v>
      </c>
      <c r="H243" s="11" t="s">
        <v>49</v>
      </c>
      <c r="I243" s="11">
        <f>_xlfn.LET(
    _xlpm.可変bit数,--MID(H243,FIND("(",H243)+1,FIND(")",H243)-FIND("(",H243)-1),
    _xlfn.XLOOKUP(
        $H243,
        型とバイト数!$B$3:$B$54,
        型とバイト数!$E$3:$E$54,
        IF(LEFT($H243,7)="varchar",_xlpm.可変bit数*8,
            IF(LEFT($H243,4)="char",_xlpm.可変bit数*8,
                IF(LEFT($H243,3)="bit",_xlpm.可変bit数,"???")
            )
        )
    )
)</f>
        <v>128</v>
      </c>
      <c r="J243" s="11"/>
      <c r="K243" s="11" t="s">
        <v>479</v>
      </c>
      <c r="L243" s="9" t="s">
        <v>527</v>
      </c>
      <c r="M243" s="11">
        <f ca="1">IF(K243="","",IF(L243="","参照先未定義",_xlfn.XLOOKUP(L243,B:B,C:C,"エラー")))</f>
        <v>104</v>
      </c>
      <c r="N243" s="11" t="s">
        <v>51</v>
      </c>
      <c r="O243" s="11" t="s">
        <v>497</v>
      </c>
      <c r="P243" s="11"/>
      <c r="Q243" s="11" t="s">
        <v>500</v>
      </c>
      <c r="R243" s="9"/>
      <c r="S243" s="9"/>
      <c r="T243" s="9"/>
      <c r="U243" s="11"/>
    </row>
    <row r="244" spans="1:21" ht="18.75" customHeight="1">
      <c r="A244" s="9" t="s">
        <v>46</v>
      </c>
      <c r="B244" s="9" t="str">
        <f t="shared" ref="B244:B272" ca="1" si="6">D244&amp;"."&amp;F244</f>
        <v>vtuber_profiles_lang.name</v>
      </c>
      <c r="C244" s="10">
        <f t="shared" si="5"/>
        <v>243</v>
      </c>
      <c r="D244" s="11" t="str" cm="1">
        <f t="array" aca="1" ref="D244" ca="1">INDIRECT(ADDRESS(ROW()-1,COLUMN()))</f>
        <v>vtuber_profiles_lang</v>
      </c>
      <c r="E244" s="11" t="str" cm="1">
        <f t="array" aca="1" ref="E244" ca="1">INDIRECT(ADDRESS(ROW()-1,COLUMN()))</f>
        <v>Vtuberプロフィール(各言語)</v>
      </c>
      <c r="F244" s="11" t="s">
        <v>62</v>
      </c>
      <c r="G244" s="11" t="s">
        <v>63</v>
      </c>
      <c r="H244" s="11" t="s">
        <v>64</v>
      </c>
      <c r="I244" s="11">
        <f>_xlfn.LET(
    _xlpm.可変bit数,--MID(H244,FIND("(",H244)+1,FIND(")",H244)-FIND("(",H244)-1),
    _xlfn.XLOOKUP(
        $H244,
        型とバイト数!$B$3:$B$54,
        型とバイト数!$E$3:$E$54,
        IF(LEFT($H244,7)="varchar",_xlpm.可変bit数*8,
            IF(LEFT($H244,4)="char",_xlpm.可変bit数*8,
                IF(LEFT($H244,3)="bit",_xlpm.可変bit数,"???")
            )
        )
    )
)</f>
        <v>1024</v>
      </c>
      <c r="J244" s="11"/>
      <c r="K244" s="11"/>
      <c r="L244" s="9"/>
      <c r="M244" s="11" t="str">
        <f>IF(K244="","",IF(L244="","参照先未定義",_xlfn.XLOOKUP(L244,B:B,C:C,"エラー")))</f>
        <v/>
      </c>
      <c r="N244" s="11" t="s">
        <v>51</v>
      </c>
      <c r="O244" s="11"/>
      <c r="P244" s="11"/>
      <c r="Q244" s="11"/>
      <c r="R244" s="9" t="s">
        <v>51</v>
      </c>
      <c r="S244" s="9"/>
      <c r="T244" s="9" t="s">
        <v>51</v>
      </c>
      <c r="U244" s="11"/>
    </row>
    <row r="245" spans="1:21" ht="18.75" customHeight="1">
      <c r="A245" s="9" t="s">
        <v>46</v>
      </c>
      <c r="B245" s="9" t="str">
        <f t="shared" ca="1" si="6"/>
        <v>vtuber_profiles_lang.nickname</v>
      </c>
      <c r="C245" s="10">
        <f t="shared" si="5"/>
        <v>244</v>
      </c>
      <c r="D245" s="11" t="str" cm="1">
        <f t="array" aca="1" ref="D245" ca="1">INDIRECT(ADDRESS(ROW()-1,COLUMN()))</f>
        <v>vtuber_profiles_lang</v>
      </c>
      <c r="E245" s="11" t="str" cm="1">
        <f t="array" aca="1" ref="E245" ca="1">INDIRECT(ADDRESS(ROW()-1,COLUMN()))</f>
        <v>Vtuberプロフィール(各言語)</v>
      </c>
      <c r="F245" s="11" t="s">
        <v>65</v>
      </c>
      <c r="G245" s="11" t="s">
        <v>66</v>
      </c>
      <c r="H245" s="11" t="s">
        <v>64</v>
      </c>
      <c r="I245" s="11">
        <f>_xlfn.LET(
    _xlpm.可変bit数,--MID(H245,FIND("(",H245)+1,FIND(")",H245)-FIND("(",H245)-1),
    _xlfn.XLOOKUP(
        $H245,
        型とバイト数!$B$3:$B$54,
        型とバイト数!$E$3:$E$54,
        IF(LEFT($H245,7)="varchar",_xlpm.可変bit数*8,
            IF(LEFT($H245,4)="char",_xlpm.可変bit数*8,
                IF(LEFT($H245,3)="bit",_xlpm.可変bit数,"???")
            )
        )
    )
)</f>
        <v>1024</v>
      </c>
      <c r="J245" s="11"/>
      <c r="K245" s="11"/>
      <c r="L245" s="9"/>
      <c r="M245" s="11" t="str">
        <f>IF(K245="","",IF(L245="","参照先未定義",_xlfn.XLOOKUP(L245,B:B,C:C,"エラー")))</f>
        <v/>
      </c>
      <c r="N245" s="11"/>
      <c r="O245" s="11"/>
      <c r="P245" s="11"/>
      <c r="Q245" s="11"/>
      <c r="R245" s="9"/>
      <c r="S245" s="9"/>
      <c r="T245" s="9" t="s">
        <v>51</v>
      </c>
      <c r="U245" s="11"/>
    </row>
    <row r="246" spans="1:21" ht="18.75" customHeight="1">
      <c r="A246" s="9" t="s">
        <v>46</v>
      </c>
      <c r="B246" s="9" t="str">
        <f t="shared" ca="1" si="6"/>
        <v>vtuber_profiles_lang.birthday</v>
      </c>
      <c r="C246" s="10">
        <f t="shared" si="5"/>
        <v>245</v>
      </c>
      <c r="D246" s="11" t="str" cm="1">
        <f t="array" aca="1" ref="D246" ca="1">INDIRECT(ADDRESS(ROW()-1,COLUMN()))</f>
        <v>vtuber_profiles_lang</v>
      </c>
      <c r="E246" s="11" t="str" cm="1">
        <f t="array" aca="1" ref="E246" ca="1">INDIRECT(ADDRESS(ROW()-1,COLUMN()))</f>
        <v>Vtuberプロフィール(各言語)</v>
      </c>
      <c r="F246" s="11" t="s">
        <v>69</v>
      </c>
      <c r="G246" s="11" t="s">
        <v>70</v>
      </c>
      <c r="H246" s="11" t="s">
        <v>71</v>
      </c>
      <c r="I246" s="11">
        <f>_xlfn.LET(
    _xlpm.可変bit数,--MID(H246,FIND("(",H246)+1,FIND(")",H246)-FIND("(",H246)-1),
    _xlfn.XLOOKUP(
        $H246,
        型とバイト数!$B$3:$B$54,
        型とバイト数!$E$3:$E$54,
        IF(LEFT($H246,7)="varchar",_xlpm.可変bit数*8,
            IF(LEFT($H246,4)="char",_xlpm.可変bit数*8,
                IF(LEFT($H246,3)="bit",_xlpm.可変bit数,"???")
            )
        )
    )
)</f>
        <v>256</v>
      </c>
      <c r="J246" s="11"/>
      <c r="K246" s="11"/>
      <c r="L246" s="9"/>
      <c r="M246" s="11" t="str">
        <f>IF(K246="","",IF(L246="","参照先未定義",_xlfn.XLOOKUP(L246,B:B,C:C,"エラー")))</f>
        <v/>
      </c>
      <c r="N246" s="11"/>
      <c r="O246" s="11"/>
      <c r="P246" s="11"/>
      <c r="Q246" s="11"/>
      <c r="R246" s="9"/>
      <c r="S246" s="9"/>
      <c r="T246" s="9" t="s">
        <v>51</v>
      </c>
      <c r="U246" s="11"/>
    </row>
    <row r="247" spans="1:21" ht="18.75" customHeight="1">
      <c r="A247" s="9" t="s">
        <v>46</v>
      </c>
      <c r="B247" s="9" t="str">
        <f t="shared" ca="1" si="6"/>
        <v>vtuber_profiles_lang.blood_type</v>
      </c>
      <c r="C247" s="10">
        <f t="shared" si="5"/>
        <v>246</v>
      </c>
      <c r="D247" s="11" t="str" cm="1">
        <f t="array" aca="1" ref="D247" ca="1">INDIRECT(ADDRESS(ROW()-1,COLUMN()))</f>
        <v>vtuber_profiles_lang</v>
      </c>
      <c r="E247" s="11" t="str" cm="1">
        <f t="array" aca="1" ref="E247" ca="1">INDIRECT(ADDRESS(ROW()-1,COLUMN()))</f>
        <v>Vtuberプロフィール(各言語)</v>
      </c>
      <c r="F247" s="11" t="s">
        <v>75</v>
      </c>
      <c r="G247" s="11" t="s">
        <v>76</v>
      </c>
      <c r="H247" s="11" t="s">
        <v>77</v>
      </c>
      <c r="I247" s="11">
        <f>_xlfn.LET(
    _xlpm.可変bit数,--MID(H247,FIND("(",H247)+1,FIND(")",H247)-FIND("(",H247)-1),
    _xlfn.XLOOKUP(
        $H247,
        型とバイト数!$B$3:$B$54,
        型とバイト数!$E$3:$E$54,
        IF(LEFT($H247,7)="varchar",_xlpm.可変bit数*8,
            IF(LEFT($H247,4)="char",_xlpm.可変bit数*8,
                IF(LEFT($H247,3)="bit",_xlpm.可変bit数,"???")
            )
        )
    )
)</f>
        <v>128</v>
      </c>
      <c r="J247" s="11"/>
      <c r="K247" s="11"/>
      <c r="L247" s="9"/>
      <c r="M247" s="11" t="str">
        <f>IF(K247="","",IF(L247="","参照先未定義",_xlfn.XLOOKUP(L247,B:B,C:C,"エラー")))</f>
        <v/>
      </c>
      <c r="N247" s="11"/>
      <c r="O247" s="11"/>
      <c r="P247" s="11"/>
      <c r="Q247" s="11"/>
      <c r="R247" s="9"/>
      <c r="S247" s="9"/>
      <c r="T247" s="9" t="s">
        <v>51</v>
      </c>
      <c r="U247" s="11"/>
    </row>
    <row r="248" spans="1:21" ht="18.75" customHeight="1">
      <c r="A248" s="9" t="s">
        <v>46</v>
      </c>
      <c r="B248" s="9" t="str">
        <f t="shared" ca="1" si="6"/>
        <v>vtuber_profiles_lang.height</v>
      </c>
      <c r="C248" s="10">
        <f t="shared" si="5"/>
        <v>247</v>
      </c>
      <c r="D248" s="11" t="str" cm="1">
        <f t="array" aca="1" ref="D248" ca="1">INDIRECT(ADDRESS(ROW()-1,COLUMN()))</f>
        <v>vtuber_profiles_lang</v>
      </c>
      <c r="E248" s="11" t="str" cm="1">
        <f t="array" aca="1" ref="E248" ca="1">INDIRECT(ADDRESS(ROW()-1,COLUMN()))</f>
        <v>Vtuberプロフィール(各言語)</v>
      </c>
      <c r="F248" s="11" t="s">
        <v>78</v>
      </c>
      <c r="G248" s="11" t="s">
        <v>79</v>
      </c>
      <c r="H248" s="11" t="s">
        <v>77</v>
      </c>
      <c r="I248" s="11">
        <f>_xlfn.LET(
    _xlpm.可変bit数,--MID(H248,FIND("(",H248)+1,FIND(")",H248)-FIND("(",H248)-1),
    _xlfn.XLOOKUP(
        $H248,
        型とバイト数!$B$3:$B$54,
        型とバイト数!$E$3:$E$54,
        IF(LEFT($H248,7)="varchar",_xlpm.可変bit数*8,
            IF(LEFT($H248,4)="char",_xlpm.可変bit数*8,
                IF(LEFT($H248,3)="bit",_xlpm.可変bit数,"???")
            )
        )
    )
)</f>
        <v>128</v>
      </c>
      <c r="J248" s="11"/>
      <c r="K248" s="11"/>
      <c r="L248" s="9"/>
      <c r="M248" s="11" t="str">
        <f>IF(K248="","",IF(L248="","参照先未定義",_xlfn.XLOOKUP(L248,B:B,C:C,"エラー")))</f>
        <v/>
      </c>
      <c r="N248" s="11"/>
      <c r="O248" s="11"/>
      <c r="P248" s="11"/>
      <c r="Q248" s="11"/>
      <c r="R248" s="9"/>
      <c r="S248" s="9"/>
      <c r="T248" s="9" t="s">
        <v>51</v>
      </c>
      <c r="U248" s="11"/>
    </row>
    <row r="249" spans="1:21" ht="18.75" customHeight="1">
      <c r="A249" s="9" t="s">
        <v>46</v>
      </c>
      <c r="B249" s="9" t="str">
        <f t="shared" ca="1" si="6"/>
        <v>vtuber_profiles_lang.mutter</v>
      </c>
      <c r="C249" s="10">
        <f t="shared" si="5"/>
        <v>248</v>
      </c>
      <c r="D249" s="11" t="str" cm="1">
        <f t="array" aca="1" ref="D249" ca="1">INDIRECT(ADDRESS(ROW()-1,COLUMN()))</f>
        <v>vtuber_profiles_lang</v>
      </c>
      <c r="E249" s="11" t="str" cm="1">
        <f t="array" aca="1" ref="E249" ca="1">INDIRECT(ADDRESS(ROW()-1,COLUMN()))</f>
        <v>Vtuberプロフィール(各言語)</v>
      </c>
      <c r="F249" s="11" t="s">
        <v>85</v>
      </c>
      <c r="G249" s="11" t="s">
        <v>86</v>
      </c>
      <c r="H249" s="11" t="s">
        <v>87</v>
      </c>
      <c r="I249" s="11" t="str">
        <f>_xlfn.LET(
    _xlpm.可変bit数,--MID(H249,FIND("(",H249)+1,FIND(")",H249)-FIND("(",H249)-1),
    _xlfn.XLOOKUP(
        $H249,
        型とバイト数!$B$3:$B$54,
        型とバイト数!$E$3:$E$54,
        IF(LEFT($H249,7)="varchar",_xlpm.可変bit数*8,
            IF(LEFT($H249,4)="char",_xlpm.可変bit数*8,
                IF(LEFT($H249,3)="bit",_xlpm.可変bit数,"???")
            )
        )
    )
)</f>
        <v>-</v>
      </c>
      <c r="J249" s="11"/>
      <c r="K249" s="11"/>
      <c r="L249" s="9"/>
      <c r="M249" s="11" t="str">
        <f>IF(K249="","",IF(L249="","参照先未定義",_xlfn.XLOOKUP(L249,B:B,C:C,"エラー")))</f>
        <v/>
      </c>
      <c r="N249" s="11"/>
      <c r="O249" s="11"/>
      <c r="P249" s="11"/>
      <c r="Q249" s="11"/>
      <c r="R249" s="9"/>
      <c r="S249" s="9"/>
      <c r="T249" s="9" t="s">
        <v>51</v>
      </c>
      <c r="U249" s="11"/>
    </row>
    <row r="250" spans="1:21" ht="18.75" customHeight="1">
      <c r="A250" s="9" t="s">
        <v>46</v>
      </c>
      <c r="B250" s="9" t="str">
        <f t="shared" ca="1" si="6"/>
        <v>vtuber_profiles_lang.catchphrase</v>
      </c>
      <c r="C250" s="10">
        <f t="shared" si="5"/>
        <v>249</v>
      </c>
      <c r="D250" s="11" t="str" cm="1">
        <f t="array" aca="1" ref="D250" ca="1">INDIRECT(ADDRESS(ROW()-1,COLUMN()))</f>
        <v>vtuber_profiles_lang</v>
      </c>
      <c r="E250" s="11" t="str" cm="1">
        <f t="array" aca="1" ref="E250" ca="1">INDIRECT(ADDRESS(ROW()-1,COLUMN()))</f>
        <v>Vtuberプロフィール(各言語)</v>
      </c>
      <c r="F250" s="11" t="s">
        <v>88</v>
      </c>
      <c r="G250" s="11" t="s">
        <v>89</v>
      </c>
      <c r="H250" s="11" t="s">
        <v>68</v>
      </c>
      <c r="I250" s="11">
        <f>_xlfn.LET(
    _xlpm.可変bit数,--MID(H250,FIND("(",H250)+1,FIND(")",H250)-FIND("(",H250)-1),
    _xlfn.XLOOKUP(
        $H250,
        型とバイト数!$B$3:$B$54,
        型とバイト数!$E$3:$E$54,
        IF(LEFT($H250,7)="varchar",_xlpm.可変bit数*8,
            IF(LEFT($H250,4)="char",_xlpm.可変bit数*8,
                IF(LEFT($H250,3)="bit",_xlpm.可変bit数,"???")
            )
        )
    )
)</f>
        <v>512</v>
      </c>
      <c r="J250" s="11"/>
      <c r="K250" s="11"/>
      <c r="L250" s="9"/>
      <c r="M250" s="11" t="str">
        <f>IF(K250="","",IF(L250="","参照先未定義",_xlfn.XLOOKUP(L250,B:B,C:C,"エラー")))</f>
        <v/>
      </c>
      <c r="N250" s="11"/>
      <c r="O250" s="11"/>
      <c r="P250" s="11"/>
      <c r="Q250" s="11"/>
      <c r="R250" s="9"/>
      <c r="S250" s="9"/>
      <c r="T250" s="9" t="s">
        <v>51</v>
      </c>
      <c r="U250" s="11"/>
    </row>
    <row r="251" spans="1:21" ht="18.75" customHeight="1">
      <c r="A251" s="9" t="s">
        <v>46</v>
      </c>
      <c r="B251" s="9" t="str">
        <f t="shared" ca="1" si="6"/>
        <v>vtuber_profiles_lang.favorite</v>
      </c>
      <c r="C251" s="10">
        <f t="shared" si="5"/>
        <v>250</v>
      </c>
      <c r="D251" s="11" t="str" cm="1">
        <f t="array" aca="1" ref="D251" ca="1">INDIRECT(ADDRESS(ROW()-1,COLUMN()))</f>
        <v>vtuber_profiles_lang</v>
      </c>
      <c r="E251" s="11" t="str" cm="1">
        <f t="array" aca="1" ref="E251" ca="1">INDIRECT(ADDRESS(ROW()-1,COLUMN()))</f>
        <v>Vtuberプロフィール(各言語)</v>
      </c>
      <c r="F251" s="11" t="s">
        <v>90</v>
      </c>
      <c r="G251" s="11" t="s">
        <v>91</v>
      </c>
      <c r="H251" s="11" t="s">
        <v>68</v>
      </c>
      <c r="I251" s="11">
        <f>_xlfn.LET(
    _xlpm.可変bit数,--MID(H251,FIND("(",H251)+1,FIND(")",H251)-FIND("(",H251)-1),
    _xlfn.XLOOKUP(
        $H251,
        型とバイト数!$B$3:$B$54,
        型とバイト数!$E$3:$E$54,
        IF(LEFT($H251,7)="varchar",_xlpm.可変bit数*8,
            IF(LEFT($H251,4)="char",_xlpm.可変bit数*8,
                IF(LEFT($H251,3)="bit",_xlpm.可変bit数,"???")
            )
        )
    )
)</f>
        <v>512</v>
      </c>
      <c r="J251" s="11"/>
      <c r="K251" s="11"/>
      <c r="L251" s="9"/>
      <c r="M251" s="11" t="str">
        <f>IF(K251="","",IF(L251="","参照先未定義",_xlfn.XLOOKUP(L251,B:B,C:C,"エラー")))</f>
        <v/>
      </c>
      <c r="N251" s="11"/>
      <c r="O251" s="11"/>
      <c r="P251" s="11"/>
      <c r="Q251" s="11"/>
      <c r="R251" s="9"/>
      <c r="S251" s="9"/>
      <c r="T251" s="9" t="s">
        <v>51</v>
      </c>
      <c r="U251" s="11"/>
    </row>
    <row r="252" spans="1:21" ht="18.75" customHeight="1">
      <c r="A252" s="9" t="s">
        <v>46</v>
      </c>
      <c r="B252" s="9" t="str">
        <f t="shared" ca="1" si="6"/>
        <v>vtuber_profiles_lang.dis_favorite</v>
      </c>
      <c r="C252" s="10">
        <f t="shared" ref="C252:C272" si="7">ROW()-1</f>
        <v>251</v>
      </c>
      <c r="D252" s="11" t="str" cm="1">
        <f t="array" aca="1" ref="D252" ca="1">INDIRECT(ADDRESS(ROW()-1,COLUMN()))</f>
        <v>vtuber_profiles_lang</v>
      </c>
      <c r="E252" s="11" t="str" cm="1">
        <f t="array" aca="1" ref="E252" ca="1">INDIRECT(ADDRESS(ROW()-1,COLUMN()))</f>
        <v>Vtuberプロフィール(各言語)</v>
      </c>
      <c r="F252" s="11" t="s">
        <v>92</v>
      </c>
      <c r="G252" s="11" t="s">
        <v>93</v>
      </c>
      <c r="H252" s="11" t="s">
        <v>68</v>
      </c>
      <c r="I252" s="11">
        <f>_xlfn.LET(
    _xlpm.可変bit数,--MID(H252,FIND("(",H252)+1,FIND(")",H252)-FIND("(",H252)-1),
    _xlfn.XLOOKUP(
        $H252,
        型とバイト数!$B$3:$B$54,
        型とバイト数!$E$3:$E$54,
        IF(LEFT($H252,7)="varchar",_xlpm.可変bit数*8,
            IF(LEFT($H252,4)="char",_xlpm.可変bit数*8,
                IF(LEFT($H252,3)="bit",_xlpm.可変bit数,"???")
            )
        )
    )
)</f>
        <v>512</v>
      </c>
      <c r="J252" s="11"/>
      <c r="K252" s="11"/>
      <c r="L252" s="9"/>
      <c r="M252" s="11" t="str">
        <f>IF(K252="","",IF(L252="","参照先未定義",_xlfn.XLOOKUP(L252,B:B,C:C,"エラー")))</f>
        <v/>
      </c>
      <c r="N252" s="11"/>
      <c r="O252" s="11"/>
      <c r="P252" s="11"/>
      <c r="Q252" s="11"/>
      <c r="R252" s="9"/>
      <c r="S252" s="9"/>
      <c r="T252" s="9" t="s">
        <v>51</v>
      </c>
      <c r="U252" s="11"/>
    </row>
    <row r="253" spans="1:21" ht="18.75" customHeight="1">
      <c r="A253" s="9" t="s">
        <v>46</v>
      </c>
      <c r="B253" s="9" t="str">
        <f t="shared" ca="1" si="6"/>
        <v>vtuber_profiles_lang.hobby</v>
      </c>
      <c r="C253" s="10">
        <f t="shared" si="7"/>
        <v>252</v>
      </c>
      <c r="D253" s="11" t="str" cm="1">
        <f t="array" aca="1" ref="D253" ca="1">INDIRECT(ADDRESS(ROW()-1,COLUMN()))</f>
        <v>vtuber_profiles_lang</v>
      </c>
      <c r="E253" s="11" t="str" cm="1">
        <f t="array" aca="1" ref="E253" ca="1">INDIRECT(ADDRESS(ROW()-1,COLUMN()))</f>
        <v>Vtuberプロフィール(各言語)</v>
      </c>
      <c r="F253" s="11" t="s">
        <v>94</v>
      </c>
      <c r="G253" s="11" t="s">
        <v>95</v>
      </c>
      <c r="H253" s="11" t="s">
        <v>68</v>
      </c>
      <c r="I253" s="11">
        <f>_xlfn.LET(
    _xlpm.可変bit数,--MID(H253,FIND("(",H253)+1,FIND(")",H253)-FIND("(",H253)-1),
    _xlfn.XLOOKUP(
        $H253,
        型とバイト数!$B$3:$B$54,
        型とバイト数!$E$3:$E$54,
        IF(LEFT($H253,7)="varchar",_xlpm.可変bit数*8,
            IF(LEFT($H253,4)="char",_xlpm.可変bit数*8,
                IF(LEFT($H253,3)="bit",_xlpm.可変bit数,"???")
            )
        )
    )
)</f>
        <v>512</v>
      </c>
      <c r="J253" s="11"/>
      <c r="K253" s="11"/>
      <c r="L253" s="9"/>
      <c r="M253" s="11" t="str">
        <f>IF(K253="","",IF(L253="","参照先未定義",_xlfn.XLOOKUP(L253,B:B,C:C,"エラー")))</f>
        <v/>
      </c>
      <c r="N253" s="11"/>
      <c r="O253" s="11"/>
      <c r="P253" s="11"/>
      <c r="Q253" s="11"/>
      <c r="R253" s="9"/>
      <c r="S253" s="9"/>
      <c r="T253" s="9" t="s">
        <v>51</v>
      </c>
      <c r="U253" s="11"/>
    </row>
    <row r="254" spans="1:21" ht="18.75" customHeight="1">
      <c r="A254" s="9" t="s">
        <v>46</v>
      </c>
      <c r="B254" s="9" t="str">
        <f t="shared" ca="1" si="6"/>
        <v>vtuber_profiles_lang.dream</v>
      </c>
      <c r="C254" s="10">
        <f t="shared" si="7"/>
        <v>253</v>
      </c>
      <c r="D254" s="11" t="str" cm="1">
        <f t="array" aca="1" ref="D254" ca="1">INDIRECT(ADDRESS(ROW()-1,COLUMN()))</f>
        <v>vtuber_profiles_lang</v>
      </c>
      <c r="E254" s="11" t="str" cm="1">
        <f t="array" aca="1" ref="E254" ca="1">INDIRECT(ADDRESS(ROW()-1,COLUMN()))</f>
        <v>Vtuberプロフィール(各言語)</v>
      </c>
      <c r="F254" s="11" t="s">
        <v>96</v>
      </c>
      <c r="G254" s="11" t="s">
        <v>97</v>
      </c>
      <c r="H254" s="11" t="s">
        <v>68</v>
      </c>
      <c r="I254" s="11">
        <f>_xlfn.LET(
    _xlpm.可変bit数,--MID(H254,FIND("(",H254)+1,FIND(")",H254)-FIND("(",H254)-1),
    _xlfn.XLOOKUP(
        $H254,
        型とバイト数!$B$3:$B$54,
        型とバイト数!$E$3:$E$54,
        IF(LEFT($H254,7)="varchar",_xlpm.可変bit数*8,
            IF(LEFT($H254,4)="char",_xlpm.可変bit数*8,
                IF(LEFT($H254,3)="bit",_xlpm.可変bit数,"???")
            )
        )
    )
)</f>
        <v>512</v>
      </c>
      <c r="J254" s="11"/>
      <c r="K254" s="11"/>
      <c r="L254" s="9"/>
      <c r="M254" s="11" t="str">
        <f>IF(K254="","",IF(L254="","参照先未定義",_xlfn.XLOOKUP(L254,B:B,C:C,"エラー")))</f>
        <v/>
      </c>
      <c r="N254" s="11"/>
      <c r="O254" s="11"/>
      <c r="P254" s="11"/>
      <c r="Q254" s="11"/>
      <c r="R254" s="9"/>
      <c r="S254" s="9"/>
      <c r="T254" s="9" t="s">
        <v>51</v>
      </c>
      <c r="U254" s="11"/>
    </row>
    <row r="255" spans="1:21" ht="18.75" customHeight="1">
      <c r="A255" s="9" t="s">
        <v>46</v>
      </c>
      <c r="B255" s="9" t="str">
        <f t="shared" ca="1" si="6"/>
        <v>vtuber_profiles_lang.messages</v>
      </c>
      <c r="C255" s="10">
        <f t="shared" si="7"/>
        <v>254</v>
      </c>
      <c r="D255" s="11" t="str" cm="1">
        <f t="array" aca="1" ref="D255" ca="1">INDIRECT(ADDRESS(ROW()-1,COLUMN()))</f>
        <v>vtuber_profiles_lang</v>
      </c>
      <c r="E255" s="11" t="str" cm="1">
        <f t="array" aca="1" ref="E255" ca="1">INDIRECT(ADDRESS(ROW()-1,COLUMN()))</f>
        <v>Vtuberプロフィール(各言語)</v>
      </c>
      <c r="F255" s="11" t="s">
        <v>98</v>
      </c>
      <c r="G255" s="11" t="s">
        <v>99</v>
      </c>
      <c r="H255" s="11" t="s">
        <v>87</v>
      </c>
      <c r="I255" s="11" t="str">
        <f>_xlfn.LET(
    _xlpm.可変bit数,--MID(H255,FIND("(",H255)+1,FIND(")",H255)-FIND("(",H255)-1),
    _xlfn.XLOOKUP(
        $H255,
        型とバイト数!$B$3:$B$54,
        型とバイト数!$E$3:$E$54,
        IF(LEFT($H255,7)="varchar",_xlpm.可変bit数*8,
            IF(LEFT($H255,4)="char",_xlpm.可変bit数*8,
                IF(LEFT($H255,3)="bit",_xlpm.可変bit数,"???")
            )
        )
    )
)</f>
        <v>-</v>
      </c>
      <c r="J255" s="11"/>
      <c r="K255" s="11"/>
      <c r="L255" s="9"/>
      <c r="M255" s="11" t="str">
        <f>IF(K255="","",IF(L255="","参照先未定義",_xlfn.XLOOKUP(L255,B:B,C:C,"エラー")))</f>
        <v/>
      </c>
      <c r="N255" s="11"/>
      <c r="O255" s="11"/>
      <c r="P255" s="11"/>
      <c r="Q255" s="11"/>
      <c r="R255" s="9"/>
      <c r="S255" s="9"/>
      <c r="T255" s="9" t="s">
        <v>51</v>
      </c>
      <c r="U255" s="11"/>
    </row>
    <row r="256" spans="1:21" ht="18.75" customHeight="1">
      <c r="A256" s="9" t="s">
        <v>46</v>
      </c>
      <c r="B256" s="9" t="str">
        <f t="shared" ca="1" si="6"/>
        <v>vtuber_profiles_lang.profile_detail</v>
      </c>
      <c r="C256" s="10">
        <f t="shared" si="7"/>
        <v>255</v>
      </c>
      <c r="D256" s="11" t="str" cm="1">
        <f t="array" aca="1" ref="D256" ca="1">INDIRECT(ADDRESS(ROW()-1,COLUMN()))</f>
        <v>vtuber_profiles_lang</v>
      </c>
      <c r="E256" s="11" t="str" cm="1">
        <f t="array" aca="1" ref="E256" ca="1">INDIRECT(ADDRESS(ROW()-1,COLUMN()))</f>
        <v>Vtuberプロフィール(各言語)</v>
      </c>
      <c r="F256" s="11" t="s">
        <v>100</v>
      </c>
      <c r="G256" s="11" t="s">
        <v>101</v>
      </c>
      <c r="H256" s="11" t="s">
        <v>87</v>
      </c>
      <c r="I256" s="11" t="str">
        <f>_xlfn.LET(
    _xlpm.可変bit数,--MID(H256,FIND("(",H256)+1,FIND(")",H256)-FIND("(",H256)-1),
    _xlfn.XLOOKUP(
        $H256,
        型とバイト数!$B$3:$B$54,
        型とバイト数!$E$3:$E$54,
        IF(LEFT($H256,7)="varchar",_xlpm.可変bit数*8,
            IF(LEFT($H256,4)="char",_xlpm.可変bit数*8,
                IF(LEFT($H256,3)="bit",_xlpm.可変bit数,"???")
            )
        )
    )
)</f>
        <v>-</v>
      </c>
      <c r="J256" s="11"/>
      <c r="K256" s="11"/>
      <c r="L256" s="9"/>
      <c r="M256" s="11" t="str">
        <f>IF(K256="","",IF(L256="","参照先未定義",_xlfn.XLOOKUP(L256,B:B,C:C,"エラー")))</f>
        <v/>
      </c>
      <c r="N256" s="11"/>
      <c r="O256" s="11"/>
      <c r="P256" s="11"/>
      <c r="Q256" s="11"/>
      <c r="R256" s="9"/>
      <c r="S256" s="9"/>
      <c r="T256" s="9" t="s">
        <v>51</v>
      </c>
      <c r="U256" s="11" t="s">
        <v>102</v>
      </c>
    </row>
    <row r="257" spans="1:21" ht="18.75" customHeight="1">
      <c r="A257" s="9" t="s">
        <v>46</v>
      </c>
      <c r="B257" s="9" t="str">
        <f t="shared" ca="1" si="6"/>
        <v>vtuber_profiles_lang.create_datetime</v>
      </c>
      <c r="C257" s="10">
        <f t="shared" si="7"/>
        <v>256</v>
      </c>
      <c r="D257" s="11" t="str" cm="1">
        <f t="array" aca="1" ref="D257" ca="1">INDIRECT(ADDRESS(ROW()-1,COLUMN()))</f>
        <v>vtuber_profiles_lang</v>
      </c>
      <c r="E257" s="11" t="str" cm="1">
        <f t="array" aca="1" ref="E257" ca="1">INDIRECT(ADDRESS(ROW()-1,COLUMN()))</f>
        <v>Vtuberプロフィール(各言語)</v>
      </c>
      <c r="F257" s="11" t="s">
        <v>110</v>
      </c>
      <c r="G257" s="11" t="s">
        <v>111</v>
      </c>
      <c r="H257" s="11" t="s">
        <v>515</v>
      </c>
      <c r="I257" s="11">
        <f>_xlfn.LET(
    _xlpm.可変bit数,--MID(H257,FIND("(",H257)+1,FIND(")",H257)-FIND("(",H257)-1),
    _xlfn.XLOOKUP(
        $H257,
        型とバイト数!$B$3:$B$54,
        型とバイト数!$E$3:$E$54,
        IF(LEFT($H257,7)="varchar",_xlpm.可変bit数*8,
            IF(LEFT($H257,4)="char",_xlpm.可変bit数*8,
                IF(LEFT($H257,3)="bit",_xlpm.可変bit数,"???")
            )
        )
    )
)</f>
        <v>64</v>
      </c>
      <c r="J257" s="11"/>
      <c r="K257" s="11"/>
      <c r="L257" s="9"/>
      <c r="M257" s="11" t="str">
        <f>IF(K257="","",IF(L257="","参照先未定義",_xlfn.XLOOKUP(L257,B:B,C:C,"エラー")))</f>
        <v/>
      </c>
      <c r="N257" s="11" t="s">
        <v>51</v>
      </c>
      <c r="O257" s="11"/>
      <c r="P257" s="11" t="s">
        <v>112</v>
      </c>
      <c r="Q257" s="11"/>
      <c r="R257" s="9"/>
      <c r="S257" s="9"/>
      <c r="T257" s="9"/>
      <c r="U257" s="11"/>
    </row>
    <row r="258" spans="1:21" ht="18.75" customHeight="1">
      <c r="A258" s="9" t="s">
        <v>46</v>
      </c>
      <c r="B258" s="9" t="str">
        <f t="shared" ca="1" si="6"/>
        <v>vtuber_profiles_lang.create_user</v>
      </c>
      <c r="C258" s="10">
        <f t="shared" si="7"/>
        <v>257</v>
      </c>
      <c r="D258" s="11" t="str" cm="1">
        <f t="array" aca="1" ref="D258" ca="1">INDIRECT(ADDRESS(ROW()-1,COLUMN()))</f>
        <v>vtuber_profiles_lang</v>
      </c>
      <c r="E258" s="11" t="str" cm="1">
        <f t="array" aca="1" ref="E258" ca="1">INDIRECT(ADDRESS(ROW()-1,COLUMN()))</f>
        <v>Vtuberプロフィール(各言語)</v>
      </c>
      <c r="F258" s="11" t="s">
        <v>113</v>
      </c>
      <c r="G258" s="11" t="s">
        <v>114</v>
      </c>
      <c r="H258" s="11" t="s">
        <v>71</v>
      </c>
      <c r="I258" s="11">
        <f>_xlfn.LET(
    _xlpm.可変bit数,--MID(H258,FIND("(",H258)+1,FIND(")",H258)-FIND("(",H258)-1),
    _xlfn.XLOOKUP(
        $H258,
        型とバイト数!$B$3:$B$54,
        型とバイト数!$E$3:$E$54,
        IF(LEFT($H258,7)="varchar",_xlpm.可変bit数*8,
            IF(LEFT($H258,4)="char",_xlpm.可変bit数*8,
                IF(LEFT($H258,3)="bit",_xlpm.可変bit数,"???")
            )
        )
    )
)</f>
        <v>256</v>
      </c>
      <c r="J258" s="11"/>
      <c r="K258" s="11"/>
      <c r="L258" s="9"/>
      <c r="M258" s="11" t="str">
        <f>IF(K258="","",IF(L258="","参照先未定義",_xlfn.XLOOKUP(L258,B:B,C:C,"エラー")))</f>
        <v/>
      </c>
      <c r="N258" s="11" t="s">
        <v>51</v>
      </c>
      <c r="O258" s="11"/>
      <c r="P258" s="11" t="s">
        <v>115</v>
      </c>
      <c r="Q258" s="11"/>
      <c r="R258" s="9"/>
      <c r="S258" s="9"/>
      <c r="T258" s="9"/>
      <c r="U258" s="11" t="s">
        <v>116</v>
      </c>
    </row>
    <row r="259" spans="1:21" ht="18.75" customHeight="1">
      <c r="A259" s="9" t="s">
        <v>46</v>
      </c>
      <c r="B259" s="9" t="str">
        <f t="shared" ca="1" si="6"/>
        <v>vtuber_profiles_lang.update_datetime</v>
      </c>
      <c r="C259" s="10">
        <f t="shared" si="7"/>
        <v>258</v>
      </c>
      <c r="D259" s="11" t="str" cm="1">
        <f t="array" aca="1" ref="D259" ca="1">INDIRECT(ADDRESS(ROW()-1,COLUMN()))</f>
        <v>vtuber_profiles_lang</v>
      </c>
      <c r="E259" s="11" t="str" cm="1">
        <f t="array" aca="1" ref="E259" ca="1">INDIRECT(ADDRESS(ROW()-1,COLUMN()))</f>
        <v>Vtuberプロフィール(各言語)</v>
      </c>
      <c r="F259" s="11" t="s">
        <v>117</v>
      </c>
      <c r="G259" s="11" t="s">
        <v>118</v>
      </c>
      <c r="H259" s="11" t="s">
        <v>515</v>
      </c>
      <c r="I259" s="11">
        <f>_xlfn.LET(
    _xlpm.可変bit数,--MID(H259,FIND("(",H259)+1,FIND(")",H259)-FIND("(",H259)-1),
    _xlfn.XLOOKUP(
        $H259,
        型とバイト数!$B$3:$B$54,
        型とバイト数!$E$3:$E$54,
        IF(LEFT($H259,7)="varchar",_xlpm.可変bit数*8,
            IF(LEFT($H259,4)="char",_xlpm.可変bit数*8,
                IF(LEFT($H259,3)="bit",_xlpm.可変bit数,"???")
            )
        )
    )
)</f>
        <v>64</v>
      </c>
      <c r="J259" s="11"/>
      <c r="K259" s="11"/>
      <c r="L259" s="9"/>
      <c r="M259" s="11" t="str">
        <f>IF(K259="","",IF(L259="","参照先未定義",_xlfn.XLOOKUP(L259,B:B,C:C,"エラー")))</f>
        <v/>
      </c>
      <c r="N259" s="11" t="s">
        <v>51</v>
      </c>
      <c r="O259" s="11"/>
      <c r="P259" s="11" t="s">
        <v>112</v>
      </c>
      <c r="Q259" s="11"/>
      <c r="R259" s="9"/>
      <c r="S259" s="9"/>
      <c r="T259" s="9"/>
      <c r="U259" s="11"/>
    </row>
    <row r="260" spans="1:21" ht="18.75" customHeight="1">
      <c r="A260" s="9" t="s">
        <v>46</v>
      </c>
      <c r="B260" s="9" t="str">
        <f t="shared" ca="1" si="6"/>
        <v>vtuber_profiles_lang.update_user</v>
      </c>
      <c r="C260" s="10">
        <f t="shared" si="7"/>
        <v>259</v>
      </c>
      <c r="D260" s="11" t="str" cm="1">
        <f t="array" aca="1" ref="D260" ca="1">INDIRECT(ADDRESS(ROW()-1,COLUMN()))</f>
        <v>vtuber_profiles_lang</v>
      </c>
      <c r="E260" s="11" t="str" cm="1">
        <f t="array" aca="1" ref="E260" ca="1">INDIRECT(ADDRESS(ROW()-1,COLUMN()))</f>
        <v>Vtuberプロフィール(各言語)</v>
      </c>
      <c r="F260" s="11" t="s">
        <v>119</v>
      </c>
      <c r="G260" s="11" t="s">
        <v>120</v>
      </c>
      <c r="H260" s="11" t="s">
        <v>71</v>
      </c>
      <c r="I260" s="11">
        <f>_xlfn.LET(
    _xlpm.可変bit数,--MID(H260,FIND("(",H260)+1,FIND(")",H260)-FIND("(",H260)-1),
    _xlfn.XLOOKUP(
        $H260,
        型とバイト数!$B$3:$B$54,
        型とバイト数!$E$3:$E$54,
        IF(LEFT($H260,7)="varchar",_xlpm.可変bit数*8,
            IF(LEFT($H260,4)="char",_xlpm.可変bit数*8,
                IF(LEFT($H260,3)="bit",_xlpm.可変bit数,"???")
            )
        )
    )
)</f>
        <v>256</v>
      </c>
      <c r="J260" s="11"/>
      <c r="K260" s="11"/>
      <c r="L260" s="9"/>
      <c r="M260" s="11" t="str">
        <f>IF(K260="","",IF(L260="","参照先未定義",_xlfn.XLOOKUP(L260,B:B,C:C,"エラー")))</f>
        <v/>
      </c>
      <c r="N260" s="11" t="s">
        <v>51</v>
      </c>
      <c r="O260" s="11"/>
      <c r="P260" s="11" t="s">
        <v>115</v>
      </c>
      <c r="Q260" s="11"/>
      <c r="R260" s="9"/>
      <c r="S260" s="9"/>
      <c r="T260" s="9"/>
      <c r="U260" s="11" t="s">
        <v>116</v>
      </c>
    </row>
    <row r="261" spans="1:21" ht="18">
      <c r="A261" s="9" t="s">
        <v>46</v>
      </c>
      <c r="B261" s="9" t="str">
        <f t="shared" ca="1" si="6"/>
        <v>vtuber_profiles_lang.soft_delete_flag</v>
      </c>
      <c r="C261" s="10">
        <f t="shared" si="7"/>
        <v>260</v>
      </c>
      <c r="D261" s="11" t="str" cm="1">
        <f t="array" aca="1" ref="D261" ca="1">INDIRECT(ADDRESS(ROW()-1,COLUMN()))</f>
        <v>vtuber_profiles_lang</v>
      </c>
      <c r="E261" s="11" t="str" cm="1">
        <f t="array" aca="1" ref="E261" ca="1">INDIRECT(ADDRESS(ROW()-1,COLUMN()))</f>
        <v>Vtuberプロフィール(各言語)</v>
      </c>
      <c r="F261" s="11" t="s">
        <v>121</v>
      </c>
      <c r="G261" s="11" t="s">
        <v>122</v>
      </c>
      <c r="H261" s="11" t="s">
        <v>517</v>
      </c>
      <c r="I261" s="11">
        <f>_xlfn.LET(
    _xlpm.可変bit数,--MID(H261,FIND("(",H261)+1,FIND(")",H261)-FIND("(",H261)-1),
    _xlfn.XLOOKUP(
        $H261,
        型とバイト数!$B$3:$B$54,
        型とバイト数!$E$3:$E$54,
        IF(LEFT($H261,7)="varchar",_xlpm.可変bit数*8,
            IF(LEFT($H261,4)="char",_xlpm.可変bit数*8,
                IF(LEFT($H261,3)="bit",_xlpm.可変bit数,"???")
            )
        )
    )
)</f>
        <v>8</v>
      </c>
      <c r="J261" s="11"/>
      <c r="K261" s="11"/>
      <c r="L261" s="9"/>
      <c r="M261" s="11" t="str">
        <f>IF(K261="","",IF(L261="","参照先未定義",_xlfn.XLOOKUP(L261,B:B,C:C,"エラー")))</f>
        <v/>
      </c>
      <c r="N261" s="11" t="s">
        <v>51</v>
      </c>
      <c r="O261" s="11"/>
      <c r="P261" s="11">
        <v>0</v>
      </c>
      <c r="Q261" s="11"/>
      <c r="R261" s="9"/>
      <c r="S261" s="9"/>
      <c r="T261" s="9"/>
      <c r="U261" s="11"/>
    </row>
    <row r="262" spans="1:21" ht="18">
      <c r="A262" s="9" t="s">
        <v>46</v>
      </c>
      <c r="B262" s="9" t="str">
        <f t="shared" ref="B262:B264" si="8">D262&amp;"."&amp;F262</f>
        <v>profile_tag.profile_tag_uuid</v>
      </c>
      <c r="C262" s="10">
        <f t="shared" si="7"/>
        <v>261</v>
      </c>
      <c r="D262" s="11" t="s">
        <v>489</v>
      </c>
      <c r="E262" s="11" t="s">
        <v>483</v>
      </c>
      <c r="F262" s="11" t="str">
        <f>D262&amp;"_uuid"</f>
        <v>profile_tag_uuid</v>
      </c>
      <c r="G262" s="11" t="s">
        <v>50</v>
      </c>
      <c r="H262" s="11" t="s">
        <v>49</v>
      </c>
      <c r="I262" s="11">
        <f>_xlfn.LET(
    _xlpm.可変bit数,--MID(H262,FIND("(",H262)+1,FIND(")",H262)-FIND("(",H262)-1),
    _xlfn.XLOOKUP(
        $H262,
        型とバイト数!$B$3:$B$54,
        型とバイト数!$E$3:$E$54,
        IF(LEFT($H262,7)="varchar",_xlpm.可変bit数*8,
            IF(LEFT($H262,4)="char",_xlpm.可変bit数*8,
                IF(LEFT($H262,3)="bit",_xlpm.可変bit数,"???")
            )
        )
    )
)</f>
        <v>128</v>
      </c>
      <c r="J262" s="11" t="s">
        <v>488</v>
      </c>
      <c r="K262" s="11"/>
      <c r="L262" s="9"/>
      <c r="M262" s="11" t="str">
        <f>IF(K262="","",IF(L262="","参照先未定義",_xlfn.XLOOKUP(L262,B:B,C:C,"エラー")))</f>
        <v/>
      </c>
      <c r="N262" s="11" t="s">
        <v>499</v>
      </c>
      <c r="O262" s="11" t="s">
        <v>499</v>
      </c>
      <c r="P262" s="11" t="s">
        <v>52</v>
      </c>
      <c r="Q262" s="11"/>
      <c r="R262" s="9"/>
      <c r="S262" s="9"/>
      <c r="T262" s="9"/>
      <c r="U262" s="11"/>
    </row>
    <row r="263" spans="1:21" ht="18">
      <c r="A263" s="9" t="s">
        <v>46</v>
      </c>
      <c r="B263" s="9" t="str">
        <f t="shared" ca="1" si="8"/>
        <v>profile_tag.vtuber_profiles_id</v>
      </c>
      <c r="C263" s="10">
        <f t="shared" si="7"/>
        <v>262</v>
      </c>
      <c r="D263" s="11" t="str" cm="1">
        <f t="array" aca="1" ref="D263" ca="1">INDIRECT(ADDRESS(ROW()-1,COLUMN()))</f>
        <v>profile_tag</v>
      </c>
      <c r="E263" s="11" t="str" cm="1">
        <f t="array" aca="1" ref="E263" ca="1">INDIRECT(ADDRESS(ROW()-1,COLUMN()))</f>
        <v>プロフィールのタグ</v>
      </c>
      <c r="F263" s="11" t="s">
        <v>493</v>
      </c>
      <c r="G263" s="11" t="s">
        <v>54</v>
      </c>
      <c r="H263" s="11" t="s">
        <v>49</v>
      </c>
      <c r="I263" s="11">
        <f>_xlfn.LET(
    _xlpm.可変bit数,--MID(H263,FIND("(",H263)+1,FIND(")",H263)-FIND("(",H263)-1),
    _xlfn.XLOOKUP(
        $H263,
        型とバイト数!$B$3:$B$54,
        型とバイト数!$E$3:$E$54,
        IF(LEFT($H263,7)="varchar",_xlpm.可変bit数*8,
            IF(LEFT($H263,4)="char",_xlpm.可変bit数*8,
                IF(LEFT($H263,3)="bit",_xlpm.可変bit数,"???")
            )
        )
    )
)</f>
        <v>128</v>
      </c>
      <c r="J263" s="11"/>
      <c r="K263" s="11" t="s">
        <v>51</v>
      </c>
      <c r="L263" s="9" t="s">
        <v>522</v>
      </c>
      <c r="M263" s="11">
        <f>IF(K263="","",IF(L263="","参照先未定義",_xlfn.XLOOKUP(L263,B:B,C:C,"エラー")))</f>
        <v>1</v>
      </c>
      <c r="N263" s="11" t="s">
        <v>51</v>
      </c>
      <c r="O263" s="11" t="s">
        <v>498</v>
      </c>
      <c r="P263" s="11"/>
      <c r="Q263" s="11" t="s">
        <v>495</v>
      </c>
      <c r="R263" s="9"/>
      <c r="S263" s="9"/>
      <c r="T263" s="9"/>
      <c r="U263" s="11"/>
    </row>
    <row r="264" spans="1:21" ht="18">
      <c r="A264" s="9" t="s">
        <v>46</v>
      </c>
      <c r="B264" s="9" t="str">
        <f t="shared" ca="1" si="8"/>
        <v>profile_tag.tag</v>
      </c>
      <c r="C264" s="10">
        <f t="shared" si="7"/>
        <v>263</v>
      </c>
      <c r="D264" s="11" t="str" cm="1">
        <f t="array" aca="1" ref="D264" ca="1">INDIRECT(ADDRESS(ROW()-1,COLUMN()))</f>
        <v>profile_tag</v>
      </c>
      <c r="E264" s="11" t="str" cm="1">
        <f t="array" aca="1" ref="E264" ca="1">INDIRECT(ADDRESS(ROW()-1,COLUMN()))</f>
        <v>プロフィールのタグ</v>
      </c>
      <c r="F264" s="11" t="s">
        <v>494</v>
      </c>
      <c r="G264" s="11" t="s">
        <v>130</v>
      </c>
      <c r="H264" s="11" t="s">
        <v>49</v>
      </c>
      <c r="I264" s="11">
        <f>_xlfn.LET(
    _xlpm.可変bit数,--MID(H264,FIND("(",H264)+1,FIND(")",H264)-FIND("(",H264)-1),
    _xlfn.XLOOKUP(
        $H264,
        型とバイト数!$B$3:$B$54,
        型とバイト数!$E$3:$E$54,
        IF(LEFT($H264,7)="varchar",_xlpm.可変bit数*8,
            IF(LEFT($H264,4)="char",_xlpm.可変bit数*8,
                IF(LEFT($H264,3)="bit",_xlpm.可変bit数,"???")
            )
        )
    )
)</f>
        <v>128</v>
      </c>
      <c r="J264" s="11"/>
      <c r="K264" s="11" t="s">
        <v>476</v>
      </c>
      <c r="L264" s="9" t="s">
        <v>533</v>
      </c>
      <c r="M264" s="11">
        <f ca="1">IF(K264="","",IF(L264="","参照先未定義",_xlfn.XLOOKUP(L264,B:B,C:C,"エラー")))</f>
        <v>21</v>
      </c>
      <c r="N264" s="11" t="s">
        <v>51</v>
      </c>
      <c r="O264" s="11" t="s">
        <v>498</v>
      </c>
      <c r="P264" s="11"/>
      <c r="Q264" s="11" t="s">
        <v>495</v>
      </c>
      <c r="R264" s="9"/>
      <c r="S264" s="9"/>
      <c r="T264" s="9" t="s">
        <v>51</v>
      </c>
      <c r="U264" s="11"/>
    </row>
    <row r="265" spans="1:21" ht="18">
      <c r="A265" s="9" t="s">
        <v>46</v>
      </c>
      <c r="B265" s="9" t="str">
        <f ca="1">D265&amp;"."&amp;F265</f>
        <v>profile_tag.create_datetime</v>
      </c>
      <c r="C265" s="10">
        <f>ROW()-1</f>
        <v>264</v>
      </c>
      <c r="D265" s="11" t="str" cm="1">
        <f t="array" aca="1" ref="D265" ca="1">INDIRECT(ADDRESS(ROW()-1,COLUMN()))</f>
        <v>profile_tag</v>
      </c>
      <c r="E265" s="11" t="str" cm="1">
        <f t="array" aca="1" ref="E265" ca="1">INDIRECT(ADDRESS(ROW()-1,COLUMN()))</f>
        <v>プロフィールのタグ</v>
      </c>
      <c r="F265" s="11" t="s">
        <v>110</v>
      </c>
      <c r="G265" s="11" t="s">
        <v>111</v>
      </c>
      <c r="H265" s="11" t="s">
        <v>515</v>
      </c>
      <c r="I265" s="11">
        <f>_xlfn.LET(
    _xlpm.可変bit数,--MID(H265,FIND("(",H265)+1,FIND(")",H265)-FIND("(",H265)-1),
    _xlfn.XLOOKUP(
        $H265,
        型とバイト数!$B$3:$B$54,
        型とバイト数!$E$3:$E$54,
        IF(LEFT($H265,7)="varchar",_xlpm.可変bit数*8,
            IF(LEFT($H265,4)="char",_xlpm.可変bit数*8,
                IF(LEFT($H265,3)="bit",_xlpm.可変bit数,"???")
            )
        )
    )
)</f>
        <v>64</v>
      </c>
      <c r="J265" s="11"/>
      <c r="K265" s="11"/>
      <c r="L265" s="9"/>
      <c r="M265" s="11" t="str">
        <f>IF(K265="","",IF(L265="","参照先未定義",_xlfn.XLOOKUP(L265,B:B,C:C,"エラー")))</f>
        <v/>
      </c>
      <c r="N265" s="11" t="s">
        <v>51</v>
      </c>
      <c r="O265" s="11"/>
      <c r="P265" s="11" t="s">
        <v>112</v>
      </c>
      <c r="Q265" s="11"/>
      <c r="R265" s="9"/>
      <c r="S265" s="9"/>
      <c r="T265" s="9"/>
      <c r="U265" s="11"/>
    </row>
    <row r="266" spans="1:21" ht="18.75" customHeight="1">
      <c r="A266" s="9" t="s">
        <v>46</v>
      </c>
      <c r="B266" s="9" t="str">
        <f ca="1">D266&amp;"."&amp;F266</f>
        <v>profile_tag.create_user</v>
      </c>
      <c r="C266" s="10">
        <f>ROW()-1</f>
        <v>265</v>
      </c>
      <c r="D266" s="11" t="str" cm="1">
        <f t="array" aca="1" ref="D266" ca="1">INDIRECT(ADDRESS(ROW()-1,COLUMN()))</f>
        <v>profile_tag</v>
      </c>
      <c r="E266" s="11" t="str" cm="1">
        <f t="array" aca="1" ref="E266" ca="1">INDIRECT(ADDRESS(ROW()-1,COLUMN()))</f>
        <v>プロフィールのタグ</v>
      </c>
      <c r="F266" s="11" t="s">
        <v>113</v>
      </c>
      <c r="G266" s="11" t="s">
        <v>114</v>
      </c>
      <c r="H266" s="11" t="s">
        <v>71</v>
      </c>
      <c r="I266" s="11">
        <f>_xlfn.LET(
    _xlpm.可変bit数,--MID(H266,FIND("(",H266)+1,FIND(")",H266)-FIND("(",H266)-1),
    _xlfn.XLOOKUP(
        $H266,
        型とバイト数!$B$3:$B$54,
        型とバイト数!$E$3:$E$54,
        IF(LEFT($H266,7)="varchar",_xlpm.可変bit数*8,
            IF(LEFT($H266,4)="char",_xlpm.可変bit数*8,
                IF(LEFT($H266,3)="bit",_xlpm.可変bit数,"???")
            )
        )
    )
)</f>
        <v>256</v>
      </c>
      <c r="J266" s="11"/>
      <c r="K266" s="11"/>
      <c r="L266" s="9"/>
      <c r="M266" s="11" t="str">
        <f>IF(K266="","",IF(L266="","参照先未定義",_xlfn.XLOOKUP(L266,B:B,C:C,"エラー")))</f>
        <v/>
      </c>
      <c r="N266" s="11" t="s">
        <v>51</v>
      </c>
      <c r="O266" s="11"/>
      <c r="P266" s="11" t="s">
        <v>115</v>
      </c>
      <c r="Q266" s="11"/>
      <c r="R266" s="9"/>
      <c r="S266" s="9"/>
      <c r="T266" s="9"/>
      <c r="U266" s="11" t="s">
        <v>116</v>
      </c>
    </row>
    <row r="267" spans="1:21" ht="18.75" customHeight="1">
      <c r="A267" s="9" t="s">
        <v>46</v>
      </c>
      <c r="B267" s="9" t="str">
        <f ca="1">D267&amp;"."&amp;F267</f>
        <v>profile_tag.update_datetime</v>
      </c>
      <c r="C267" s="10">
        <f>ROW()-1</f>
        <v>266</v>
      </c>
      <c r="D267" s="11" t="str" cm="1">
        <f t="array" aca="1" ref="D267" ca="1">INDIRECT(ADDRESS(ROW()-1,COLUMN()))</f>
        <v>profile_tag</v>
      </c>
      <c r="E267" s="11" t="str" cm="1">
        <f t="array" aca="1" ref="E267" ca="1">INDIRECT(ADDRESS(ROW()-1,COLUMN()))</f>
        <v>プロフィールのタグ</v>
      </c>
      <c r="F267" s="11" t="s">
        <v>117</v>
      </c>
      <c r="G267" s="11" t="s">
        <v>118</v>
      </c>
      <c r="H267" s="11" t="s">
        <v>515</v>
      </c>
      <c r="I267" s="11">
        <f>_xlfn.LET(
    _xlpm.可変bit数,--MID(H267,FIND("(",H267)+1,FIND(")",H267)-FIND("(",H267)-1),
    _xlfn.XLOOKUP(
        $H267,
        型とバイト数!$B$3:$B$54,
        型とバイト数!$E$3:$E$54,
        IF(LEFT($H267,7)="varchar",_xlpm.可変bit数*8,
            IF(LEFT($H267,4)="char",_xlpm.可変bit数*8,
                IF(LEFT($H267,3)="bit",_xlpm.可変bit数,"???")
            )
        )
    )
)</f>
        <v>64</v>
      </c>
      <c r="J267" s="11"/>
      <c r="K267" s="11"/>
      <c r="L267" s="9"/>
      <c r="M267" s="11" t="str">
        <f>IF(K267="","",IF(L267="","参照先未定義",_xlfn.XLOOKUP(L267,B:B,C:C,"エラー")))</f>
        <v/>
      </c>
      <c r="N267" s="11" t="s">
        <v>51</v>
      </c>
      <c r="O267" s="11"/>
      <c r="P267" s="11" t="s">
        <v>112</v>
      </c>
      <c r="Q267" s="11"/>
      <c r="R267" s="9"/>
      <c r="S267" s="9"/>
      <c r="T267" s="9"/>
      <c r="U267" s="11"/>
    </row>
    <row r="268" spans="1:21" ht="18.75" customHeight="1">
      <c r="A268" s="9" t="s">
        <v>46</v>
      </c>
      <c r="B268" s="9" t="str">
        <f ca="1">D268&amp;"."&amp;F268</f>
        <v>profile_tag.update_user</v>
      </c>
      <c r="C268" s="10">
        <f>ROW()-1</f>
        <v>267</v>
      </c>
      <c r="D268" s="11" t="str" cm="1">
        <f t="array" aca="1" ref="D268" ca="1">INDIRECT(ADDRESS(ROW()-1,COLUMN()))</f>
        <v>profile_tag</v>
      </c>
      <c r="E268" s="11" t="str" cm="1">
        <f t="array" aca="1" ref="E268" ca="1">INDIRECT(ADDRESS(ROW()-1,COLUMN()))</f>
        <v>プロフィールのタグ</v>
      </c>
      <c r="F268" s="11" t="s">
        <v>119</v>
      </c>
      <c r="G268" s="11" t="s">
        <v>120</v>
      </c>
      <c r="H268" s="11" t="s">
        <v>71</v>
      </c>
      <c r="I268" s="11">
        <f>_xlfn.LET(
    _xlpm.可変bit数,--MID(H268,FIND("(",H268)+1,FIND(")",H268)-FIND("(",H268)-1),
    _xlfn.XLOOKUP(
        $H268,
        型とバイト数!$B$3:$B$54,
        型とバイト数!$E$3:$E$54,
        IF(LEFT($H268,7)="varchar",_xlpm.可変bit数*8,
            IF(LEFT($H268,4)="char",_xlpm.可変bit数*8,
                IF(LEFT($H268,3)="bit",_xlpm.可変bit数,"???")
            )
        )
    )
)</f>
        <v>256</v>
      </c>
      <c r="J268" s="11"/>
      <c r="K268" s="11"/>
      <c r="L268" s="9"/>
      <c r="M268" s="11" t="str">
        <f>IF(K268="","",IF(L268="","参照先未定義",_xlfn.XLOOKUP(L268,B:B,C:C,"エラー")))</f>
        <v/>
      </c>
      <c r="N268" s="11" t="s">
        <v>51</v>
      </c>
      <c r="O268" s="11"/>
      <c r="P268" s="11" t="s">
        <v>115</v>
      </c>
      <c r="Q268" s="11"/>
      <c r="R268" s="9"/>
      <c r="S268" s="9"/>
      <c r="T268" s="9"/>
      <c r="U268" s="11" t="s">
        <v>116</v>
      </c>
    </row>
    <row r="269" spans="1:21" ht="18.75" customHeight="1">
      <c r="A269" s="9" t="s">
        <v>46</v>
      </c>
      <c r="B269" s="9" t="str">
        <f ca="1">D269&amp;"."&amp;F269</f>
        <v>profile_tag.soft_delete_flag</v>
      </c>
      <c r="C269" s="10">
        <f>ROW()-1</f>
        <v>268</v>
      </c>
      <c r="D269" s="11" t="str" cm="1">
        <f t="array" aca="1" ref="D269" ca="1">INDIRECT(ADDRESS(ROW()-1,COLUMN()))</f>
        <v>profile_tag</v>
      </c>
      <c r="E269" s="11" t="str" cm="1">
        <f t="array" aca="1" ref="E269" ca="1">INDIRECT(ADDRESS(ROW()-1,COLUMN()))</f>
        <v>プロフィールのタグ</v>
      </c>
      <c r="F269" s="11" t="s">
        <v>121</v>
      </c>
      <c r="G269" s="11" t="s">
        <v>122</v>
      </c>
      <c r="H269" s="11" t="s">
        <v>517</v>
      </c>
      <c r="I269" s="11">
        <f>_xlfn.LET(
    _xlpm.可変bit数,--MID(H269,FIND("(",H269)+1,FIND(")",H269)-FIND("(",H269)-1),
    _xlfn.XLOOKUP(
        $H269,
        型とバイト数!$B$3:$B$54,
        型とバイト数!$E$3:$E$54,
        IF(LEFT($H269,7)="varchar",_xlpm.可変bit数*8,
            IF(LEFT($H269,4)="char",_xlpm.可変bit数*8,
                IF(LEFT($H269,3)="bit",_xlpm.可変bit数,"???")
            )
        )
    )
)</f>
        <v>8</v>
      </c>
      <c r="J269" s="11"/>
      <c r="K269" s="11"/>
      <c r="L269" s="9"/>
      <c r="M269" s="11" t="str">
        <f>IF(K269="","",IF(L269="","参照先未定義",_xlfn.XLOOKUP(L269,B:B,C:C,"エラー")))</f>
        <v/>
      </c>
      <c r="N269" s="11" t="s">
        <v>51</v>
      </c>
      <c r="O269" s="11"/>
      <c r="P269" s="11">
        <v>0</v>
      </c>
      <c r="Q269" s="11"/>
      <c r="R269" s="9"/>
      <c r="S269" s="9"/>
      <c r="T269" s="9"/>
      <c r="U269" s="11"/>
    </row>
    <row r="270" spans="1:21" ht="18">
      <c r="A270" s="9" t="s">
        <v>46</v>
      </c>
      <c r="B270" s="9" t="str">
        <f t="shared" si="6"/>
        <v>profile_activity.profile_activity_uuid</v>
      </c>
      <c r="C270" s="10">
        <f t="shared" si="7"/>
        <v>269</v>
      </c>
      <c r="D270" s="11" t="s">
        <v>508</v>
      </c>
      <c r="E270" s="11" t="s">
        <v>509</v>
      </c>
      <c r="F270" s="11" t="str">
        <f>D270&amp;"_uuid"</f>
        <v>profile_activity_uuid</v>
      </c>
      <c r="G270" s="11" t="s">
        <v>50</v>
      </c>
      <c r="H270" s="11" t="s">
        <v>49</v>
      </c>
      <c r="I270" s="11">
        <f>_xlfn.LET(
    _xlpm.可変bit数,--MID(H270,FIND("(",H270)+1,FIND(")",H270)-FIND("(",H270)-1),
    _xlfn.XLOOKUP(
        $H270,
        型とバイト数!$B$3:$B$54,
        型とバイト数!$E$3:$E$54,
        IF(LEFT($H270,7)="varchar",_xlpm.可変bit数*8,
            IF(LEFT($H270,4)="char",_xlpm.可変bit数*8,
                IF(LEFT($H270,3)="bit",_xlpm.可変bit数,"???")
            )
        )
    )
)</f>
        <v>128</v>
      </c>
      <c r="J270" s="11" t="s">
        <v>488</v>
      </c>
      <c r="K270" s="11"/>
      <c r="L270" s="9"/>
      <c r="M270" s="11" t="str">
        <f>IF(K270="","",IF(L270="","参照先未定義",_xlfn.XLOOKUP(L270,B:B,C:C,"エラー")))</f>
        <v/>
      </c>
      <c r="N270" s="11" t="s">
        <v>499</v>
      </c>
      <c r="O270" s="11" t="s">
        <v>499</v>
      </c>
      <c r="P270" s="11" t="s">
        <v>52</v>
      </c>
      <c r="Q270" s="11"/>
      <c r="R270" s="9"/>
      <c r="S270" s="9"/>
      <c r="T270" s="9"/>
      <c r="U270" s="11"/>
    </row>
    <row r="271" spans="1:21" ht="18">
      <c r="A271" s="9" t="s">
        <v>46</v>
      </c>
      <c r="B271" s="9" t="str">
        <f t="shared" ca="1" si="6"/>
        <v>profile_activity.vtuber_profiles_id</v>
      </c>
      <c r="C271" s="10">
        <f t="shared" si="7"/>
        <v>270</v>
      </c>
      <c r="D271" s="11" t="str" cm="1">
        <f t="array" aca="1" ref="D271" ca="1">INDIRECT(ADDRESS(ROW()-1,COLUMN()))</f>
        <v>profile_activity</v>
      </c>
      <c r="E271" s="11" t="str" cm="1">
        <f t="array" aca="1" ref="E271" ca="1">INDIRECT(ADDRESS(ROW()-1,COLUMN()))</f>
        <v>プロフィールの活動ジャンル</v>
      </c>
      <c r="F271" s="11" t="s">
        <v>493</v>
      </c>
      <c r="G271" s="11" t="s">
        <v>54</v>
      </c>
      <c r="H271" s="11" t="s">
        <v>49</v>
      </c>
      <c r="I271" s="11">
        <f>_xlfn.LET(
    _xlpm.可変bit数,--MID(H271,FIND("(",H271)+1,FIND(")",H271)-FIND("(",H271)-1),
    _xlfn.XLOOKUP(
        $H271,
        型とバイト数!$B$3:$B$54,
        型とバイト数!$E$3:$E$54,
        IF(LEFT($H271,7)="varchar",_xlpm.可変bit数*8,
            IF(LEFT($H271,4)="char",_xlpm.可変bit数*8,
                IF(LEFT($H271,3)="bit",_xlpm.可変bit数,"???")
            )
        )
    )
)</f>
        <v>128</v>
      </c>
      <c r="J271" s="11"/>
      <c r="K271" s="11" t="s">
        <v>51</v>
      </c>
      <c r="L271" s="9" t="s">
        <v>522</v>
      </c>
      <c r="M271" s="11">
        <f>IF(K271="","",IF(L271="","参照先未定義",_xlfn.XLOOKUP(L271,B:B,C:C,"エラー")))</f>
        <v>1</v>
      </c>
      <c r="N271" s="11" t="s">
        <v>51</v>
      </c>
      <c r="O271" s="11" t="s">
        <v>498</v>
      </c>
      <c r="P271" s="11"/>
      <c r="Q271" s="11" t="s">
        <v>512</v>
      </c>
      <c r="R271" s="9"/>
      <c r="S271" s="9"/>
      <c r="T271" s="9"/>
      <c r="U271" s="11"/>
    </row>
    <row r="272" spans="1:21" ht="18">
      <c r="A272" s="9" t="s">
        <v>46</v>
      </c>
      <c r="B272" s="9" t="str">
        <f t="shared" ca="1" si="6"/>
        <v>profile_activity.activity</v>
      </c>
      <c r="C272" s="10">
        <f t="shared" si="7"/>
        <v>271</v>
      </c>
      <c r="D272" s="11" t="str" cm="1">
        <f t="array" aca="1" ref="D272" ca="1">INDIRECT(ADDRESS(ROW()-1,COLUMN()))</f>
        <v>profile_activity</v>
      </c>
      <c r="E272" s="11" t="str" cm="1">
        <f t="array" aca="1" ref="E272" ca="1">INDIRECT(ADDRESS(ROW()-1,COLUMN()))</f>
        <v>プロフィールの活動ジャンル</v>
      </c>
      <c r="F272" s="11" t="s">
        <v>511</v>
      </c>
      <c r="G272" s="11" t="s">
        <v>74</v>
      </c>
      <c r="H272" s="11" t="s">
        <v>510</v>
      </c>
      <c r="I272" s="11">
        <f>_xlfn.LET(
    _xlpm.可変bit数,--MID(H272,FIND("(",H272)+1,FIND(")",H272)-FIND("(",H272)-1),
    _xlfn.XLOOKUP(
        $H272,
        型とバイト数!$B$3:$B$54,
        型とバイト数!$E$3:$E$54,
        IF(LEFT($H272,7)="varchar",_xlpm.可変bit数*8,
            IF(LEFT($H272,4)="char",_xlpm.可変bit数*8,
                IF(LEFT($H272,3)="bit",_xlpm.可変bit数,"???")
            )
        )
    )
)</f>
        <v>128</v>
      </c>
      <c r="J272" s="11"/>
      <c r="K272" s="11"/>
      <c r="L272" s="9"/>
      <c r="M272" s="11" t="str">
        <f>IF(K272="","",IF(L272="","参照先未定義",_xlfn.XLOOKUP(L272,B:B,C:C,"エラー")))</f>
        <v/>
      </c>
      <c r="N272" s="11" t="s">
        <v>51</v>
      </c>
      <c r="O272" s="11" t="s">
        <v>498</v>
      </c>
      <c r="P272" s="11"/>
      <c r="Q272" s="11" t="s">
        <v>512</v>
      </c>
      <c r="R272" s="9"/>
      <c r="S272" s="9"/>
      <c r="T272" s="9" t="s">
        <v>51</v>
      </c>
      <c r="U272" s="11"/>
    </row>
    <row r="273" spans="1:21" ht="18">
      <c r="A273" s="9" t="s">
        <v>46</v>
      </c>
      <c r="B273" s="9" t="str">
        <f ca="1">D273&amp;"."&amp;F273</f>
        <v>profile_activity.create_datetime</v>
      </c>
      <c r="C273" s="10">
        <f>ROW()-1</f>
        <v>272</v>
      </c>
      <c r="D273" s="11" t="str" cm="1">
        <f t="array" aca="1" ref="D273" ca="1">INDIRECT(ADDRESS(ROW()-1,COLUMN()))</f>
        <v>profile_activity</v>
      </c>
      <c r="E273" s="11" t="str" cm="1">
        <f t="array" aca="1" ref="E273" ca="1">INDIRECT(ADDRESS(ROW()-1,COLUMN()))</f>
        <v>プロフィールの活動ジャンル</v>
      </c>
      <c r="F273" s="11" t="s">
        <v>110</v>
      </c>
      <c r="G273" s="11" t="s">
        <v>111</v>
      </c>
      <c r="H273" s="11" t="s">
        <v>515</v>
      </c>
      <c r="I273" s="11">
        <f>_xlfn.LET(
    _xlpm.可変bit数,--MID(H273,FIND("(",H273)+1,FIND(")",H273)-FIND("(",H273)-1),
    _xlfn.XLOOKUP(
        $H273,
        型とバイト数!$B$3:$B$54,
        型とバイト数!$E$3:$E$54,
        IF(LEFT($H273,7)="varchar",_xlpm.可変bit数*8,
            IF(LEFT($H273,4)="char",_xlpm.可変bit数*8,
                IF(LEFT($H273,3)="bit",_xlpm.可変bit数,"???")
            )
        )
    )
)</f>
        <v>64</v>
      </c>
      <c r="J273" s="11"/>
      <c r="K273" s="11"/>
      <c r="L273" s="9"/>
      <c r="M273" s="11" t="str">
        <f>IF(K273="","",IF(L273="","参照先未定義",_xlfn.XLOOKUP(L273,B:B,C:C,"エラー")))</f>
        <v/>
      </c>
      <c r="N273" s="11" t="s">
        <v>51</v>
      </c>
      <c r="O273" s="11"/>
      <c r="P273" s="11" t="s">
        <v>112</v>
      </c>
      <c r="Q273" s="11"/>
      <c r="R273" s="9"/>
      <c r="S273" s="9"/>
      <c r="T273" s="9"/>
      <c r="U273" s="11"/>
    </row>
    <row r="274" spans="1:21" ht="18.75" customHeight="1">
      <c r="A274" s="9" t="s">
        <v>46</v>
      </c>
      <c r="B274" s="9" t="str">
        <f ca="1">D274&amp;"."&amp;F274</f>
        <v>profile_activity.create_user</v>
      </c>
      <c r="C274" s="10">
        <f>ROW()-1</f>
        <v>273</v>
      </c>
      <c r="D274" s="11" t="str" cm="1">
        <f t="array" aca="1" ref="D274" ca="1">INDIRECT(ADDRESS(ROW()-1,COLUMN()))</f>
        <v>profile_activity</v>
      </c>
      <c r="E274" s="11" t="str" cm="1">
        <f t="array" aca="1" ref="E274" ca="1">INDIRECT(ADDRESS(ROW()-1,COLUMN()))</f>
        <v>プロフィールの活動ジャンル</v>
      </c>
      <c r="F274" s="11" t="s">
        <v>113</v>
      </c>
      <c r="G274" s="11" t="s">
        <v>114</v>
      </c>
      <c r="H274" s="11" t="s">
        <v>71</v>
      </c>
      <c r="I274" s="11">
        <f>_xlfn.LET(
    _xlpm.可変bit数,--MID(H274,FIND("(",H274)+1,FIND(")",H274)-FIND("(",H274)-1),
    _xlfn.XLOOKUP(
        $H274,
        型とバイト数!$B$3:$B$54,
        型とバイト数!$E$3:$E$54,
        IF(LEFT($H274,7)="varchar",_xlpm.可変bit数*8,
            IF(LEFT($H274,4)="char",_xlpm.可変bit数*8,
                IF(LEFT($H274,3)="bit",_xlpm.可変bit数,"???")
            )
        )
    )
)</f>
        <v>256</v>
      </c>
      <c r="J274" s="11"/>
      <c r="K274" s="11"/>
      <c r="L274" s="9"/>
      <c r="M274" s="11" t="str">
        <f>IF(K274="","",IF(L274="","参照先未定義",_xlfn.XLOOKUP(L274,B:B,C:C,"エラー")))</f>
        <v/>
      </c>
      <c r="N274" s="11" t="s">
        <v>51</v>
      </c>
      <c r="O274" s="11"/>
      <c r="P274" s="11" t="s">
        <v>115</v>
      </c>
      <c r="Q274" s="11"/>
      <c r="R274" s="9"/>
      <c r="S274" s="9"/>
      <c r="T274" s="9"/>
      <c r="U274" s="11" t="s">
        <v>116</v>
      </c>
    </row>
    <row r="275" spans="1:21" ht="18.75" customHeight="1">
      <c r="A275" s="9" t="s">
        <v>46</v>
      </c>
      <c r="B275" s="9" t="str">
        <f ca="1">D275&amp;"."&amp;F275</f>
        <v>profile_activity.update_datetime</v>
      </c>
      <c r="C275" s="10">
        <f>ROW()-1</f>
        <v>274</v>
      </c>
      <c r="D275" s="11" t="str" cm="1">
        <f t="array" aca="1" ref="D275" ca="1">INDIRECT(ADDRESS(ROW()-1,COLUMN()))</f>
        <v>profile_activity</v>
      </c>
      <c r="E275" s="11" t="str" cm="1">
        <f t="array" aca="1" ref="E275" ca="1">INDIRECT(ADDRESS(ROW()-1,COLUMN()))</f>
        <v>プロフィールの活動ジャンル</v>
      </c>
      <c r="F275" s="11" t="s">
        <v>117</v>
      </c>
      <c r="G275" s="11" t="s">
        <v>118</v>
      </c>
      <c r="H275" s="11" t="s">
        <v>515</v>
      </c>
      <c r="I275" s="11">
        <f>_xlfn.LET(
    _xlpm.可変bit数,--MID(H275,FIND("(",H275)+1,FIND(")",H275)-FIND("(",H275)-1),
    _xlfn.XLOOKUP(
        $H275,
        型とバイト数!$B$3:$B$54,
        型とバイト数!$E$3:$E$54,
        IF(LEFT($H275,7)="varchar",_xlpm.可変bit数*8,
            IF(LEFT($H275,4)="char",_xlpm.可変bit数*8,
                IF(LEFT($H275,3)="bit",_xlpm.可変bit数,"???")
            )
        )
    )
)</f>
        <v>64</v>
      </c>
      <c r="J275" s="11"/>
      <c r="K275" s="11"/>
      <c r="L275" s="9"/>
      <c r="M275" s="11" t="str">
        <f>IF(K275="","",IF(L275="","参照先未定義",_xlfn.XLOOKUP(L275,B:B,C:C,"エラー")))</f>
        <v/>
      </c>
      <c r="N275" s="11" t="s">
        <v>51</v>
      </c>
      <c r="O275" s="11"/>
      <c r="P275" s="11" t="s">
        <v>112</v>
      </c>
      <c r="Q275" s="11"/>
      <c r="R275" s="9"/>
      <c r="S275" s="9"/>
      <c r="T275" s="9"/>
      <c r="U275" s="11"/>
    </row>
    <row r="276" spans="1:21" ht="18.75" customHeight="1">
      <c r="A276" s="9" t="s">
        <v>46</v>
      </c>
      <c r="B276" s="9" t="str">
        <f ca="1">D276&amp;"."&amp;F276</f>
        <v>profile_activity.update_user</v>
      </c>
      <c r="C276" s="10">
        <f>ROW()-1</f>
        <v>275</v>
      </c>
      <c r="D276" s="11" t="str" cm="1">
        <f t="array" aca="1" ref="D276" ca="1">INDIRECT(ADDRESS(ROW()-1,COLUMN()))</f>
        <v>profile_activity</v>
      </c>
      <c r="E276" s="11" t="str" cm="1">
        <f t="array" aca="1" ref="E276" ca="1">INDIRECT(ADDRESS(ROW()-1,COLUMN()))</f>
        <v>プロフィールの活動ジャンル</v>
      </c>
      <c r="F276" s="11" t="s">
        <v>119</v>
      </c>
      <c r="G276" s="11" t="s">
        <v>120</v>
      </c>
      <c r="H276" s="11" t="s">
        <v>71</v>
      </c>
      <c r="I276" s="11">
        <f>_xlfn.LET(
    _xlpm.可変bit数,--MID(H276,FIND("(",H276)+1,FIND(")",H276)-FIND("(",H276)-1),
    _xlfn.XLOOKUP(
        $H276,
        型とバイト数!$B$3:$B$54,
        型とバイト数!$E$3:$E$54,
        IF(LEFT($H276,7)="varchar",_xlpm.可変bit数*8,
            IF(LEFT($H276,4)="char",_xlpm.可変bit数*8,
                IF(LEFT($H276,3)="bit",_xlpm.可変bit数,"???")
            )
        )
    )
)</f>
        <v>256</v>
      </c>
      <c r="J276" s="11"/>
      <c r="K276" s="11"/>
      <c r="L276" s="9"/>
      <c r="M276" s="11" t="str">
        <f>IF(K276="","",IF(L276="","参照先未定義",_xlfn.XLOOKUP(L276,B:B,C:C,"エラー")))</f>
        <v/>
      </c>
      <c r="N276" s="11" t="s">
        <v>51</v>
      </c>
      <c r="O276" s="11"/>
      <c r="P276" s="11" t="s">
        <v>115</v>
      </c>
      <c r="Q276" s="11"/>
      <c r="R276" s="9"/>
      <c r="S276" s="9"/>
      <c r="T276" s="9"/>
      <c r="U276" s="11" t="s">
        <v>116</v>
      </c>
    </row>
    <row r="277" spans="1:21" ht="18.75" customHeight="1">
      <c r="A277" s="9" t="s">
        <v>46</v>
      </c>
      <c r="B277" s="9" t="str">
        <f ca="1">D277&amp;"."&amp;F277</f>
        <v>profile_activity.soft_delete_flag</v>
      </c>
      <c r="C277" s="10">
        <f>ROW()-1</f>
        <v>276</v>
      </c>
      <c r="D277" s="11" t="str" cm="1">
        <f t="array" aca="1" ref="D277" ca="1">INDIRECT(ADDRESS(ROW()-1,COLUMN()))</f>
        <v>profile_activity</v>
      </c>
      <c r="E277" s="11" t="str" cm="1">
        <f t="array" aca="1" ref="E277" ca="1">INDIRECT(ADDRESS(ROW()-1,COLUMN()))</f>
        <v>プロフィールの活動ジャンル</v>
      </c>
      <c r="F277" s="11" t="s">
        <v>121</v>
      </c>
      <c r="G277" s="11" t="s">
        <v>122</v>
      </c>
      <c r="H277" s="11" t="s">
        <v>517</v>
      </c>
      <c r="I277" s="11">
        <f>_xlfn.LET(
    _xlpm.可変bit数,--MID(H277,FIND("(",H277)+1,FIND(")",H277)-FIND("(",H277)-1),
    _xlfn.XLOOKUP(
        $H277,
        型とバイト数!$B$3:$B$54,
        型とバイト数!$E$3:$E$54,
        IF(LEFT($H277,7)="varchar",_xlpm.可変bit数*8,
            IF(LEFT($H277,4)="char",_xlpm.可変bit数*8,
                IF(LEFT($H277,3)="bit",_xlpm.可変bit数,"???")
            )
        )
    )
)</f>
        <v>8</v>
      </c>
      <c r="J277" s="11"/>
      <c r="K277" s="11"/>
      <c r="L277" s="9"/>
      <c r="M277" s="11" t="str">
        <f>IF(K277="","",IF(L277="","参照先未定義",_xlfn.XLOOKUP(L277,B:B,C:C,"エラー")))</f>
        <v/>
      </c>
      <c r="N277" s="11" t="s">
        <v>51</v>
      </c>
      <c r="O277" s="11"/>
      <c r="P277" s="11">
        <v>0</v>
      </c>
      <c r="Q277" s="11"/>
      <c r="R277" s="9"/>
      <c r="S277" s="9"/>
      <c r="T277" s="9"/>
      <c r="U277" s="11"/>
    </row>
  </sheetData>
  <autoFilter ref="A1:U277" xr:uid="{00000000-0009-0000-0000-000001000000}"/>
  <phoneticPr fontId="3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workbookViewId="0">
      <pane ySplit="2" topLeftCell="A3" activePane="bottomLeft" state="frozen"/>
      <selection pane="bottomLeft" activeCell="B47" sqref="B47"/>
    </sheetView>
  </sheetViews>
  <sheetFormatPr baseColWidth="10" defaultColWidth="14.5" defaultRowHeight="15"/>
  <cols>
    <col min="1" max="1" width="17.5" bestFit="1" customWidth="1"/>
    <col min="2" max="2" width="43.1640625" bestFit="1" customWidth="1"/>
    <col min="3" max="3" width="21.5" bestFit="1" customWidth="1"/>
    <col min="4" max="4" width="22.1640625" hidden="1" customWidth="1"/>
    <col min="5" max="5" width="20.1640625" bestFit="1" customWidth="1"/>
    <col min="6" max="6" width="64.5" bestFit="1" customWidth="1"/>
    <col min="7" max="7" width="93.33203125" bestFit="1" customWidth="1"/>
    <col min="8" max="26" width="8.6640625" customWidth="1"/>
  </cols>
  <sheetData>
    <row r="1" spans="1:7" ht="18">
      <c r="A1" s="18" t="s">
        <v>296</v>
      </c>
      <c r="B1" s="19"/>
      <c r="C1" s="19"/>
      <c r="D1" s="19"/>
      <c r="E1" s="19"/>
      <c r="F1" s="19"/>
      <c r="G1" s="19"/>
    </row>
    <row r="2" spans="1:7" ht="19">
      <c r="A2" s="12" t="s">
        <v>297</v>
      </c>
      <c r="B2" s="12" t="s">
        <v>298</v>
      </c>
      <c r="C2" s="12" t="s">
        <v>299</v>
      </c>
      <c r="D2" s="12" t="s">
        <v>486</v>
      </c>
      <c r="E2" s="12" t="s">
        <v>487</v>
      </c>
      <c r="F2" s="12" t="s">
        <v>300</v>
      </c>
      <c r="G2" s="12" t="s">
        <v>301</v>
      </c>
    </row>
    <row r="3" spans="1:7" ht="19">
      <c r="A3" s="13" t="s">
        <v>302</v>
      </c>
      <c r="B3" s="13" t="s">
        <v>303</v>
      </c>
      <c r="C3" s="13" t="s">
        <v>304</v>
      </c>
      <c r="D3" s="13">
        <v>2</v>
      </c>
      <c r="E3" s="13">
        <f t="shared" ref="E3:E54" si="0">IF(D3&lt;&gt;"-",D3*8,"-")</f>
        <v>16</v>
      </c>
      <c r="F3" s="13" t="s">
        <v>305</v>
      </c>
      <c r="G3" s="13" t="s">
        <v>306</v>
      </c>
    </row>
    <row r="4" spans="1:7" ht="19">
      <c r="A4" s="14" t="s">
        <v>302</v>
      </c>
      <c r="B4" s="14" t="s">
        <v>105</v>
      </c>
      <c r="C4" s="14" t="s">
        <v>307</v>
      </c>
      <c r="D4" s="14">
        <v>4</v>
      </c>
      <c r="E4" s="14">
        <f t="shared" si="0"/>
        <v>32</v>
      </c>
      <c r="F4" s="14" t="s">
        <v>308</v>
      </c>
      <c r="G4" s="14" t="s">
        <v>309</v>
      </c>
    </row>
    <row r="5" spans="1:7" ht="19">
      <c r="A5" s="13" t="s">
        <v>302</v>
      </c>
      <c r="B5" s="13" t="s">
        <v>310</v>
      </c>
      <c r="C5" s="13" t="s">
        <v>311</v>
      </c>
      <c r="D5" s="13">
        <v>8</v>
      </c>
      <c r="E5" s="13">
        <f t="shared" si="0"/>
        <v>64</v>
      </c>
      <c r="F5" s="13" t="s">
        <v>312</v>
      </c>
      <c r="G5" s="13" t="s">
        <v>313</v>
      </c>
    </row>
    <row r="6" spans="1:7" ht="19">
      <c r="A6" s="14" t="s">
        <v>302</v>
      </c>
      <c r="B6" s="14" t="s">
        <v>314</v>
      </c>
      <c r="C6" s="14" t="s">
        <v>315</v>
      </c>
      <c r="D6" s="14" t="s">
        <v>82</v>
      </c>
      <c r="E6" s="14" t="str">
        <f t="shared" si="0"/>
        <v>-</v>
      </c>
      <c r="F6" s="14" t="s">
        <v>316</v>
      </c>
      <c r="G6" s="14" t="s">
        <v>317</v>
      </c>
    </row>
    <row r="7" spans="1:7" ht="19">
      <c r="A7" s="13" t="s">
        <v>302</v>
      </c>
      <c r="B7" s="13" t="s">
        <v>318</v>
      </c>
      <c r="C7" s="13" t="s">
        <v>315</v>
      </c>
      <c r="D7" s="13" t="s">
        <v>82</v>
      </c>
      <c r="E7" s="13" t="str">
        <f t="shared" si="0"/>
        <v>-</v>
      </c>
      <c r="F7" s="13" t="s">
        <v>316</v>
      </c>
      <c r="G7" s="13" t="s">
        <v>319</v>
      </c>
    </row>
    <row r="8" spans="1:7" ht="19">
      <c r="A8" s="14" t="s">
        <v>302</v>
      </c>
      <c r="B8" s="14" t="s">
        <v>320</v>
      </c>
      <c r="C8" s="14" t="s">
        <v>307</v>
      </c>
      <c r="D8" s="14">
        <v>4</v>
      </c>
      <c r="E8" s="14">
        <f t="shared" si="0"/>
        <v>32</v>
      </c>
      <c r="F8" s="15" t="s">
        <v>321</v>
      </c>
      <c r="G8" s="14" t="s">
        <v>322</v>
      </c>
    </row>
    <row r="9" spans="1:7" ht="19">
      <c r="A9" s="13" t="s">
        <v>302</v>
      </c>
      <c r="B9" s="13" t="s">
        <v>323</v>
      </c>
      <c r="C9" s="13" t="s">
        <v>311</v>
      </c>
      <c r="D9" s="13">
        <v>8</v>
      </c>
      <c r="E9" s="13">
        <f t="shared" si="0"/>
        <v>64</v>
      </c>
      <c r="F9" s="16" t="s">
        <v>324</v>
      </c>
      <c r="G9" s="13" t="s">
        <v>325</v>
      </c>
    </row>
    <row r="10" spans="1:7" ht="19">
      <c r="A10" s="14" t="s">
        <v>302</v>
      </c>
      <c r="B10" s="14" t="s">
        <v>326</v>
      </c>
      <c r="C10" s="14" t="s">
        <v>304</v>
      </c>
      <c r="D10" s="14">
        <v>2</v>
      </c>
      <c r="E10" s="14">
        <f t="shared" si="0"/>
        <v>16</v>
      </c>
      <c r="F10" s="14" t="s">
        <v>327</v>
      </c>
      <c r="G10" s="14" t="s">
        <v>328</v>
      </c>
    </row>
    <row r="11" spans="1:7" ht="19">
      <c r="A11" s="13" t="s">
        <v>302</v>
      </c>
      <c r="B11" s="13" t="s">
        <v>170</v>
      </c>
      <c r="C11" s="13" t="s">
        <v>307</v>
      </c>
      <c r="D11" s="13">
        <v>4</v>
      </c>
      <c r="E11" s="13">
        <f t="shared" si="0"/>
        <v>32</v>
      </c>
      <c r="F11" s="13" t="s">
        <v>329</v>
      </c>
      <c r="G11" s="13" t="s">
        <v>330</v>
      </c>
    </row>
    <row r="12" spans="1:7" ht="19">
      <c r="A12" s="14" t="s">
        <v>302</v>
      </c>
      <c r="B12" s="14" t="s">
        <v>61</v>
      </c>
      <c r="C12" s="14" t="s">
        <v>311</v>
      </c>
      <c r="D12" s="14">
        <v>8</v>
      </c>
      <c r="E12" s="14">
        <f t="shared" si="0"/>
        <v>64</v>
      </c>
      <c r="F12" s="14" t="s">
        <v>331</v>
      </c>
      <c r="G12" s="14" t="s">
        <v>332</v>
      </c>
    </row>
    <row r="13" spans="1:7" ht="19">
      <c r="A13" s="13" t="s">
        <v>333</v>
      </c>
      <c r="B13" s="13" t="s">
        <v>334</v>
      </c>
      <c r="C13" s="13" t="s">
        <v>311</v>
      </c>
      <c r="D13" s="13">
        <v>8</v>
      </c>
      <c r="E13" s="13">
        <f t="shared" si="0"/>
        <v>64</v>
      </c>
      <c r="F13" s="13" t="s">
        <v>335</v>
      </c>
      <c r="G13" s="13" t="s">
        <v>336</v>
      </c>
    </row>
    <row r="14" spans="1:7" ht="19">
      <c r="A14" s="14" t="s">
        <v>337</v>
      </c>
      <c r="B14" s="14" t="s">
        <v>338</v>
      </c>
      <c r="C14" s="14" t="s">
        <v>339</v>
      </c>
      <c r="D14" s="14" t="s">
        <v>82</v>
      </c>
      <c r="E14" s="14" t="str">
        <f t="shared" si="0"/>
        <v>-</v>
      </c>
      <c r="F14" s="14" t="s">
        <v>340</v>
      </c>
      <c r="G14" s="14" t="s">
        <v>341</v>
      </c>
    </row>
    <row r="15" spans="1:7" ht="19">
      <c r="A15" s="13" t="s">
        <v>337</v>
      </c>
      <c r="B15" s="13" t="s">
        <v>342</v>
      </c>
      <c r="C15" s="13" t="s">
        <v>343</v>
      </c>
      <c r="D15" s="13" t="s">
        <v>82</v>
      </c>
      <c r="E15" s="13" t="str">
        <f t="shared" si="0"/>
        <v>-</v>
      </c>
      <c r="F15" s="13" t="s">
        <v>344</v>
      </c>
      <c r="G15" s="13" t="s">
        <v>345</v>
      </c>
    </row>
    <row r="16" spans="1:7" ht="19">
      <c r="A16" s="14" t="s">
        <v>337</v>
      </c>
      <c r="B16" s="14" t="s">
        <v>87</v>
      </c>
      <c r="C16" s="14" t="s">
        <v>315</v>
      </c>
      <c r="D16" s="14" t="s">
        <v>82</v>
      </c>
      <c r="E16" s="14" t="str">
        <f t="shared" si="0"/>
        <v>-</v>
      </c>
      <c r="F16" s="14" t="s">
        <v>346</v>
      </c>
      <c r="G16" s="14" t="s">
        <v>347</v>
      </c>
    </row>
    <row r="17" spans="1:7" ht="19">
      <c r="A17" s="13" t="s">
        <v>348</v>
      </c>
      <c r="B17" s="13" t="s">
        <v>472</v>
      </c>
      <c r="C17" s="13" t="s">
        <v>311</v>
      </c>
      <c r="D17" s="13">
        <v>8</v>
      </c>
      <c r="E17" s="13">
        <f t="shared" si="0"/>
        <v>64</v>
      </c>
      <c r="F17" s="13" t="s">
        <v>349</v>
      </c>
      <c r="G17" s="13" t="s">
        <v>350</v>
      </c>
    </row>
    <row r="18" spans="1:7" ht="19">
      <c r="A18" s="14" t="s">
        <v>348</v>
      </c>
      <c r="B18" s="14" t="s">
        <v>351</v>
      </c>
      <c r="C18" s="14" t="s">
        <v>311</v>
      </c>
      <c r="D18" s="14">
        <v>8</v>
      </c>
      <c r="E18" s="14">
        <f>IF(D18&lt;&gt;"-",D18*8,"-")</f>
        <v>64</v>
      </c>
      <c r="F18" s="14" t="s">
        <v>349</v>
      </c>
      <c r="G18" s="14" t="s">
        <v>352</v>
      </c>
    </row>
    <row r="19" spans="1:7" ht="19">
      <c r="A19" s="17" t="s">
        <v>348</v>
      </c>
      <c r="B19" s="17" t="s">
        <v>469</v>
      </c>
      <c r="C19" s="17" t="s">
        <v>311</v>
      </c>
      <c r="D19" s="17">
        <v>8</v>
      </c>
      <c r="E19" s="17">
        <f t="shared" ref="E19" si="1">IF(D19&lt;&gt;"-",D19*8,"-")</f>
        <v>64</v>
      </c>
      <c r="F19" s="17"/>
      <c r="G19" s="17" t="s">
        <v>473</v>
      </c>
    </row>
    <row r="20" spans="1:7" ht="19">
      <c r="A20" s="17" t="s">
        <v>348</v>
      </c>
      <c r="B20" s="17" t="s">
        <v>514</v>
      </c>
      <c r="C20" s="17" t="s">
        <v>311</v>
      </c>
      <c r="D20" s="17">
        <v>8</v>
      </c>
      <c r="E20" s="17">
        <f t="shared" si="0"/>
        <v>64</v>
      </c>
      <c r="F20" s="17"/>
      <c r="G20" s="17" t="s">
        <v>473</v>
      </c>
    </row>
    <row r="21" spans="1:7" ht="19">
      <c r="A21" s="13" t="s">
        <v>348</v>
      </c>
      <c r="B21" s="13" t="s">
        <v>353</v>
      </c>
      <c r="C21" s="13" t="s">
        <v>307</v>
      </c>
      <c r="D21" s="13">
        <v>4</v>
      </c>
      <c r="E21" s="13">
        <f t="shared" si="0"/>
        <v>32</v>
      </c>
      <c r="F21" s="13" t="s">
        <v>354</v>
      </c>
      <c r="G21" s="13" t="s">
        <v>355</v>
      </c>
    </row>
    <row r="22" spans="1:7" ht="19">
      <c r="A22" s="14" t="s">
        <v>348</v>
      </c>
      <c r="B22" s="14" t="s">
        <v>356</v>
      </c>
      <c r="C22" s="14" t="s">
        <v>311</v>
      </c>
      <c r="D22" s="14">
        <v>8</v>
      </c>
      <c r="E22" s="14">
        <f t="shared" si="0"/>
        <v>64</v>
      </c>
      <c r="F22" s="14" t="s">
        <v>357</v>
      </c>
      <c r="G22" s="14" t="s">
        <v>358</v>
      </c>
    </row>
    <row r="23" spans="1:7" ht="19">
      <c r="A23" s="13" t="s">
        <v>348</v>
      </c>
      <c r="B23" s="13" t="s">
        <v>359</v>
      </c>
      <c r="C23" s="13" t="s">
        <v>360</v>
      </c>
      <c r="D23" s="13">
        <v>12</v>
      </c>
      <c r="E23" s="13">
        <f t="shared" si="0"/>
        <v>96</v>
      </c>
      <c r="F23" s="13" t="s">
        <v>361</v>
      </c>
      <c r="G23" s="13" t="s">
        <v>362</v>
      </c>
    </row>
    <row r="24" spans="1:7" ht="19">
      <c r="A24" s="14" t="s">
        <v>348</v>
      </c>
      <c r="B24" s="14" t="s">
        <v>363</v>
      </c>
      <c r="C24" s="14" t="s">
        <v>360</v>
      </c>
      <c r="D24" s="14">
        <v>12</v>
      </c>
      <c r="E24" s="14">
        <f t="shared" si="0"/>
        <v>96</v>
      </c>
      <c r="F24" s="14" t="s">
        <v>364</v>
      </c>
      <c r="G24" s="14" t="s">
        <v>365</v>
      </c>
    </row>
    <row r="25" spans="1:7" ht="19">
      <c r="A25" s="13" t="s">
        <v>366</v>
      </c>
      <c r="B25" s="13" t="s">
        <v>367</v>
      </c>
      <c r="C25" s="13" t="s">
        <v>368</v>
      </c>
      <c r="D25" s="13">
        <v>1</v>
      </c>
      <c r="E25" s="13">
        <f t="shared" si="0"/>
        <v>8</v>
      </c>
      <c r="F25" s="13" t="s">
        <v>369</v>
      </c>
      <c r="G25" s="13" t="s">
        <v>370</v>
      </c>
    </row>
    <row r="26" spans="1:7" ht="19">
      <c r="A26" s="14" t="s">
        <v>371</v>
      </c>
      <c r="B26" s="14" t="s">
        <v>372</v>
      </c>
      <c r="C26" s="14" t="s">
        <v>315</v>
      </c>
      <c r="D26" s="14" t="s">
        <v>82</v>
      </c>
      <c r="E26" s="14" t="str">
        <f t="shared" si="0"/>
        <v>-</v>
      </c>
      <c r="F26" s="14" t="s">
        <v>346</v>
      </c>
      <c r="G26" s="14" t="s">
        <v>373</v>
      </c>
    </row>
    <row r="27" spans="1:7" ht="19">
      <c r="A27" s="13" t="s">
        <v>371</v>
      </c>
      <c r="B27" s="13" t="s">
        <v>374</v>
      </c>
      <c r="C27" s="13" t="s">
        <v>315</v>
      </c>
      <c r="D27" s="13" t="s">
        <v>82</v>
      </c>
      <c r="E27" s="13" t="str">
        <f t="shared" si="0"/>
        <v>-</v>
      </c>
      <c r="F27" s="13" t="s">
        <v>346</v>
      </c>
      <c r="G27" s="13" t="s">
        <v>375</v>
      </c>
    </row>
    <row r="28" spans="1:7" ht="19">
      <c r="A28" s="14" t="s">
        <v>376</v>
      </c>
      <c r="B28" s="14" t="s">
        <v>377</v>
      </c>
      <c r="C28" s="14" t="s">
        <v>378</v>
      </c>
      <c r="D28" s="14">
        <v>16</v>
      </c>
      <c r="E28" s="14">
        <f t="shared" si="0"/>
        <v>128</v>
      </c>
      <c r="F28" s="14" t="s">
        <v>379</v>
      </c>
      <c r="G28" s="14" t="s">
        <v>380</v>
      </c>
    </row>
    <row r="29" spans="1:7" ht="19">
      <c r="A29" s="13" t="s">
        <v>376</v>
      </c>
      <c r="B29" s="13" t="s">
        <v>381</v>
      </c>
      <c r="C29" s="13" t="s">
        <v>382</v>
      </c>
      <c r="D29" s="13">
        <v>32</v>
      </c>
      <c r="E29" s="13">
        <f t="shared" si="0"/>
        <v>256</v>
      </c>
      <c r="F29" s="13" t="s">
        <v>383</v>
      </c>
      <c r="G29" s="13" t="s">
        <v>384</v>
      </c>
    </row>
    <row r="30" spans="1:7" ht="19">
      <c r="A30" s="14" t="s">
        <v>376</v>
      </c>
      <c r="B30" s="14" t="s">
        <v>385</v>
      </c>
      <c r="C30" s="14" t="s">
        <v>382</v>
      </c>
      <c r="D30" s="14">
        <v>32</v>
      </c>
      <c r="E30" s="14">
        <f t="shared" si="0"/>
        <v>256</v>
      </c>
      <c r="F30" s="14" t="s">
        <v>383</v>
      </c>
      <c r="G30" s="14" t="s">
        <v>386</v>
      </c>
    </row>
    <row r="31" spans="1:7" ht="19">
      <c r="A31" s="13" t="s">
        <v>376</v>
      </c>
      <c r="B31" s="13" t="s">
        <v>387</v>
      </c>
      <c r="C31" s="13" t="s">
        <v>382</v>
      </c>
      <c r="D31" s="13">
        <v>32</v>
      </c>
      <c r="E31" s="13">
        <f t="shared" si="0"/>
        <v>256</v>
      </c>
      <c r="F31" s="13" t="s">
        <v>383</v>
      </c>
      <c r="G31" s="13" t="s">
        <v>388</v>
      </c>
    </row>
    <row r="32" spans="1:7" ht="19">
      <c r="A32" s="14" t="s">
        <v>376</v>
      </c>
      <c r="B32" s="14" t="s">
        <v>389</v>
      </c>
      <c r="C32" s="14" t="s">
        <v>390</v>
      </c>
      <c r="D32" s="14" t="s">
        <v>82</v>
      </c>
      <c r="E32" s="14" t="str">
        <f t="shared" si="0"/>
        <v>-</v>
      </c>
      <c r="F32" s="14" t="s">
        <v>391</v>
      </c>
      <c r="G32" s="14" t="s">
        <v>392</v>
      </c>
    </row>
    <row r="33" spans="1:7" ht="19">
      <c r="A33" s="13" t="s">
        <v>376</v>
      </c>
      <c r="B33" s="13" t="s">
        <v>389</v>
      </c>
      <c r="C33" s="13" t="s">
        <v>390</v>
      </c>
      <c r="D33" s="13" t="s">
        <v>82</v>
      </c>
      <c r="E33" s="13" t="str">
        <f t="shared" si="0"/>
        <v>-</v>
      </c>
      <c r="F33" s="13" t="s">
        <v>393</v>
      </c>
      <c r="G33" s="13" t="s">
        <v>394</v>
      </c>
    </row>
    <row r="34" spans="1:7" ht="19">
      <c r="A34" s="14" t="s">
        <v>376</v>
      </c>
      <c r="B34" s="14" t="s">
        <v>395</v>
      </c>
      <c r="C34" s="14" t="s">
        <v>396</v>
      </c>
      <c r="D34" s="14" t="s">
        <v>82</v>
      </c>
      <c r="E34" s="14" t="str">
        <f t="shared" si="0"/>
        <v>-</v>
      </c>
      <c r="F34" s="14" t="s">
        <v>397</v>
      </c>
      <c r="G34" s="14" t="s">
        <v>398</v>
      </c>
    </row>
    <row r="35" spans="1:7" ht="19">
      <c r="A35" s="13" t="s">
        <v>376</v>
      </c>
      <c r="B35" s="13" t="s">
        <v>399</v>
      </c>
      <c r="C35" s="13" t="s">
        <v>400</v>
      </c>
      <c r="D35" s="13">
        <v>24</v>
      </c>
      <c r="E35" s="13">
        <f t="shared" si="0"/>
        <v>192</v>
      </c>
      <c r="F35" s="13" t="s">
        <v>401</v>
      </c>
      <c r="G35" s="13" t="s">
        <v>402</v>
      </c>
    </row>
    <row r="36" spans="1:7" ht="19">
      <c r="A36" s="14" t="s">
        <v>403</v>
      </c>
      <c r="B36" s="14" t="s">
        <v>404</v>
      </c>
      <c r="C36" s="14" t="s">
        <v>405</v>
      </c>
      <c r="D36" s="14" t="s">
        <v>82</v>
      </c>
      <c r="E36" s="14" t="str">
        <f t="shared" si="0"/>
        <v>-</v>
      </c>
      <c r="F36" s="14" t="s">
        <v>406</v>
      </c>
      <c r="G36" s="14" t="s">
        <v>407</v>
      </c>
    </row>
    <row r="37" spans="1:7" ht="19">
      <c r="A37" s="13" t="s">
        <v>403</v>
      </c>
      <c r="B37" s="13" t="s">
        <v>408</v>
      </c>
      <c r="C37" s="13" t="s">
        <v>405</v>
      </c>
      <c r="D37" s="13" t="s">
        <v>82</v>
      </c>
      <c r="E37" s="13" t="str">
        <f t="shared" si="0"/>
        <v>-</v>
      </c>
      <c r="F37" s="13" t="s">
        <v>409</v>
      </c>
      <c r="G37" s="13" t="s">
        <v>410</v>
      </c>
    </row>
    <row r="38" spans="1:7" ht="19">
      <c r="A38" s="14" t="s">
        <v>403</v>
      </c>
      <c r="B38" s="14" t="s">
        <v>411</v>
      </c>
      <c r="C38" s="14" t="s">
        <v>412</v>
      </c>
      <c r="D38" s="14">
        <v>6</v>
      </c>
      <c r="E38" s="14">
        <f t="shared" si="0"/>
        <v>48</v>
      </c>
      <c r="F38" s="14" t="s">
        <v>413</v>
      </c>
      <c r="G38" s="14" t="s">
        <v>414</v>
      </c>
    </row>
    <row r="39" spans="1:7" ht="19">
      <c r="A39" s="13" t="s">
        <v>415</v>
      </c>
      <c r="B39" s="13" t="s">
        <v>416</v>
      </c>
      <c r="C39" s="13" t="s">
        <v>417</v>
      </c>
      <c r="D39" s="13" t="s">
        <v>82</v>
      </c>
      <c r="E39" s="13" t="str">
        <f t="shared" si="0"/>
        <v>-</v>
      </c>
      <c r="F39" s="13" t="s">
        <v>418</v>
      </c>
      <c r="G39" s="13" t="s">
        <v>419</v>
      </c>
    </row>
    <row r="40" spans="1:7" ht="19">
      <c r="A40" s="14" t="s">
        <v>415</v>
      </c>
      <c r="B40" s="14" t="s">
        <v>420</v>
      </c>
      <c r="C40" s="14" t="s">
        <v>421</v>
      </c>
      <c r="D40" s="14" t="s">
        <v>82</v>
      </c>
      <c r="E40" s="14" t="str">
        <f t="shared" si="0"/>
        <v>-</v>
      </c>
      <c r="F40" s="14" t="s">
        <v>422</v>
      </c>
      <c r="G40" s="14" t="s">
        <v>423</v>
      </c>
    </row>
    <row r="41" spans="1:7" ht="19">
      <c r="A41" s="13" t="s">
        <v>424</v>
      </c>
      <c r="B41" s="13" t="s">
        <v>425</v>
      </c>
      <c r="C41" s="13" t="s">
        <v>315</v>
      </c>
      <c r="D41" s="13" t="s">
        <v>82</v>
      </c>
      <c r="E41" s="13" t="str">
        <f t="shared" si="0"/>
        <v>-</v>
      </c>
      <c r="F41" s="13" t="s">
        <v>82</v>
      </c>
      <c r="G41" s="13" t="s">
        <v>426</v>
      </c>
    </row>
    <row r="42" spans="1:7" ht="19">
      <c r="A42" s="14" t="s">
        <v>424</v>
      </c>
      <c r="B42" s="14" t="s">
        <v>427</v>
      </c>
      <c r="C42" s="14" t="s">
        <v>315</v>
      </c>
      <c r="D42" s="14" t="s">
        <v>82</v>
      </c>
      <c r="E42" s="14" t="str">
        <f t="shared" si="0"/>
        <v>-</v>
      </c>
      <c r="F42" s="14" t="s">
        <v>82</v>
      </c>
      <c r="G42" s="14" t="s">
        <v>428</v>
      </c>
    </row>
    <row r="43" spans="1:7" ht="19">
      <c r="A43" s="13" t="s">
        <v>424</v>
      </c>
      <c r="B43" s="13" t="s">
        <v>429</v>
      </c>
      <c r="C43" s="13" t="s">
        <v>307</v>
      </c>
      <c r="D43" s="13">
        <v>4</v>
      </c>
      <c r="E43" s="13">
        <f t="shared" si="0"/>
        <v>32</v>
      </c>
      <c r="F43" s="13" t="s">
        <v>82</v>
      </c>
      <c r="G43" s="13" t="s">
        <v>430</v>
      </c>
    </row>
    <row r="44" spans="1:7" ht="19">
      <c r="A44" s="14" t="s">
        <v>431</v>
      </c>
      <c r="B44" s="14" t="s">
        <v>432</v>
      </c>
      <c r="C44" s="14" t="s">
        <v>315</v>
      </c>
      <c r="D44" s="14" t="s">
        <v>82</v>
      </c>
      <c r="E44" s="14" t="str">
        <f t="shared" si="0"/>
        <v>-</v>
      </c>
      <c r="F44" s="14" t="s">
        <v>433</v>
      </c>
      <c r="G44" s="14" t="s">
        <v>434</v>
      </c>
    </row>
    <row r="45" spans="1:7" ht="19">
      <c r="A45" s="13" t="s">
        <v>435</v>
      </c>
      <c r="B45" s="13" t="s">
        <v>49</v>
      </c>
      <c r="C45" s="13" t="s">
        <v>378</v>
      </c>
      <c r="D45" s="13">
        <v>16</v>
      </c>
      <c r="E45" s="13">
        <f t="shared" si="0"/>
        <v>128</v>
      </c>
      <c r="F45" s="13" t="s">
        <v>436</v>
      </c>
      <c r="G45" s="13" t="s">
        <v>437</v>
      </c>
    </row>
    <row r="46" spans="1:7" ht="19">
      <c r="A46" s="14" t="s">
        <v>438</v>
      </c>
      <c r="B46" s="14" t="s">
        <v>439</v>
      </c>
      <c r="C46" s="14" t="s">
        <v>315</v>
      </c>
      <c r="D46" s="14" t="s">
        <v>82</v>
      </c>
      <c r="E46" s="14" t="str">
        <f t="shared" si="0"/>
        <v>-</v>
      </c>
      <c r="F46" s="14" t="s">
        <v>440</v>
      </c>
      <c r="G46" s="14" t="s">
        <v>441</v>
      </c>
    </row>
    <row r="47" spans="1:7" ht="19">
      <c r="A47" s="13" t="s">
        <v>442</v>
      </c>
      <c r="B47" s="13" t="s">
        <v>443</v>
      </c>
      <c r="C47" s="13" t="s">
        <v>315</v>
      </c>
      <c r="D47" s="13" t="s">
        <v>82</v>
      </c>
      <c r="E47" s="13" t="str">
        <f t="shared" si="0"/>
        <v>-</v>
      </c>
      <c r="F47" s="13" t="s">
        <v>444</v>
      </c>
      <c r="G47" s="13" t="s">
        <v>445</v>
      </c>
    </row>
    <row r="48" spans="1:7" ht="19">
      <c r="A48" s="14" t="s">
        <v>446</v>
      </c>
      <c r="B48" s="14" t="s">
        <v>447</v>
      </c>
      <c r="C48" s="14" t="s">
        <v>315</v>
      </c>
      <c r="D48" s="14" t="s">
        <v>82</v>
      </c>
      <c r="E48" s="14" t="str">
        <f t="shared" si="0"/>
        <v>-</v>
      </c>
      <c r="F48" s="14" t="s">
        <v>448</v>
      </c>
      <c r="G48" s="14" t="s">
        <v>449</v>
      </c>
    </row>
    <row r="49" spans="1:7" ht="19">
      <c r="A49" s="13" t="s">
        <v>450</v>
      </c>
      <c r="B49" s="13" t="s">
        <v>451</v>
      </c>
      <c r="C49" s="13" t="s">
        <v>315</v>
      </c>
      <c r="D49" s="13" t="s">
        <v>82</v>
      </c>
      <c r="E49" s="13" t="str">
        <f t="shared" si="0"/>
        <v>-</v>
      </c>
      <c r="F49" s="13" t="s">
        <v>452</v>
      </c>
      <c r="G49" s="13" t="s">
        <v>453</v>
      </c>
    </row>
    <row r="50" spans="1:7" ht="19">
      <c r="A50" s="14" t="s">
        <v>450</v>
      </c>
      <c r="B50" s="14" t="s">
        <v>454</v>
      </c>
      <c r="C50" s="14" t="s">
        <v>315</v>
      </c>
      <c r="D50" s="14" t="s">
        <v>82</v>
      </c>
      <c r="E50" s="14" t="str">
        <f t="shared" si="0"/>
        <v>-</v>
      </c>
      <c r="F50" s="14" t="s">
        <v>455</v>
      </c>
      <c r="G50" s="14" t="s">
        <v>456</v>
      </c>
    </row>
    <row r="51" spans="1:7" ht="19">
      <c r="A51" s="13" t="s">
        <v>450</v>
      </c>
      <c r="B51" s="13" t="s">
        <v>457</v>
      </c>
      <c r="C51" s="13" t="s">
        <v>315</v>
      </c>
      <c r="D51" s="13" t="s">
        <v>82</v>
      </c>
      <c r="E51" s="13" t="str">
        <f t="shared" si="0"/>
        <v>-</v>
      </c>
      <c r="F51" s="13" t="s">
        <v>458</v>
      </c>
      <c r="G51" s="13" t="s">
        <v>459</v>
      </c>
    </row>
    <row r="52" spans="1:7" ht="19">
      <c r="A52" s="14" t="s">
        <v>450</v>
      </c>
      <c r="B52" s="14" t="s">
        <v>460</v>
      </c>
      <c r="C52" s="14" t="s">
        <v>315</v>
      </c>
      <c r="D52" s="14" t="s">
        <v>82</v>
      </c>
      <c r="E52" s="14" t="str">
        <f t="shared" si="0"/>
        <v>-</v>
      </c>
      <c r="F52" s="14" t="s">
        <v>461</v>
      </c>
      <c r="G52" s="14" t="s">
        <v>462</v>
      </c>
    </row>
    <row r="53" spans="1:7" ht="19">
      <c r="A53" s="13" t="s">
        <v>450</v>
      </c>
      <c r="B53" s="13" t="s">
        <v>463</v>
      </c>
      <c r="C53" s="13" t="s">
        <v>315</v>
      </c>
      <c r="D53" s="13" t="s">
        <v>82</v>
      </c>
      <c r="E53" s="13" t="str">
        <f t="shared" si="0"/>
        <v>-</v>
      </c>
      <c r="F53" s="13" t="s">
        <v>464</v>
      </c>
      <c r="G53" s="13" t="s">
        <v>465</v>
      </c>
    </row>
    <row r="54" spans="1:7" ht="19">
      <c r="A54" s="14" t="s">
        <v>450</v>
      </c>
      <c r="B54" s="14" t="s">
        <v>466</v>
      </c>
      <c r="C54" s="14" t="s">
        <v>315</v>
      </c>
      <c r="D54" s="14" t="s">
        <v>82</v>
      </c>
      <c r="E54" s="14" t="str">
        <f t="shared" si="0"/>
        <v>-</v>
      </c>
      <c r="F54" s="14" t="s">
        <v>467</v>
      </c>
      <c r="G54" s="14" t="s">
        <v>468</v>
      </c>
    </row>
  </sheetData>
  <autoFilter ref="A2:G2" xr:uid="{00000000-0009-0000-0000-000002000000}"/>
  <mergeCells count="1">
    <mergeCell ref="A1:G1"/>
  </mergeCells>
  <phoneticPr fontId="3"/>
  <hyperlinks>
    <hyperlink ref="A1" r:id="rId1" xr:uid="{00000000-0004-0000-02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テーブル一覧</vt:lpstr>
      <vt:lpstr>テーブル定義_一覧</vt:lpstr>
      <vt:lpstr>型とバイト数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takaya kouno</dc:creator>
  <cp:lastModifiedBy>takaya kouno</cp:lastModifiedBy>
  <dcterms:created xsi:type="dcterms:W3CDTF">2026-06-28T10:08:48Z</dcterms:created>
  <dcterms:modified xsi:type="dcterms:W3CDTF">2026-07-22T19:05:10Z</dcterms:modified>
</cp:coreProperties>
</file>
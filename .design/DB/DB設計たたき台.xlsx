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D2A71BE7-E10C-4C36-A156-43D7EEE73AFA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テーブル一覧" sheetId="1" r:id="rId1"/>
    <sheet name="テーブル定義_一覧" sheetId="2" r:id="rId2"/>
    <sheet name="型とバイト数" sheetId="3" r:id="rId3"/>
  </sheets>
  <definedNames>
    <definedName name="_xlnm._FilterDatabase" localSheetId="0" hidden="1">テーブル一覧!$A$1:$H$1</definedName>
    <definedName name="_xlnm._FilterDatabase" localSheetId="1" hidden="1">テーブル定義_一覧!$A$1:$U$294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yhE+4ZZpC8WU9vwNLj1TrTh8YHpJUQ0Cf9+nY8JWWXU="/>
    </ext>
  </extLst>
</workbook>
</file>

<file path=xl/calcChain.xml><?xml version="1.0" encoding="utf-8"?>
<calcChain xmlns="http://schemas.openxmlformats.org/spreadsheetml/2006/main">
  <c r="D197" i="2" l="1"/>
  <c r="E197" i="2"/>
  <c r="B264" i="2"/>
  <c r="C264" i="2"/>
  <c r="C265" i="2"/>
  <c r="C266" i="2"/>
  <c r="C267" i="2"/>
  <c r="C268" i="2"/>
  <c r="C269" i="2"/>
  <c r="C270" i="2"/>
  <c r="C271" i="2"/>
  <c r="C272" i="2"/>
  <c r="C273" i="2"/>
  <c r="C274" i="2"/>
  <c r="B275" i="2"/>
  <c r="C275" i="2"/>
  <c r="B276" i="2"/>
  <c r="C276" i="2"/>
  <c r="B277" i="2"/>
  <c r="C277" i="2"/>
  <c r="B278" i="2"/>
  <c r="C278" i="2"/>
  <c r="B279" i="2"/>
  <c r="C279" i="2"/>
  <c r="B280" i="2"/>
  <c r="C280" i="2"/>
  <c r="B281" i="2"/>
  <c r="C281" i="2"/>
  <c r="B282" i="2"/>
  <c r="C282" i="2"/>
  <c r="B283" i="2"/>
  <c r="C283" i="2"/>
  <c r="B284" i="2"/>
  <c r="C284" i="2"/>
  <c r="B285" i="2"/>
  <c r="C285" i="2"/>
  <c r="B286" i="2"/>
  <c r="C286" i="2"/>
  <c r="B287" i="2"/>
  <c r="C287" i="2"/>
  <c r="B288" i="2"/>
  <c r="C288" i="2"/>
  <c r="B289" i="2"/>
  <c r="C289" i="2"/>
  <c r="B290" i="2"/>
  <c r="C290" i="2"/>
  <c r="B291" i="2"/>
  <c r="C291" i="2"/>
  <c r="B292" i="2"/>
  <c r="C292" i="2"/>
  <c r="B293" i="2"/>
  <c r="C293" i="2"/>
  <c r="B294" i="2"/>
  <c r="C294" i="2"/>
  <c r="B24" i="1"/>
  <c r="B25" i="1"/>
  <c r="B26" i="1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70" i="2"/>
  <c r="I71" i="2"/>
  <c r="I72" i="2"/>
  <c r="I73" i="2"/>
  <c r="I74" i="2"/>
  <c r="I75" i="2"/>
  <c r="I76" i="2"/>
  <c r="I77" i="2"/>
  <c r="I78" i="2"/>
  <c r="I79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20" i="2"/>
  <c r="I21" i="2"/>
  <c r="I22" i="2"/>
  <c r="I23" i="2"/>
  <c r="I24" i="2"/>
  <c r="I25" i="2"/>
  <c r="I26" i="2"/>
  <c r="I27" i="2"/>
  <c r="I28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E18" i="3"/>
  <c r="M3" i="2"/>
  <c r="M5" i="2"/>
  <c r="M6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3" i="2"/>
  <c r="M24" i="2"/>
  <c r="M25" i="2"/>
  <c r="M26" i="2"/>
  <c r="M27" i="2"/>
  <c r="M28" i="2"/>
  <c r="M29" i="2"/>
  <c r="M30" i="2"/>
  <c r="M31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90" i="2"/>
  <c r="M192" i="2"/>
  <c r="M193" i="2"/>
  <c r="M194" i="2"/>
  <c r="M195" i="2"/>
  <c r="M196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8" i="2"/>
  <c r="M279" i="2"/>
  <c r="M280" i="2"/>
  <c r="M281" i="2"/>
  <c r="M282" i="2"/>
  <c r="M283" i="2"/>
  <c r="M284" i="2"/>
  <c r="M285" i="2"/>
  <c r="M288" i="2"/>
  <c r="M289" i="2"/>
  <c r="M290" i="2"/>
  <c r="M291" i="2"/>
  <c r="M292" i="2"/>
  <c r="M293" i="2"/>
  <c r="M294" i="2"/>
  <c r="M2" i="2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65" i="2"/>
  <c r="E266" i="2" s="1"/>
  <c r="E267" i="2" s="1"/>
  <c r="E268" i="2" s="1"/>
  <c r="E269" i="2" s="1"/>
  <c r="E270" i="2" s="1"/>
  <c r="E271" i="2" s="1"/>
  <c r="E272" i="2" s="1"/>
  <c r="E273" i="2" s="1"/>
  <c r="E274" i="2" s="1"/>
  <c r="D265" i="2"/>
  <c r="B265" i="2" s="1"/>
  <c r="C263" i="2"/>
  <c r="C262" i="2"/>
  <c r="C261" i="2"/>
  <c r="C260" i="2"/>
  <c r="C259" i="2"/>
  <c r="C258" i="2"/>
  <c r="E257" i="2"/>
  <c r="E258" i="2" s="1"/>
  <c r="E259" i="2" s="1"/>
  <c r="E260" i="2" s="1"/>
  <c r="E261" i="2" s="1"/>
  <c r="E262" i="2" s="1"/>
  <c r="E263" i="2" s="1"/>
  <c r="D257" i="2"/>
  <c r="D258" i="2" s="1"/>
  <c r="C257" i="2"/>
  <c r="C256" i="2"/>
  <c r="B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E241" i="2"/>
  <c r="E242" i="2" s="1"/>
  <c r="E243" i="2" s="1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D241" i="2"/>
  <c r="D242" i="2" s="1"/>
  <c r="C241" i="2"/>
  <c r="C240" i="2"/>
  <c r="B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E224" i="2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D224" i="2"/>
  <c r="D225" i="2" s="1"/>
  <c r="C224" i="2"/>
  <c r="C223" i="2"/>
  <c r="B223" i="2"/>
  <c r="C222" i="2"/>
  <c r="C221" i="2"/>
  <c r="C220" i="2"/>
  <c r="C219" i="2"/>
  <c r="C218" i="2"/>
  <c r="C217" i="2"/>
  <c r="C216" i="2"/>
  <c r="E215" i="2"/>
  <c r="E216" i="2" s="1"/>
  <c r="E217" i="2" s="1"/>
  <c r="E218" i="2" s="1"/>
  <c r="E219" i="2" s="1"/>
  <c r="E220" i="2" s="1"/>
  <c r="E221" i="2" s="1"/>
  <c r="E222" i="2" s="1"/>
  <c r="D215" i="2"/>
  <c r="D216" i="2" s="1"/>
  <c r="C215" i="2"/>
  <c r="C214" i="2"/>
  <c r="B214" i="2"/>
  <c r="C213" i="2"/>
  <c r="C212" i="2"/>
  <c r="C211" i="2"/>
  <c r="C210" i="2"/>
  <c r="C209" i="2"/>
  <c r="C208" i="2"/>
  <c r="C207" i="2"/>
  <c r="E206" i="2"/>
  <c r="E207" i="2" s="1"/>
  <c r="E208" i="2" s="1"/>
  <c r="E209" i="2" s="1"/>
  <c r="E210" i="2" s="1"/>
  <c r="E211" i="2" s="1"/>
  <c r="E212" i="2" s="1"/>
  <c r="E213" i="2" s="1"/>
  <c r="D206" i="2"/>
  <c r="D207" i="2" s="1"/>
  <c r="C206" i="2"/>
  <c r="C205" i="2"/>
  <c r="B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E187" i="2"/>
  <c r="E188" i="2" s="1"/>
  <c r="E189" i="2" s="1"/>
  <c r="E190" i="2" s="1"/>
  <c r="E191" i="2" s="1"/>
  <c r="E192" i="2" s="1"/>
  <c r="E193" i="2" s="1"/>
  <c r="E194" i="2" s="1"/>
  <c r="E195" i="2" s="1"/>
  <c r="E196" i="2" s="1"/>
  <c r="E198" i="2" s="1"/>
  <c r="E199" i="2" s="1"/>
  <c r="E200" i="2" s="1"/>
  <c r="E201" i="2" s="1"/>
  <c r="E202" i="2" s="1"/>
  <c r="E203" i="2" s="1"/>
  <c r="E204" i="2" s="1"/>
  <c r="D187" i="2"/>
  <c r="B187" i="2" s="1"/>
  <c r="C187" i="2"/>
  <c r="C186" i="2"/>
  <c r="B186" i="2"/>
  <c r="C185" i="2"/>
  <c r="C184" i="2"/>
  <c r="C183" i="2"/>
  <c r="C182" i="2"/>
  <c r="C181" i="2"/>
  <c r="C180" i="2"/>
  <c r="C179" i="2"/>
  <c r="E178" i="2"/>
  <c r="E179" i="2" s="1"/>
  <c r="E180" i="2" s="1"/>
  <c r="E181" i="2" s="1"/>
  <c r="E182" i="2" s="1"/>
  <c r="E183" i="2" s="1"/>
  <c r="E184" i="2" s="1"/>
  <c r="E185" i="2" s="1"/>
  <c r="D178" i="2"/>
  <c r="B178" i="2" s="1"/>
  <c r="C178" i="2"/>
  <c r="C177" i="2"/>
  <c r="B177" i="2"/>
  <c r="C176" i="2"/>
  <c r="C175" i="2"/>
  <c r="C174" i="2"/>
  <c r="C173" i="2"/>
  <c r="C172" i="2"/>
  <c r="C171" i="2"/>
  <c r="C170" i="2"/>
  <c r="C169" i="2"/>
  <c r="C168" i="2"/>
  <c r="C167" i="2"/>
  <c r="E166" i="2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D166" i="2"/>
  <c r="B166" i="2" s="1"/>
  <c r="C166" i="2"/>
  <c r="C165" i="2"/>
  <c r="B165" i="2"/>
  <c r="C164" i="2"/>
  <c r="C163" i="2"/>
  <c r="C162" i="2"/>
  <c r="C161" i="2"/>
  <c r="C160" i="2"/>
  <c r="C159" i="2"/>
  <c r="C158" i="2"/>
  <c r="C157" i="2"/>
  <c r="C156" i="2"/>
  <c r="C155" i="2"/>
  <c r="E154" i="2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D154" i="2"/>
  <c r="D155" i="2" s="1"/>
  <c r="C154" i="2"/>
  <c r="C153" i="2"/>
  <c r="B153" i="2"/>
  <c r="C152" i="2"/>
  <c r="C151" i="2"/>
  <c r="C150" i="2"/>
  <c r="C149" i="2"/>
  <c r="C148" i="2"/>
  <c r="C147" i="2"/>
  <c r="C146" i="2"/>
  <c r="C145" i="2"/>
  <c r="E144" i="2"/>
  <c r="E145" i="2" s="1"/>
  <c r="E146" i="2" s="1"/>
  <c r="E147" i="2" s="1"/>
  <c r="E148" i="2" s="1"/>
  <c r="E149" i="2" s="1"/>
  <c r="E150" i="2" s="1"/>
  <c r="E151" i="2" s="1"/>
  <c r="E152" i="2" s="1"/>
  <c r="D144" i="2"/>
  <c r="B144" i="2" s="1"/>
  <c r="C144" i="2"/>
  <c r="C143" i="2"/>
  <c r="B143" i="2"/>
  <c r="C142" i="2"/>
  <c r="C141" i="2"/>
  <c r="C140" i="2"/>
  <c r="C139" i="2"/>
  <c r="C138" i="2"/>
  <c r="C137" i="2"/>
  <c r="C136" i="2"/>
  <c r="C135" i="2"/>
  <c r="C134" i="2"/>
  <c r="E133" i="2"/>
  <c r="E134" i="2" s="1"/>
  <c r="E135" i="2" s="1"/>
  <c r="E136" i="2" s="1"/>
  <c r="E137" i="2" s="1"/>
  <c r="E138" i="2" s="1"/>
  <c r="E139" i="2" s="1"/>
  <c r="E140" i="2" s="1"/>
  <c r="E141" i="2" s="1"/>
  <c r="E142" i="2" s="1"/>
  <c r="D133" i="2"/>
  <c r="D134" i="2" s="1"/>
  <c r="C133" i="2"/>
  <c r="C132" i="2"/>
  <c r="B132" i="2"/>
  <c r="C131" i="2"/>
  <c r="C130" i="2"/>
  <c r="C129" i="2"/>
  <c r="C128" i="2"/>
  <c r="C127" i="2"/>
  <c r="C126" i="2"/>
  <c r="C125" i="2"/>
  <c r="E124" i="2"/>
  <c r="E125" i="2" s="1"/>
  <c r="E126" i="2" s="1"/>
  <c r="E127" i="2" s="1"/>
  <c r="E128" i="2" s="1"/>
  <c r="E129" i="2" s="1"/>
  <c r="E130" i="2" s="1"/>
  <c r="E131" i="2" s="1"/>
  <c r="D124" i="2"/>
  <c r="D125" i="2" s="1"/>
  <c r="C124" i="2"/>
  <c r="C123" i="2"/>
  <c r="B123" i="2"/>
  <c r="C122" i="2"/>
  <c r="C121" i="2"/>
  <c r="C120" i="2"/>
  <c r="C119" i="2"/>
  <c r="C118" i="2"/>
  <c r="C117" i="2"/>
  <c r="C116" i="2"/>
  <c r="E115" i="2"/>
  <c r="E116" i="2" s="1"/>
  <c r="E117" i="2" s="1"/>
  <c r="E118" i="2" s="1"/>
  <c r="E119" i="2" s="1"/>
  <c r="E120" i="2" s="1"/>
  <c r="E121" i="2" s="1"/>
  <c r="E122" i="2" s="1"/>
  <c r="D115" i="2"/>
  <c r="D116" i="2" s="1"/>
  <c r="D117" i="2" s="1"/>
  <c r="C115" i="2"/>
  <c r="C114" i="2"/>
  <c r="B114" i="2"/>
  <c r="C113" i="2"/>
  <c r="C112" i="2"/>
  <c r="C111" i="2"/>
  <c r="C110" i="2"/>
  <c r="C109" i="2"/>
  <c r="C108" i="2"/>
  <c r="C107" i="2"/>
  <c r="C106" i="2"/>
  <c r="C105" i="2"/>
  <c r="C104" i="2"/>
  <c r="E103" i="2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D103" i="2"/>
  <c r="D104" i="2" s="1"/>
  <c r="C103" i="2"/>
  <c r="C102" i="2"/>
  <c r="B102" i="2"/>
  <c r="C101" i="2"/>
  <c r="C100" i="2"/>
  <c r="C99" i="2"/>
  <c r="C98" i="2"/>
  <c r="C97" i="2"/>
  <c r="C96" i="2"/>
  <c r="C95" i="2"/>
  <c r="C94" i="2"/>
  <c r="C93" i="2"/>
  <c r="C92" i="2"/>
  <c r="C91" i="2"/>
  <c r="C90" i="2"/>
  <c r="E89" i="2"/>
  <c r="E90" i="2" s="1"/>
  <c r="E91" i="2" s="1"/>
  <c r="E92" i="2" s="1"/>
  <c r="E93" i="2" s="1"/>
  <c r="E94" i="2" s="1"/>
  <c r="E95" i="2" s="1"/>
  <c r="E96" i="2" s="1"/>
  <c r="E97" i="2" s="1"/>
  <c r="E98" i="2" s="1"/>
  <c r="E99" i="2" s="1"/>
  <c r="E100" i="2" s="1"/>
  <c r="E101" i="2" s="1"/>
  <c r="D89" i="2"/>
  <c r="D90" i="2" s="1"/>
  <c r="B90" i="2" s="1"/>
  <c r="C89" i="2"/>
  <c r="C88" i="2"/>
  <c r="B88" i="2"/>
  <c r="C87" i="2"/>
  <c r="C86" i="2"/>
  <c r="C85" i="2"/>
  <c r="C84" i="2"/>
  <c r="C83" i="2"/>
  <c r="C82" i="2"/>
  <c r="C81" i="2"/>
  <c r="C80" i="2"/>
  <c r="C79" i="2"/>
  <c r="E78" i="2"/>
  <c r="E79" i="2" s="1"/>
  <c r="D78" i="2"/>
  <c r="D79" i="2" s="1"/>
  <c r="D80" i="2" s="1"/>
  <c r="C78" i="2"/>
  <c r="C77" i="2"/>
  <c r="B77" i="2"/>
  <c r="C76" i="2"/>
  <c r="C75" i="2"/>
  <c r="C74" i="2"/>
  <c r="C73" i="2"/>
  <c r="C72" i="2"/>
  <c r="C71" i="2"/>
  <c r="C70" i="2"/>
  <c r="C69" i="2"/>
  <c r="C68" i="2"/>
  <c r="E67" i="2"/>
  <c r="E68" i="2" s="1"/>
  <c r="E69" i="2" s="1"/>
  <c r="E70" i="2" s="1"/>
  <c r="E71" i="2" s="1"/>
  <c r="E72" i="2" s="1"/>
  <c r="E73" i="2" s="1"/>
  <c r="E74" i="2" s="1"/>
  <c r="E75" i="2" s="1"/>
  <c r="E76" i="2" s="1"/>
  <c r="D67" i="2"/>
  <c r="D68" i="2" s="1"/>
  <c r="C67" i="2"/>
  <c r="C66" i="2"/>
  <c r="B66" i="2"/>
  <c r="C65" i="2"/>
  <c r="C64" i="2"/>
  <c r="C63" i="2"/>
  <c r="C62" i="2"/>
  <c r="C61" i="2"/>
  <c r="C60" i="2"/>
  <c r="C59" i="2"/>
  <c r="E58" i="2"/>
  <c r="E59" i="2" s="1"/>
  <c r="E60" i="2" s="1"/>
  <c r="E61" i="2" s="1"/>
  <c r="E62" i="2" s="1"/>
  <c r="E63" i="2" s="1"/>
  <c r="E64" i="2" s="1"/>
  <c r="E65" i="2" s="1"/>
  <c r="D58" i="2"/>
  <c r="D59" i="2" s="1"/>
  <c r="B59" i="2" s="1"/>
  <c r="C58" i="2"/>
  <c r="C57" i="2"/>
  <c r="B57" i="2"/>
  <c r="C56" i="2"/>
  <c r="C55" i="2"/>
  <c r="C54" i="2"/>
  <c r="C53" i="2"/>
  <c r="C52" i="2"/>
  <c r="C51" i="2"/>
  <c r="C50" i="2"/>
  <c r="E49" i="2"/>
  <c r="E50" i="2" s="1"/>
  <c r="E51" i="2" s="1"/>
  <c r="E52" i="2" s="1"/>
  <c r="E53" i="2" s="1"/>
  <c r="E54" i="2" s="1"/>
  <c r="E55" i="2" s="1"/>
  <c r="E56" i="2" s="1"/>
  <c r="D49" i="2"/>
  <c r="D50" i="2" s="1"/>
  <c r="D51" i="2" s="1"/>
  <c r="C49" i="2"/>
  <c r="C48" i="2"/>
  <c r="B48" i="2"/>
  <c r="C47" i="2"/>
  <c r="C46" i="2"/>
  <c r="C45" i="2"/>
  <c r="C44" i="2"/>
  <c r="C43" i="2"/>
  <c r="C42" i="2"/>
  <c r="E41" i="2"/>
  <c r="E42" i="2" s="1"/>
  <c r="E43" i="2" s="1"/>
  <c r="E44" i="2" s="1"/>
  <c r="E45" i="2" s="1"/>
  <c r="E46" i="2" s="1"/>
  <c r="E47" i="2" s="1"/>
  <c r="D41" i="2"/>
  <c r="D42" i="2" s="1"/>
  <c r="C41" i="2"/>
  <c r="C40" i="2"/>
  <c r="B40" i="2"/>
  <c r="C39" i="2"/>
  <c r="C38" i="2"/>
  <c r="C37" i="2"/>
  <c r="C36" i="2"/>
  <c r="C35" i="2"/>
  <c r="C34" i="2"/>
  <c r="C33" i="2"/>
  <c r="C32" i="2"/>
  <c r="E31" i="2"/>
  <c r="E32" i="2" s="1"/>
  <c r="E33" i="2" s="1"/>
  <c r="E34" i="2" s="1"/>
  <c r="E35" i="2" s="1"/>
  <c r="E36" i="2" s="1"/>
  <c r="E37" i="2" s="1"/>
  <c r="E38" i="2" s="1"/>
  <c r="E39" i="2" s="1"/>
  <c r="D31" i="2"/>
  <c r="D32" i="2" s="1"/>
  <c r="D33" i="2" s="1"/>
  <c r="C31" i="2"/>
  <c r="C30" i="2"/>
  <c r="B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E3" i="2"/>
  <c r="E4" i="2" s="1"/>
  <c r="E5" i="2" s="1"/>
  <c r="D3" i="2"/>
  <c r="B3" i="2" s="1"/>
  <c r="C3" i="2"/>
  <c r="C2" i="2"/>
  <c r="B2" i="2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E81" i="2" l="1"/>
  <c r="E82" i="2" s="1"/>
  <c r="E83" i="2" s="1"/>
  <c r="E84" i="2" s="1"/>
  <c r="E85" i="2" s="1"/>
  <c r="E86" i="2" s="1"/>
  <c r="E87" i="2" s="1"/>
  <c r="E80" i="2"/>
  <c r="B58" i="2"/>
  <c r="B154" i="2"/>
  <c r="B115" i="2"/>
  <c r="B257" i="2"/>
  <c r="B224" i="2"/>
  <c r="B89" i="2"/>
  <c r="B124" i="2"/>
  <c r="B215" i="2"/>
  <c r="D145" i="2"/>
  <c r="B31" i="2"/>
  <c r="B49" i="2"/>
  <c r="B258" i="2"/>
  <c r="D259" i="2"/>
  <c r="B259" i="2" s="1"/>
  <c r="B225" i="2"/>
  <c r="D226" i="2"/>
  <c r="B226" i="2" s="1"/>
  <c r="D156" i="2"/>
  <c r="D157" i="2" s="1"/>
  <c r="B155" i="2"/>
  <c r="B67" i="2"/>
  <c r="B125" i="2"/>
  <c r="D126" i="2"/>
  <c r="D127" i="2" s="1"/>
  <c r="B127" i="2" s="1"/>
  <c r="D91" i="2"/>
  <c r="B91" i="2" s="1"/>
  <c r="M67" i="2"/>
  <c r="D266" i="2"/>
  <c r="D167" i="2"/>
  <c r="M277" i="2"/>
  <c r="D4" i="2"/>
  <c r="D5" i="2" s="1"/>
  <c r="M90" i="2"/>
  <c r="M287" i="2"/>
  <c r="M286" i="2"/>
  <c r="D60" i="2"/>
  <c r="D61" i="2" s="1"/>
  <c r="D62" i="2" s="1"/>
  <c r="B133" i="2"/>
  <c r="D69" i="2"/>
  <c r="B68" i="2"/>
  <c r="B216" i="2"/>
  <c r="D217" i="2"/>
  <c r="D243" i="2"/>
  <c r="B242" i="2"/>
  <c r="B79" i="2"/>
  <c r="B104" i="2"/>
  <c r="D105" i="2"/>
  <c r="B117" i="2"/>
  <c r="D118" i="2"/>
  <c r="B207" i="2"/>
  <c r="D208" i="2"/>
  <c r="B33" i="2"/>
  <c r="D34" i="2"/>
  <c r="B42" i="2"/>
  <c r="D43" i="2"/>
  <c r="D135" i="2"/>
  <c r="B134" i="2"/>
  <c r="B51" i="2"/>
  <c r="D52" i="2"/>
  <c r="D188" i="2"/>
  <c r="D179" i="2"/>
  <c r="B241" i="2"/>
  <c r="B32" i="2"/>
  <c r="B41" i="2"/>
  <c r="B50" i="2"/>
  <c r="B103" i="2"/>
  <c r="B116" i="2"/>
  <c r="B78" i="2"/>
  <c r="B206" i="2"/>
  <c r="B156" i="2" l="1"/>
  <c r="B61" i="2"/>
  <c r="B126" i="2"/>
  <c r="E6" i="2"/>
  <c r="E7" i="2" s="1"/>
  <c r="E8" i="2" s="1"/>
  <c r="E9" i="2" s="1"/>
  <c r="D227" i="2"/>
  <c r="B227" i="2" s="1"/>
  <c r="D146" i="2"/>
  <c r="B145" i="2"/>
  <c r="D260" i="2"/>
  <c r="B4" i="2"/>
  <c r="B60" i="2"/>
  <c r="D128" i="2"/>
  <c r="D129" i="2" s="1"/>
  <c r="D92" i="2"/>
  <c r="B92" i="2" s="1"/>
  <c r="D168" i="2"/>
  <c r="B167" i="2"/>
  <c r="B266" i="2"/>
  <c r="D267" i="2"/>
  <c r="D261" i="2"/>
  <c r="B260" i="2"/>
  <c r="D209" i="2"/>
  <c r="B208" i="2"/>
  <c r="B118" i="2"/>
  <c r="D119" i="2"/>
  <c r="D228" i="2"/>
  <c r="D180" i="2"/>
  <c r="B179" i="2"/>
  <c r="D158" i="2"/>
  <c r="B157" i="2"/>
  <c r="D189" i="2"/>
  <c r="B188" i="2"/>
  <c r="B105" i="2"/>
  <c r="D106" i="2"/>
  <c r="B52" i="2"/>
  <c r="D53" i="2"/>
  <c r="D218" i="2"/>
  <c r="B217" i="2"/>
  <c r="D136" i="2"/>
  <c r="B135" i="2"/>
  <c r="D35" i="2"/>
  <c r="B34" i="2"/>
  <c r="D63" i="2"/>
  <c r="B62" i="2"/>
  <c r="B243" i="2"/>
  <c r="D244" i="2"/>
  <c r="B43" i="2"/>
  <c r="D44" i="2"/>
  <c r="D70" i="2"/>
  <c r="B69" i="2"/>
  <c r="E10" i="2" l="1"/>
  <c r="E11" i="2" s="1"/>
  <c r="E12" i="2" s="1"/>
  <c r="E13" i="2" s="1"/>
  <c r="B146" i="2"/>
  <c r="D147" i="2"/>
  <c r="B128" i="2"/>
  <c r="D93" i="2"/>
  <c r="D262" i="2"/>
  <c r="B261" i="2"/>
  <c r="B168" i="2"/>
  <c r="D169" i="2"/>
  <c r="D268" i="2"/>
  <c r="B267" i="2"/>
  <c r="D107" i="2"/>
  <c r="B106" i="2"/>
  <c r="D94" i="2"/>
  <c r="B93" i="2"/>
  <c r="D190" i="2"/>
  <c r="B189" i="2"/>
  <c r="D219" i="2"/>
  <c r="B218" i="2"/>
  <c r="D159" i="2"/>
  <c r="B158" i="2"/>
  <c r="D54" i="2"/>
  <c r="B53" i="2"/>
  <c r="D181" i="2"/>
  <c r="B180" i="2"/>
  <c r="D81" i="2"/>
  <c r="B80" i="2"/>
  <c r="D64" i="2"/>
  <c r="B63" i="2"/>
  <c r="B70" i="2"/>
  <c r="D71" i="2"/>
  <c r="D45" i="2"/>
  <c r="B44" i="2"/>
  <c r="D229" i="2"/>
  <c r="B228" i="2"/>
  <c r="D120" i="2"/>
  <c r="B119" i="2"/>
  <c r="D130" i="2"/>
  <c r="B129" i="2"/>
  <c r="D36" i="2"/>
  <c r="B35" i="2"/>
  <c r="D6" i="2"/>
  <c r="B5" i="2"/>
  <c r="D245" i="2"/>
  <c r="B244" i="2"/>
  <c r="B136" i="2"/>
  <c r="D137" i="2"/>
  <c r="D210" i="2"/>
  <c r="B209" i="2"/>
  <c r="E14" i="2" l="1"/>
  <c r="E15" i="2" s="1"/>
  <c r="E16" i="2" s="1"/>
  <c r="E17" i="2" s="1"/>
  <c r="E18" i="2" s="1"/>
  <c r="E19" i="2" s="1"/>
  <c r="E20" i="2" s="1"/>
  <c r="D148" i="2"/>
  <c r="B147" i="2"/>
  <c r="D170" i="2"/>
  <c r="B169" i="2"/>
  <c r="D269" i="2"/>
  <c r="B268" i="2"/>
  <c r="B262" i="2"/>
  <c r="D263" i="2"/>
  <c r="B263" i="2" s="1"/>
  <c r="D46" i="2"/>
  <c r="B45" i="2"/>
  <c r="D246" i="2"/>
  <c r="B245" i="2"/>
  <c r="D82" i="2"/>
  <c r="B81" i="2"/>
  <c r="B181" i="2"/>
  <c r="D182" i="2"/>
  <c r="D55" i="2"/>
  <c r="B54" i="2"/>
  <c r="B159" i="2"/>
  <c r="D160" i="2"/>
  <c r="D211" i="2"/>
  <c r="B210" i="2"/>
  <c r="D220" i="2"/>
  <c r="B219" i="2"/>
  <c r="D72" i="2"/>
  <c r="B71" i="2"/>
  <c r="D138" i="2"/>
  <c r="B137" i="2"/>
  <c r="D65" i="2"/>
  <c r="B65" i="2" s="1"/>
  <c r="B64" i="2"/>
  <c r="D37" i="2"/>
  <c r="B36" i="2"/>
  <c r="D7" i="2"/>
  <c r="B6" i="2"/>
  <c r="D191" i="2"/>
  <c r="B190" i="2"/>
  <c r="D131" i="2"/>
  <c r="B131" i="2" s="1"/>
  <c r="B130" i="2"/>
  <c r="D121" i="2"/>
  <c r="B120" i="2"/>
  <c r="D95" i="2"/>
  <c r="B94" i="2"/>
  <c r="B229" i="2"/>
  <c r="D230" i="2"/>
  <c r="D108" i="2"/>
  <c r="B107" i="2"/>
  <c r="E21" i="2" l="1"/>
  <c r="D149" i="2"/>
  <c r="B148" i="2"/>
  <c r="D270" i="2"/>
  <c r="B269" i="2"/>
  <c r="D171" i="2"/>
  <c r="B170" i="2"/>
  <c r="D139" i="2"/>
  <c r="B138" i="2"/>
  <c r="B191" i="2"/>
  <c r="D192" i="2"/>
  <c r="D73" i="2"/>
  <c r="B72" i="2"/>
  <c r="D122" i="2"/>
  <c r="B122" i="2" s="1"/>
  <c r="B121" i="2"/>
  <c r="B220" i="2"/>
  <c r="D221" i="2"/>
  <c r="B211" i="2"/>
  <c r="D212" i="2"/>
  <c r="D161" i="2"/>
  <c r="B160" i="2"/>
  <c r="D56" i="2"/>
  <c r="B56" i="2" s="1"/>
  <c r="B55" i="2"/>
  <c r="B182" i="2"/>
  <c r="D183" i="2"/>
  <c r="B82" i="2"/>
  <c r="D83" i="2"/>
  <c r="B108" i="2"/>
  <c r="D109" i="2"/>
  <c r="D8" i="2"/>
  <c r="B7" i="2"/>
  <c r="D247" i="2"/>
  <c r="B246" i="2"/>
  <c r="B230" i="2"/>
  <c r="D231" i="2"/>
  <c r="B95" i="2"/>
  <c r="D96" i="2"/>
  <c r="B37" i="2"/>
  <c r="D38" i="2"/>
  <c r="D47" i="2"/>
  <c r="B47" i="2" s="1"/>
  <c r="B46" i="2"/>
  <c r="E22" i="2" l="1"/>
  <c r="E23" i="2" s="1"/>
  <c r="E24" i="2" s="1"/>
  <c r="E25" i="2" s="1"/>
  <c r="E26" i="2" s="1"/>
  <c r="E27" i="2" s="1"/>
  <c r="E28" i="2" s="1"/>
  <c r="E29" i="2" s="1"/>
  <c r="D2" i="1" a="1"/>
  <c r="D2" i="1" s="1"/>
  <c r="D150" i="2"/>
  <c r="B149" i="2"/>
  <c r="D172" i="2"/>
  <c r="B171" i="2"/>
  <c r="D271" i="2"/>
  <c r="B270" i="2"/>
  <c r="B109" i="2"/>
  <c r="D110" i="2"/>
  <c r="B221" i="2"/>
  <c r="D222" i="2"/>
  <c r="B222" i="2" s="1"/>
  <c r="B83" i="2"/>
  <c r="D84" i="2"/>
  <c r="D232" i="2"/>
  <c r="B231" i="2"/>
  <c r="B38" i="2"/>
  <c r="D39" i="2"/>
  <c r="B39" i="2" s="1"/>
  <c r="D97" i="2"/>
  <c r="B96" i="2"/>
  <c r="D162" i="2"/>
  <c r="B161" i="2"/>
  <c r="D213" i="2"/>
  <c r="B213" i="2" s="1"/>
  <c r="B212" i="2"/>
  <c r="B247" i="2"/>
  <c r="D248" i="2"/>
  <c r="D184" i="2"/>
  <c r="B183" i="2"/>
  <c r="D74" i="2"/>
  <c r="B73" i="2"/>
  <c r="D193" i="2"/>
  <c r="B192" i="2"/>
  <c r="B8" i="2"/>
  <c r="D9" i="2"/>
  <c r="D10" i="2" s="1"/>
  <c r="D140" i="2"/>
  <c r="B139" i="2"/>
  <c r="B150" i="2" l="1"/>
  <c r="D151" i="2"/>
  <c r="D272" i="2"/>
  <c r="B271" i="2"/>
  <c r="D173" i="2"/>
  <c r="B172" i="2"/>
  <c r="D185" i="2"/>
  <c r="B185" i="2" s="1"/>
  <c r="B184" i="2"/>
  <c r="B248" i="2"/>
  <c r="D249" i="2"/>
  <c r="B74" i="2"/>
  <c r="D75" i="2"/>
  <c r="D163" i="2"/>
  <c r="B162" i="2"/>
  <c r="B140" i="2"/>
  <c r="D141" i="2"/>
  <c r="D98" i="2"/>
  <c r="B97" i="2"/>
  <c r="D233" i="2"/>
  <c r="B232" i="2"/>
  <c r="D85" i="2"/>
  <c r="B84" i="2"/>
  <c r="B9" i="2"/>
  <c r="D111" i="2"/>
  <c r="B110" i="2"/>
  <c r="D194" i="2"/>
  <c r="B193" i="2"/>
  <c r="D152" i="2" l="1"/>
  <c r="B152" i="2" s="1"/>
  <c r="B151" i="2"/>
  <c r="D273" i="2"/>
  <c r="B272" i="2"/>
  <c r="B173" i="2"/>
  <c r="D174" i="2"/>
  <c r="B141" i="2"/>
  <c r="D142" i="2"/>
  <c r="B142" i="2" s="1"/>
  <c r="D86" i="2"/>
  <c r="B85" i="2"/>
  <c r="D250" i="2"/>
  <c r="B249" i="2"/>
  <c r="D99" i="2"/>
  <c r="B98" i="2"/>
  <c r="B163" i="2"/>
  <c r="D164" i="2"/>
  <c r="B164" i="2" s="1"/>
  <c r="D195" i="2"/>
  <c r="B194" i="2"/>
  <c r="D76" i="2"/>
  <c r="B76" i="2" s="1"/>
  <c r="B75" i="2"/>
  <c r="D112" i="2"/>
  <c r="B111" i="2"/>
  <c r="D234" i="2"/>
  <c r="B233" i="2"/>
  <c r="D175" i="2" l="1"/>
  <c r="B174" i="2"/>
  <c r="D274" i="2"/>
  <c r="B273" i="2"/>
  <c r="D251" i="2"/>
  <c r="B250" i="2"/>
  <c r="B99" i="2"/>
  <c r="D100" i="2"/>
  <c r="D87" i="2"/>
  <c r="B87" i="2" s="1"/>
  <c r="B86" i="2"/>
  <c r="B234" i="2"/>
  <c r="D235" i="2"/>
  <c r="B195" i="2"/>
  <c r="D196" i="2"/>
  <c r="D113" i="2"/>
  <c r="B113" i="2" s="1"/>
  <c r="B112" i="2"/>
  <c r="D11" i="2"/>
  <c r="B10" i="2"/>
  <c r="B274" i="2" l="1"/>
  <c r="D176" i="2"/>
  <c r="B176" i="2" s="1"/>
  <c r="B175" i="2"/>
  <c r="B11" i="2"/>
  <c r="D12" i="2"/>
  <c r="D13" i="2" s="1"/>
  <c r="B196" i="2"/>
  <c r="D236" i="2"/>
  <c r="B235" i="2"/>
  <c r="B100" i="2"/>
  <c r="D101" i="2"/>
  <c r="B101" i="2" s="1"/>
  <c r="D252" i="2"/>
  <c r="B251" i="2"/>
  <c r="B252" i="2" l="1"/>
  <c r="D253" i="2"/>
  <c r="D237" i="2"/>
  <c r="B236" i="2"/>
  <c r="B12" i="2"/>
  <c r="D238" i="2" l="1"/>
  <c r="B237" i="2"/>
  <c r="D254" i="2"/>
  <c r="B253" i="2"/>
  <c r="D255" i="2" l="1"/>
  <c r="B254" i="2"/>
  <c r="B238" i="2"/>
  <c r="D239" i="2"/>
  <c r="B239" i="2" s="1"/>
  <c r="B255" i="2" l="1"/>
  <c r="D14" i="2" l="1"/>
  <c r="B13" i="2"/>
  <c r="D198" i="2"/>
  <c r="B197" i="2"/>
  <c r="B198" i="2" l="1"/>
  <c r="D199" i="2"/>
  <c r="D15" i="2"/>
  <c r="B14" i="2"/>
  <c r="B15" i="2" l="1"/>
  <c r="D16" i="2"/>
  <c r="D200" i="2"/>
  <c r="B199" i="2"/>
  <c r="D201" i="2" l="1"/>
  <c r="B200" i="2"/>
  <c r="D17" i="2"/>
  <c r="B16" i="2"/>
  <c r="D18" i="2" l="1"/>
  <c r="B17" i="2"/>
  <c r="D202" i="2"/>
  <c r="B201" i="2"/>
  <c r="B202" i="2" l="1"/>
  <c r="D203" i="2"/>
  <c r="D19" i="2"/>
  <c r="B18" i="2"/>
  <c r="B19" i="2" l="1"/>
  <c r="D20" i="2"/>
  <c r="D21" i="2" s="1"/>
  <c r="D22" i="2" s="1"/>
  <c r="D23" i="2" s="1"/>
  <c r="D24" i="2" s="1"/>
  <c r="D204" i="2"/>
  <c r="B203" i="2"/>
  <c r="B204" i="2" l="1"/>
  <c r="B20" i="2"/>
  <c r="B21" i="2" l="1"/>
  <c r="B22" i="2" l="1"/>
  <c r="B23" i="2" l="1"/>
  <c r="B24" i="2" l="1"/>
  <c r="D25" i="2"/>
  <c r="B25" i="2" l="1"/>
  <c r="D26" i="2"/>
  <c r="D27" i="2" l="1"/>
  <c r="B26" i="2"/>
  <c r="D28" i="2" l="1"/>
  <c r="B27" i="2"/>
  <c r="D29" i="2" l="1"/>
  <c r="C2" i="1" s="1" a="1"/>
  <c r="C2" i="1" s="1"/>
  <c r="B28" i="2"/>
  <c r="A24" i="1" l="1"/>
  <c r="A25" i="1"/>
  <c r="E2" i="1"/>
  <c r="E24" i="1"/>
  <c r="E26" i="1"/>
  <c r="A26" i="1"/>
  <c r="E25" i="1"/>
  <c r="B29" i="2"/>
  <c r="A7" i="1"/>
  <c r="A4" i="1"/>
  <c r="A11" i="1"/>
  <c r="E7" i="1"/>
  <c r="E4" i="1"/>
  <c r="E5" i="1"/>
  <c r="E8" i="1"/>
  <c r="E14" i="1"/>
  <c r="E3" i="1"/>
  <c r="E9" i="1"/>
  <c r="A23" i="1"/>
  <c r="E21" i="1"/>
  <c r="E19" i="1"/>
  <c r="A17" i="1"/>
  <c r="E15" i="1"/>
  <c r="A18" i="1"/>
  <c r="A10" i="1"/>
  <c r="A2" i="1"/>
  <c r="A9" i="1"/>
  <c r="E18" i="1"/>
  <c r="E20" i="1"/>
  <c r="E17" i="1"/>
  <c r="A21" i="1"/>
  <c r="E6" i="1"/>
  <c r="A19" i="1"/>
  <c r="A14" i="1"/>
  <c r="E23" i="1"/>
  <c r="A12" i="1"/>
  <c r="E13" i="1"/>
  <c r="A5" i="1"/>
  <c r="A20" i="1"/>
  <c r="E16" i="1"/>
  <c r="A22" i="1"/>
  <c r="E22" i="1"/>
  <c r="A8" i="1"/>
  <c r="E10" i="1"/>
  <c r="E12" i="1"/>
  <c r="A16" i="1"/>
  <c r="A13" i="1"/>
  <c r="A3" i="1"/>
  <c r="A6" i="1"/>
  <c r="A15" i="1"/>
  <c r="E11" i="1"/>
  <c r="M7" i="2" l="1"/>
  <c r="M197" i="2"/>
  <c r="M145" i="2"/>
  <c r="M91" i="2"/>
  <c r="M4" i="2"/>
  <c r="M89" i="2"/>
  <c r="M22" i="2"/>
  <c r="M189" i="2"/>
  <c r="M32" i="2"/>
  <c r="M198" i="2"/>
  <c r="M68" i="2"/>
  <c r="M191" i="2"/>
  <c r="M14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<sst xmlns="http://schemas.openxmlformats.org/spreadsheetml/2006/main" count="2215" uniqueCount="530">
  <si>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</si>
  <si>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</si>
  <si>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</si>
  <si>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</si>
  <si>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</si>
  <si>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</si>
  <si>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</si>
  <si>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</si>
  <si>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</si>
  <si>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プロフィール本体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</si>
  <si>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</si>
  <si>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</si>
  <si>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</si>
  <si>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</si>
  <si>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</si>
  <si>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</si>
  <si>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</si>
  <si>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</si>
  <si>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</si>
  <si>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</si>
  <si>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</si>
  <si>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</si>
  <si>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</si>
  <si>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</si>
  <si>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</si>
  <si>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</si>
  <si>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</si>
  <si>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</si>
  <si>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</si>
  <si>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</si>
  <si>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</si>
  <si>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</si>
  <si>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</si>
  <si>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</si>
  <si>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</si>
  <si>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</si>
  <si>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</si>
  <si>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</si>
  <si>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</si>
  <si>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</si>
  <si>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</si>
  <si>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</si>
  <si>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</si>
  <si>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</si>
  <si>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</si>
  <si>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</si>
  <si>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</si>
  <si>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</si>
  <si>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vtuber_profiles</t>
  </si>
  <si>
    <t>Vtuberプロフィール</t>
  </si>
  <si>
    <t>uuid</t>
  </si>
  <si>
    <t>UUID</t>
  </si>
  <si>
    <t>x</t>
  </si>
  <si>
    <t>gen_random_uuid()</t>
  </si>
  <si>
    <t>vtuber_profiles_id</t>
  </si>
  <si>
    <t>VプロフィールID</t>
  </si>
  <si>
    <t>varchar(8)</t>
  </si>
  <si>
    <t>自動払い出し</t>
  </si>
  <si>
    <t>URLに使用する（DB連携はUUIDで管理</t>
  </si>
  <si>
    <t>user_id</t>
  </si>
  <si>
    <t>ユーザーID</t>
  </si>
  <si>
    <t>user_user_id</t>
  </si>
  <si>
    <t>紐づけられたVtuberアカウント</t>
  </si>
  <si>
    <t>bigserial</t>
  </si>
  <si>
    <t>name</t>
  </si>
  <si>
    <t>名前</t>
  </si>
  <si>
    <t>varchar(128)</t>
  </si>
  <si>
    <t>nickname</t>
  </si>
  <si>
    <t>ニックネーム</t>
  </si>
  <si>
    <t>group</t>
  </si>
  <si>
    <t>所属</t>
  </si>
  <si>
    <t>varchar(64)</t>
  </si>
  <si>
    <t>group_group_name</t>
  </si>
  <si>
    <t>birthday</t>
  </si>
  <si>
    <t>誕生日</t>
  </si>
  <si>
    <t>varchar(32)</t>
  </si>
  <si>
    <t>debut_date</t>
  </si>
  <si>
    <t>デビュー日</t>
  </si>
  <si>
    <t>timestamp</t>
  </si>
  <si>
    <t>activity</t>
  </si>
  <si>
    <t>活動ジャンル</t>
  </si>
  <si>
    <t>カンマ区切り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</si>
  <si>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</si>
  <si>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</si>
  <si>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</si>
  <si>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</si>
  <si>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</si>
  <si>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</si>
  <si>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</si>
  <si>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</si>
  <si>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</si>
  <si>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</si>
  <si>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</si>
  <si>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</si>
  <si>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</si>
  <si>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</si>
  <si>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</si>
  <si>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</si>
  <si>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</si>
  <si>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</si>
  <si>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</si>
  <si>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</si>
  <si>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</si>
  <si>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</si>
  <si>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</si>
  <si>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</si>
  <si>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</si>
  <si>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</si>
  <si>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</si>
  <si>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</si>
  <si>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</si>
  <si>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lgtm_count</t>
  </si>
  <si>
    <t>いいね</t>
  </si>
  <si>
    <t>integer</t>
  </si>
  <si>
    <t>activity_status</t>
  </si>
  <si>
    <t>活動状態</t>
  </si>
  <si>
    <t>activity_status_activity_status_physical_name</t>
  </si>
  <si>
    <t>BBS</t>
  </si>
  <si>
    <t>report_count</t>
  </si>
  <si>
    <t>通報件数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</si>
  <si>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</si>
  <si>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</si>
  <si>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</si>
  <si>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</si>
  <si>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</si>
  <si>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</si>
  <si>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</si>
  <si>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</si>
  <si>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</si>
  <si>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</si>
  <si>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</si>
  <si>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</si>
  <si>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</si>
  <si>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bit(1)</t>
  </si>
  <si>
    <t>hard_delete_flag</t>
  </si>
  <si>
    <t>物理削除フラグ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</si>
  <si>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</si>
  <si>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</si>
  <si>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</si>
  <si>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</si>
  <si>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</si>
  <si>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</si>
  <si>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</si>
  <si>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</si>
  <si>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</si>
  <si>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</si>
  <si>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</si>
  <si>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</si>
  <si>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</si>
  <si>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badge_logical_name</t>
  </si>
  <si>
    <t>バッジ名(論理名)</t>
  </si>
  <si>
    <t>多言語化対応で削除予定。よく見られているVtuber、新人Vtuber、最近更新されたVTuber</t>
  </si>
  <si>
    <t>activity_status_physical_name</t>
  </si>
  <si>
    <t>活動状態名(物理名)</t>
  </si>
  <si>
    <t>activity_status_logical_name</t>
  </si>
  <si>
    <t>活動状態名(論理名)</t>
  </si>
  <si>
    <t>多言語化対応で削除予定。活動開始前(VTuber準備中)、活動中、卒業済み</t>
  </si>
  <si>
    <t>sns_link</t>
  </si>
  <si>
    <t>vtuber_profiles_vtuber_profiles_id</t>
  </si>
  <si>
    <t>sns_icon</t>
  </si>
  <si>
    <t>SNSアイコン</t>
  </si>
  <si>
    <t>varchar(9)</t>
  </si>
  <si>
    <t>sns_support_sns_name_physical_name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</si>
  <si>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</si>
  <si>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</si>
  <si>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</si>
  <si>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</si>
  <si>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</si>
  <si>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</si>
  <si>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</si>
  <si>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</si>
  <si>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</si>
  <si>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</si>
  <si>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</si>
  <si>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</si>
  <si>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</si>
  <si>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</si>
  <si>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</si>
  <si>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screen_word_message_id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</si>
  <si>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</si>
  <si>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</si>
  <si>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</si>
  <si>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</si>
  <si>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</si>
  <si>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</si>
  <si>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</si>
  <si>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</si>
  <si>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</si>
  <si>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</si>
  <si>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</si>
  <si>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</si>
  <si>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</si>
  <si>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</si>
  <si>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</si>
  <si>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</si>
  <si>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</si>
  <si>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</si>
  <si>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</si>
  <si>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</si>
  <si>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</si>
  <si>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priority</t>
  </si>
  <si>
    <t>優先度</t>
  </si>
  <si>
    <t>priority_logical_name</t>
  </si>
  <si>
    <t>優先度(論理名)</t>
  </si>
  <si>
    <t>管理者向けのため、多言語化対応で削除しない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</si>
  <si>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</si>
  <si>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</si>
  <si>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</si>
  <si>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</si>
  <si>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</si>
  <si>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</si>
  <si>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</si>
  <si>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</si>
  <si>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language_logical_name</t>
  </si>
  <si>
    <t>表示言語(論理名)</t>
  </si>
  <si>
    <t>多言語化対応で削除予定。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</si>
  <si>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</si>
  <si>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</si>
  <si>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</si>
  <si>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</si>
  <si>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</si>
  <si>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</si>
  <si>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</si>
  <si>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language_language_physical_name</t>
  </si>
  <si>
    <t>message_id</t>
  </si>
  <si>
    <t>メッセージID</t>
  </si>
  <si>
    <t>screen_element_message_id</t>
  </si>
  <si>
    <t>ワードの検索キー</t>
  </si>
  <si>
    <t>display_message</t>
  </si>
  <si>
    <t>文言</t>
  </si>
  <si>
    <t>実際に表示されるワード</t>
  </si>
  <si>
    <t>sns_support</t>
  </si>
  <si>
    <t>サポートするSNS</t>
  </si>
  <si>
    <t>sns_name_physical_name</t>
  </si>
  <si>
    <t>サービス名(物理名)</t>
  </si>
  <si>
    <t>sns_name_logical_name</t>
  </si>
  <si>
    <t>サービス名(論理名)</t>
  </si>
  <si>
    <t>varchar(14)</t>
  </si>
  <si>
    <t>サービス名だが、ツイキャスやニコニコなどがあるため、多言語化対応で削除する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</si>
  <si>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</si>
  <si>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</si>
  <si>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</si>
  <si>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</si>
  <si>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</si>
  <si>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</si>
  <si>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</si>
  <si>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</si>
  <si>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</si>
  <si>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</si>
  <si>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</si>
  <si>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</si>
  <si>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</si>
  <si>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</si>
  <si>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</si>
  <si>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</si>
  <si>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</si>
  <si>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report_reason_logical_name</t>
  </si>
  <si>
    <t>通報理由(論理名)</t>
  </si>
  <si>
    <t>user</t>
  </si>
  <si>
    <t>ユーザー</t>
  </si>
  <si>
    <t>user_role_physical_name</t>
  </si>
  <si>
    <t>ユーザー権限(物理名)</t>
  </si>
  <si>
    <t>user_role_user_role_physical_name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</si>
  <si>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</si>
  <si>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</si>
  <si>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</si>
  <si>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</si>
  <si>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</si>
  <si>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</si>
  <si>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</si>
  <si>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lgtm_user_get_count</t>
  </si>
  <si>
    <t>ほかのユーザーからの獲得いいね数</t>
  </si>
  <si>
    <t>lgtm_vtuber_get_count</t>
  </si>
  <si>
    <t>VTuber本人からのいいね数</t>
  </si>
  <si>
    <t>lgtm_vtuber_do_count</t>
  </si>
  <si>
    <t>あなたがいいねしたVtuber数</t>
  </si>
  <si>
    <t>lgtm_user_do_count</t>
  </si>
  <si>
    <t>あなたがページ編集者にいいねした数</t>
  </si>
  <si>
    <t>disp_theme</t>
  </si>
  <si>
    <t>画面テーマ</t>
  </si>
  <si>
    <t>theme_theme_physical_name</t>
  </si>
  <si>
    <t>+</t>
  </si>
  <si>
    <t>theme</t>
  </si>
  <si>
    <t>theme_physical_name</t>
  </si>
  <si>
    <t>画面テーマ(物理名)</t>
  </si>
  <si>
    <t>theme_logical_name</t>
  </si>
  <si>
    <t>画面テーマ(論理名)</t>
  </si>
  <si>
    <t>多言語化対応で削除予定</t>
  </si>
  <si>
    <t>user_role</t>
  </si>
  <si>
    <t>ユーザー権限</t>
  </si>
  <si>
    <t>user_role_logical_name</t>
  </si>
  <si>
    <t>ユーザー権限(論理名)</t>
  </si>
  <si>
    <t>imagse_contents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</si>
  <si>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</si>
  <si>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</si>
  <si>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</si>
  <si>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</si>
  <si>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</si>
  <si>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</si>
  <si>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</si>
  <si>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</si>
  <si>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</si>
  <si>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</si>
  <si>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</si>
  <si>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</si>
  <si>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</si>
  <si>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</si>
  <si>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</si>
  <si>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</si>
  <si>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</si>
  <si>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</si>
  <si>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</si>
  <si>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</si>
  <si>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</si>
  <si>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</si>
  <si>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imagse_system</t>
  </si>
  <si>
    <t>画像(システム管理)</t>
  </si>
  <si>
    <t>screen_element</t>
  </si>
  <si>
    <t>画面要素</t>
  </si>
  <si>
    <t>lgtm</t>
  </si>
  <si>
    <t>lgtm_do_user</t>
  </si>
  <si>
    <t>いいねした人</t>
  </si>
  <si>
    <t>lgtm_target_user</t>
  </si>
  <si>
    <t>いいねされた人</t>
  </si>
  <si>
    <t>lgtm_type</t>
  </si>
  <si>
    <t>いいね種別</t>
  </si>
  <si>
    <t>bit(2)</t>
  </si>
  <si>
    <t>プロフィール、編集の2種</t>
  </si>
  <si>
    <t>lgtm_datatime</t>
  </si>
  <si>
    <t>いいねした日</t>
  </si>
  <si>
    <t>movie_link</t>
  </si>
  <si>
    <t>movie_id</t>
  </si>
  <si>
    <t>動画ID</t>
  </si>
  <si>
    <t>url</t>
  </si>
  <si>
    <t>動画URL</t>
  </si>
  <si>
    <t>relation</t>
  </si>
  <si>
    <t>関係値</t>
  </si>
  <si>
    <t>node_from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</si>
  <si>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</si>
  <si>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</si>
  <si>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</si>
  <si>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</si>
  <si>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</si>
  <si>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</si>
  <si>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</si>
  <si>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</si>
  <si>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</si>
  <si>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r>
      <rPr>
        <b/>
        <sz val="13"/>
        <color theme="1"/>
        <rFont val="ＭＳ ゴシック"/>
        <family val="3"/>
        <charset val="128"/>
      </rPr>
      <t>格納サイズ</t>
    </r>
    <r>
      <rPr>
        <b/>
        <sz val="13"/>
        <color theme="1"/>
        <rFont val="Segoe UI"/>
      </rPr>
      <t>(byte)</t>
    </r>
  </si>
  <si>
    <r>
      <rPr>
        <b/>
        <sz val="13"/>
        <color theme="1"/>
        <rFont val="ＭＳ ゴシック"/>
        <family val="3"/>
        <charset val="128"/>
      </rPr>
      <t>格納サイズ</t>
    </r>
    <r>
      <rPr>
        <b/>
        <sz val="13"/>
        <color theme="1"/>
        <rFont val="Segoe UI"/>
      </rPr>
      <t>(bit)</t>
    </r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</si>
  <si>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</si>
  <si>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</si>
  <si>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</si>
  <si>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</si>
  <si>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</si>
  <si>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</si>
  <si>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</si>
  <si>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</si>
  <si>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</si>
  <si>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</si>
  <si>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</si>
  <si>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</si>
  <si>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</si>
  <si>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</si>
  <si>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</si>
  <si>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</si>
  <si>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</si>
  <si>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</si>
  <si>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</si>
  <si>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</si>
  <si>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</si>
  <si>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</si>
  <si>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</si>
  <si>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</si>
  <si>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</si>
  <si>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</si>
  <si>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</si>
  <si>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</si>
  <si>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</si>
  <si>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</si>
  <si>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</si>
  <si>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</si>
  <si>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</si>
  <si>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</si>
  <si>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</si>
  <si>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</si>
  <si>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</si>
  <si>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</si>
  <si>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</si>
  <si>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</si>
  <si>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</si>
  <si>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</si>
  <si>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</si>
  <si>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</si>
  <si>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</si>
  <si>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</si>
  <si>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</si>
  <si>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</si>
  <si>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</si>
  <si>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timestamp [ (p) ] [ without time zone ]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</si>
  <si>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</si>
  <si>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</si>
  <si>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</si>
  <si>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</si>
  <si>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</si>
  <si>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</si>
  <si>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</si>
  <si>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</si>
  <si>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</si>
  <si>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</si>
  <si>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</si>
  <si>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</si>
  <si>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</si>
  <si>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</si>
  <si>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</si>
  <si>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</si>
  <si>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</si>
  <si>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</si>
  <si>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</si>
  <si>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</si>
  <si>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</si>
  <si>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</si>
  <si>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</si>
  <si>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</si>
  <si>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</si>
  <si>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</si>
  <si>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</si>
  <si>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</si>
  <si>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</si>
  <si>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</si>
  <si>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</si>
  <si>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</si>
  <si>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</si>
  <si>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</si>
  <si>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</si>
  <si>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</si>
  <si>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</si>
  <si>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</si>
  <si>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</si>
  <si>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</si>
  <si>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</si>
  <si>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</si>
  <si>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</si>
  <si>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</si>
  <si>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</si>
  <si>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</si>
  <si>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</si>
  <si>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</si>
  <si>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</si>
  <si>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</si>
  <si>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</si>
  <si>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</si>
  <si>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</si>
  <si>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</si>
  <si>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</si>
  <si>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</si>
  <si>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</si>
  <si>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</si>
  <si>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</si>
  <si>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</si>
  <si>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</si>
  <si>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</si>
  <si>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</si>
  <si>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</si>
  <si>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</si>
  <si>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</si>
  <si>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</si>
  <si>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</si>
  <si>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</si>
  <si>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</si>
  <si>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</si>
  <si>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</si>
  <si>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</si>
  <si>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</si>
  <si>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</si>
  <si>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</si>
  <si>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</si>
  <si>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</si>
  <si>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</si>
  <si>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</si>
  <si>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</si>
  <si>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</si>
  <si>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</si>
  <si>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</si>
  <si>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</si>
  <si>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</si>
  <si>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</si>
  <si>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</si>
  <si>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</si>
  <si>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</si>
  <si>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</si>
  <si>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</si>
  <si>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</si>
  <si>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</si>
  <si>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</si>
  <si>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</si>
  <si>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</si>
  <si>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</si>
  <si>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</si>
  <si>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</si>
  <si>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</si>
  <si>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</si>
  <si>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</si>
  <si>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</si>
  <si>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</si>
  <si>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</si>
  <si>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</si>
  <si>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</si>
  <si>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</si>
  <si>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</si>
  <si>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</si>
  <si>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</si>
  <si>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</si>
  <si>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</si>
  <si>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</si>
  <si>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</si>
  <si>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</si>
  <si>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</si>
  <si>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</si>
  <si>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</si>
  <si>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テーブル定義計算する用</t>
    <rPh sb="4" eb="6">
      <t>テイギ</t>
    </rPh>
    <rPh sb="6" eb="8">
      <t>ケイサン</t>
    </rPh>
    <rPh sb="10" eb="11">
      <t>ヨウ</t>
    </rPh>
    <phoneticPr fontId="9"/>
  </si>
  <si>
    <t>timestamp</t>
    <phoneticPr fontId="9"/>
  </si>
  <si>
    <t>ユーザーからユーザーへのいいねを管理する</t>
    <rPh sb="16" eb="18">
      <t>カンリ</t>
    </rPh>
    <phoneticPr fontId="9"/>
  </si>
  <si>
    <t>プロフィールにリンクされる動画を管理する</t>
    <rPh sb="13" eb="15">
      <t>ドウガ</t>
    </rPh>
    <rPh sb="16" eb="18">
      <t>カンリ</t>
    </rPh>
    <phoneticPr fontId="9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</si>
  <si>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9"/>
  </si>
  <si>
    <t>1bitで足りそうだが、将来的な拡張を含めて2bitにする</t>
    <rPh sb="5" eb="6">
      <t>タ</t>
    </rPh>
    <rPh sb="12" eb="15">
      <t>ショウライテキ</t>
    </rPh>
    <rPh sb="16" eb="18">
      <t>カクチョウ</t>
    </rPh>
    <rPh sb="19" eb="20">
      <t>フク</t>
    </rPh>
    <phoneticPr fontId="9"/>
  </si>
  <si>
    <t>vtuber_profiles_vtuber_profiles_id</t>
    <phoneticPr fontId="9"/>
  </si>
  <si>
    <t>response_status_response_status_physical_name</t>
  </si>
  <si>
    <t>report_reason_report_reason_physical_name</t>
  </si>
  <si>
    <t>imagse_system_image_id</t>
  </si>
  <si>
    <t>priority_priority_physical_name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</si>
</sst>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sz val="9"/>
      <color theme="1"/>
      <name val="Consolas"/>
    </font>
    <font>
      <u/>
      <sz val="11"/>
      <color theme="10"/>
      <name val="游ゴシック"/>
      <family val="3"/>
      <charset val="128"/>
    </font>
    <font>
      <b/>
      <sz val="13"/>
      <color theme="1"/>
      <name val="Quattrocento Sans"/>
    </font>
    <font>
      <sz val="13"/>
      <color theme="1"/>
      <name val="Quattrocento Sans"/>
    </font>
    <font>
      <sz val="13"/>
      <color theme="1"/>
      <name val="ＭＳ ゴシック"/>
      <family val="3"/>
      <charset val="128"/>
    </font>
    <font>
      <b/>
      <sz val="13"/>
      <color theme="1"/>
      <name val="ＭＳ ゴシック"/>
      <family val="3"/>
      <charset val="128"/>
    </font>
    <font>
      <b/>
      <sz val="13"/>
      <color theme="1"/>
      <name val="Segoe UI"/>
    </font>
    <font>
      <sz val="6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sz val="13"/>
      <color theme="1"/>
      <name val="ＭＳ Ｐゴシック"/>
      <family val="3"/>
      <charset val="128"/>
    </font>
    <font>
      <sz val="9"/>
      <color theme="1"/>
      <name val="Consolas"/>
      <family val="3"/>
    </font>
    <font>
      <sz val="11"/>
      <color theme="1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5" fillId="5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1" fillId="0" borderId="3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1" fillId="4" borderId="3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8.7109375" customWidth="1"/>
    <col min="2" max="2" width="3.85546875" customWidth="1"/>
    <col min="3" max="3" width="18.5703125" customWidth="1"/>
    <col min="4" max="4" width="19.140625" customWidth="1"/>
    <col min="5" max="5" width="28.5703125" customWidth="1"/>
    <col min="6" max="6" width="21.7109375" bestFit="1" customWidth="1"/>
    <col min="7" max="7" width="110.7109375" customWidth="1"/>
    <col min="8" max="26" width="8.7109375" customWidth="1"/>
  </cols>
  <sheetData>
    <row r="1" spans="1:8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.75" customHeight="1" x14ac:dyDescent="0.25">
      <c r="A2" s="1" t="str">
        <f>IF(COUNTIFS(テーブル定義_一覧!$D:$D,テーブル一覧!$C2,テーブル定義_一覧!$A:$A,"")&gt;0,"","〇")</f>
        <v>〇</v>
      </c>
      <c r="B2" s="2">
        <f t="shared" ref="B2:B26" si="0">ROW()-1</f>
        <v>1</v>
      </c>
      <c r="C2" s="3" t="str" cm="1">
        <f t="array" ref="C2:C26">_xlfn.UNIQUE(_xlfn._xlws.FILTER(テーブル定義_一覧!D2:D498,テーブル定義_一覧!D2:D498&lt;&gt;""))</f>
        <v>vtuber_profiles</v>
      </c>
      <c r="D2" s="3" t="str" cm="1">
        <f t="array" ref="D2:D26">_xlfn.UNIQUE(_xlfn._xlws.FILTER(テーブル定義_一覧!E2:E498,テーブル定義_一覧!E2:E498&lt;&gt;""))</f>
        <v>Vtuberプロフィール</v>
      </c>
      <c r="E2" s="3">
        <f>SUMIF(テーブル定義_一覧!D:D,C2,テーブル定義_一覧!I:I)</f>
        <v>7234</v>
      </c>
      <c r="F2" s="3" t="s">
        <v>8</v>
      </c>
      <c r="G2" s="3" t="s">
        <v>9</v>
      </c>
      <c r="H2" s="3"/>
    </row>
    <row r="3" spans="1:8" ht="18.75" customHeight="1" x14ac:dyDescent="0.25">
      <c r="A3" s="1" t="str">
        <f>IF(COUNTIFS(テーブル定義_一覧!$D:$D,テーブル一覧!$C3,テーブル定義_一覧!$A:$A,"")&gt;0,"","〇")</f>
        <v>〇</v>
      </c>
      <c r="B3" s="2">
        <f t="shared" si="0"/>
        <v>2</v>
      </c>
      <c r="C3" s="3" t="str">
        <v>group</v>
      </c>
      <c r="D3" s="3" t="str">
        <v>所属</v>
      </c>
      <c r="E3" s="3">
        <f>SUMIF(テーブル定義_一覧!D:D,C3,テーブル定義_一覧!I:I)</f>
        <v>1346</v>
      </c>
      <c r="F3" s="3" t="s">
        <v>8</v>
      </c>
      <c r="G3" s="3" t="s">
        <v>10</v>
      </c>
      <c r="H3" s="3"/>
    </row>
    <row r="4" spans="1:8" ht="18.75" customHeight="1" x14ac:dyDescent="0.25">
      <c r="A4" s="1" t="str">
        <f>IF(COUNTIFS(テーブル定義_一覧!$D:$D,テーブル一覧!$C4,テーブル定義_一覧!$A:$A,"")&gt;0,"","〇")</f>
        <v>〇</v>
      </c>
      <c r="B4" s="2">
        <f t="shared" si="0"/>
        <v>3</v>
      </c>
      <c r="C4" s="3" t="str">
        <v>tag</v>
      </c>
      <c r="D4" s="3" t="str">
        <v>タグ</v>
      </c>
      <c r="E4" s="3">
        <f>SUMIF(テーブル定義_一覧!D:D,C4,テーブル定義_一覧!I:I)</f>
        <v>770</v>
      </c>
      <c r="F4" s="3" t="s">
        <v>8</v>
      </c>
      <c r="G4" s="3" t="s">
        <v>11</v>
      </c>
      <c r="H4" s="3"/>
    </row>
    <row r="5" spans="1:8" ht="18.75" customHeight="1" x14ac:dyDescent="0.25">
      <c r="A5" s="1" t="str">
        <f>IF(COUNTIFS(テーブル定義_一覧!$D:$D,テーブル一覧!$C5,テーブル定義_一覧!$A:$A,"")&gt;0,"","〇")</f>
        <v>〇</v>
      </c>
      <c r="B5" s="2">
        <f t="shared" si="0"/>
        <v>4</v>
      </c>
      <c r="C5" s="3" t="str">
        <v>badge</v>
      </c>
      <c r="D5" s="3" t="str">
        <v>バッジ</v>
      </c>
      <c r="E5" s="3">
        <f>SUMIF(テーブル定義_一覧!D:D,C5,テーブル定義_一覧!I:I)</f>
        <v>1154</v>
      </c>
      <c r="F5" s="3" t="s">
        <v>12</v>
      </c>
      <c r="G5" s="3" t="s">
        <v>13</v>
      </c>
      <c r="H5" s="3"/>
    </row>
    <row r="6" spans="1:8" ht="18.75" customHeight="1" x14ac:dyDescent="0.25">
      <c r="A6" s="1" t="str">
        <f>IF(COUNTIFS(テーブル定義_一覧!$D:$D,テーブル一覧!$C6,テーブル定義_一覧!$A:$A,"")&gt;0,"","〇")</f>
        <v>〇</v>
      </c>
      <c r="B6" s="2">
        <f t="shared" si="0"/>
        <v>5</v>
      </c>
      <c r="C6" s="3" t="str">
        <v>activity_status</v>
      </c>
      <c r="D6" s="3" t="str">
        <v>活動状態</v>
      </c>
      <c r="E6" s="3">
        <f>SUMIF(テーブル定義_一覧!D:D,C6,テーブル定義_一覧!I:I)</f>
        <v>898</v>
      </c>
      <c r="F6" s="3" t="s">
        <v>12</v>
      </c>
      <c r="G6" s="3" t="s">
        <v>14</v>
      </c>
      <c r="H6" s="3"/>
    </row>
    <row r="7" spans="1:8" ht="18.75" customHeight="1" x14ac:dyDescent="0.25">
      <c r="A7" s="1" t="str">
        <f>IF(COUNTIFS(テーブル定義_一覧!$D:$D,テーブル一覧!$C7,テーブル定義_一覧!$A:$A,"")&gt;0,"","〇")</f>
        <v>〇</v>
      </c>
      <c r="B7" s="2">
        <f t="shared" si="0"/>
        <v>6</v>
      </c>
      <c r="C7" s="3" t="str">
        <v>sns_link</v>
      </c>
      <c r="D7" s="3" t="str">
        <v>SNSリンク</v>
      </c>
      <c r="E7" s="3">
        <f>SUMIF(テーブル定義_一覧!D:D,C7,テーブル定義_一覧!I:I)</f>
        <v>1162</v>
      </c>
      <c r="F7" s="3" t="s">
        <v>8</v>
      </c>
      <c r="G7" s="3" t="s">
        <v>15</v>
      </c>
      <c r="H7" s="3"/>
    </row>
    <row r="8" spans="1:8" ht="18.75" customHeight="1" x14ac:dyDescent="0.25">
      <c r="A8" s="1" t="str">
        <f>IF(COUNTIFS(テーブル定義_一覧!$D:$D,テーブル一覧!$C8,テーブル定義_一覧!$A:$A,"")&gt;0,"","〇")</f>
        <v>〇</v>
      </c>
      <c r="B8" s="2">
        <f t="shared" si="0"/>
        <v>7</v>
      </c>
      <c r="C8" s="3" t="str">
        <v>bbs_res</v>
      </c>
      <c r="D8" s="3" t="str">
        <v>BBS</v>
      </c>
      <c r="E8" s="3">
        <f>SUMIF(テーブル定義_一覧!D:D,C8,テーブル定義_一覧!I:I)</f>
        <v>962</v>
      </c>
      <c r="F8" s="3" t="s">
        <v>8</v>
      </c>
      <c r="G8" s="3" t="s">
        <v>16</v>
      </c>
      <c r="H8" s="3"/>
    </row>
    <row r="9" spans="1:8" ht="18.75" customHeight="1" x14ac:dyDescent="0.25">
      <c r="A9" s="1" t="str">
        <f>IF(COUNTIFS(テーブル定義_一覧!$D:$D,テーブル一覧!$C9,テーブル定義_一覧!$A:$A,"")&gt;0,"","〇")</f>
        <v>〇</v>
      </c>
      <c r="B9" s="2">
        <f t="shared" si="0"/>
        <v>8</v>
      </c>
      <c r="C9" s="3" t="str">
        <v>page_author</v>
      </c>
      <c r="D9" s="3" t="str">
        <v>ページ編集者</v>
      </c>
      <c r="E9" s="3">
        <f>SUMIF(テーブル定義_一覧!D:D,C9,テーブル定義_一覧!I:I)</f>
        <v>1122</v>
      </c>
      <c r="F9" s="3" t="s">
        <v>8</v>
      </c>
      <c r="G9" s="3" t="s">
        <v>17</v>
      </c>
      <c r="H9" s="3"/>
    </row>
    <row r="10" spans="1:8" ht="18.75" customHeight="1" x14ac:dyDescent="0.25">
      <c r="A10" s="1" t="str">
        <f>IF(COUNTIFS(テーブル定義_一覧!$D:$D,テーブル一覧!$C10,テーブル定義_一覧!$A:$A,"")&gt;0,"","〇")</f>
        <v>〇</v>
      </c>
      <c r="B10" s="2">
        <f t="shared" si="0"/>
        <v>9</v>
      </c>
      <c r="C10" s="3" t="str">
        <v>contact</v>
      </c>
      <c r="D10" s="3" t="str">
        <v>問い合わせ</v>
      </c>
      <c r="E10" s="3">
        <f>SUMIF(テーブル定義_一覧!D:D,C10,テーブル定義_一覧!I:I)</f>
        <v>4978</v>
      </c>
      <c r="F10" s="3" t="s">
        <v>8</v>
      </c>
      <c r="G10" s="3" t="s">
        <v>18</v>
      </c>
      <c r="H10" s="3"/>
    </row>
    <row r="11" spans="1:8" ht="18.75" customHeight="1" x14ac:dyDescent="0.25">
      <c r="A11" s="1" t="str">
        <f>IF(COUNTIFS(テーブル定義_一覧!$D:$D,テーブル一覧!$C11,テーブル定義_一覧!$A:$A,"")&gt;0,"","〇")</f>
        <v>〇</v>
      </c>
      <c r="B11" s="2">
        <f t="shared" si="0"/>
        <v>10</v>
      </c>
      <c r="C11" s="3" t="str">
        <v>priority</v>
      </c>
      <c r="D11" s="3" t="str">
        <v>優先度</v>
      </c>
      <c r="E11" s="3">
        <f>SUMIF(テーブル定義_一覧!D:D,C11,テーブル定義_一覧!I:I)</f>
        <v>898</v>
      </c>
      <c r="F11" s="3" t="s">
        <v>12</v>
      </c>
      <c r="G11" s="3" t="s">
        <v>19</v>
      </c>
      <c r="H11" s="3"/>
    </row>
    <row r="12" spans="1:8" ht="18.75" customHeight="1" x14ac:dyDescent="0.25">
      <c r="A12" s="1" t="str">
        <f>IF(COUNTIFS(テーブル定義_一覧!$D:$D,テーブル一覧!$C12,テーブル定義_一覧!$A:$A,"")&gt;0,"","〇")</f>
        <v>〇</v>
      </c>
      <c r="B12" s="2">
        <f t="shared" si="0"/>
        <v>11</v>
      </c>
      <c r="C12" s="3" t="str">
        <v>response_status</v>
      </c>
      <c r="D12" s="3" t="str">
        <v>対応状況</v>
      </c>
      <c r="E12" s="3">
        <f>SUMIF(テーブル定義_一覧!D:D,C12,テーブル定義_一覧!I:I)</f>
        <v>898</v>
      </c>
      <c r="F12" s="3" t="s">
        <v>12</v>
      </c>
      <c r="G12" s="3" t="s">
        <v>20</v>
      </c>
      <c r="H12" s="3"/>
    </row>
    <row r="13" spans="1:8" ht="18.75" customHeight="1" x14ac:dyDescent="0.25">
      <c r="A13" s="1" t="str">
        <f>IF(COUNTIFS(テーブル定義_一覧!$D:$D,テーブル一覧!$C13,テーブル定義_一覧!$A:$A,"")&gt;0,"","〇")</f>
        <v>〇</v>
      </c>
      <c r="B13" s="2">
        <f t="shared" si="0"/>
        <v>12</v>
      </c>
      <c r="C13" s="3" t="str">
        <v>language</v>
      </c>
      <c r="D13" s="3" t="str">
        <v>表示言語</v>
      </c>
      <c r="E13" s="3">
        <f>SUMIF(テーブル定義_一覧!D:D,C13,テーブル定義_一覧!I:I)</f>
        <v>1538</v>
      </c>
      <c r="F13" s="3" t="s">
        <v>12</v>
      </c>
      <c r="G13" s="3" t="s">
        <v>21</v>
      </c>
      <c r="H13" s="3"/>
    </row>
    <row r="14" spans="1:8" ht="18.75" customHeight="1" x14ac:dyDescent="0.25">
      <c r="A14" s="1" t="str">
        <f>IF(COUNTIFS(テーブル定義_一覧!$D:$D,テーブル一覧!$C14,テーブル定義_一覧!$A:$A,"")&gt;0,"","〇")</f>
        <v>〇</v>
      </c>
      <c r="B14" s="2">
        <f t="shared" si="0"/>
        <v>13</v>
      </c>
      <c r="C14" s="3" t="str">
        <v>screen_word</v>
      </c>
      <c r="D14" s="3" t="str">
        <v>画面文言</v>
      </c>
      <c r="E14" s="3">
        <f>SUMIF(テーブル定義_一覧!D:D,C14,テーブル定義_一覧!I:I)</f>
        <v>1026</v>
      </c>
      <c r="F14" s="3" t="s">
        <v>12</v>
      </c>
      <c r="G14" s="3" t="s">
        <v>22</v>
      </c>
      <c r="H14" s="3"/>
    </row>
    <row r="15" spans="1:8" ht="18.75" customHeight="1" x14ac:dyDescent="0.25">
      <c r="A15" s="1" t="str">
        <f>IF(COUNTIFS(テーブル定義_一覧!$D:$D,テーブル一覧!$C15,テーブル定義_一覧!$A:$A,"")&gt;0,"","〇")</f>
        <v>〇</v>
      </c>
      <c r="B15" s="2">
        <f t="shared" si="0"/>
        <v>14</v>
      </c>
      <c r="C15" s="3" t="str">
        <v>sns_support</v>
      </c>
      <c r="D15" s="3" t="str">
        <v>サポートするSNS</v>
      </c>
      <c r="E15" s="3">
        <f>SUMIF(テーブル定義_一覧!D:D,C15,テーブル定義_一覧!I:I)</f>
        <v>1020</v>
      </c>
      <c r="F15" s="3" t="s">
        <v>12</v>
      </c>
      <c r="G15" s="3" t="s">
        <v>23</v>
      </c>
      <c r="H15" s="3"/>
    </row>
    <row r="16" spans="1:8" ht="18.75" customHeight="1" x14ac:dyDescent="0.25">
      <c r="A16" s="1" t="str">
        <f>IF(COUNTIFS(テーブル定義_一覧!$D:$D,テーブル一覧!$C16,テーブル定義_一覧!$A:$A,"")&gt;0,"","〇")</f>
        <v>〇</v>
      </c>
      <c r="B16" s="2">
        <f t="shared" si="0"/>
        <v>15</v>
      </c>
      <c r="C16" s="3" t="str">
        <v>profile_report</v>
      </c>
      <c r="D16" s="3" t="str">
        <v>プロフィール通報</v>
      </c>
      <c r="E16" s="3">
        <f>SUMIF(テーブル定義_一覧!D:D,C16,テーブル定義_一覧!I:I)</f>
        <v>1154</v>
      </c>
      <c r="F16" s="3" t="s">
        <v>8</v>
      </c>
      <c r="G16" s="3" t="s">
        <v>24</v>
      </c>
      <c r="H16" s="3"/>
    </row>
    <row r="17" spans="1:8" ht="18.75" customHeight="1" x14ac:dyDescent="0.25">
      <c r="A17" s="1" t="str">
        <f>IF(COUNTIFS(テーブル定義_一覧!$D:$D,テーブル一覧!$C17,テーブル定義_一覧!$A:$A,"")&gt;0,"","〇")</f>
        <v>〇</v>
      </c>
      <c r="B17" s="2">
        <f t="shared" si="0"/>
        <v>16</v>
      </c>
      <c r="C17" s="3" t="str">
        <v>report_reason</v>
      </c>
      <c r="D17" s="3" t="str">
        <v>通報理由</v>
      </c>
      <c r="E17" s="3">
        <f>SUMIF(テーブル定義_一覧!D:D,C17,テーブル定義_一覧!I:I)</f>
        <v>1026</v>
      </c>
      <c r="F17" s="3" t="s">
        <v>12</v>
      </c>
      <c r="G17" s="3" t="s">
        <v>25</v>
      </c>
      <c r="H17" s="3"/>
    </row>
    <row r="18" spans="1:8" ht="18.75" customHeight="1" x14ac:dyDescent="0.25">
      <c r="A18" s="1" t="str">
        <f>IF(COUNTIFS(テーブル定義_一覧!$D:$D,テーブル一覧!$C18,テーブル定義_一覧!$A:$A,"")&gt;0,"","〇")</f>
        <v>〇</v>
      </c>
      <c r="B18" s="2">
        <f t="shared" si="0"/>
        <v>17</v>
      </c>
      <c r="C18" s="3" t="str">
        <v>user</v>
      </c>
      <c r="D18" s="3" t="str">
        <v>ユーザー</v>
      </c>
      <c r="E18" s="3">
        <f>SUMIF(テーブル定義_一覧!D:D,C18,テーブル定義_一覧!I:I)</f>
        <v>1931</v>
      </c>
      <c r="F18" s="3" t="s">
        <v>8</v>
      </c>
      <c r="G18" s="3" t="s">
        <v>26</v>
      </c>
      <c r="H18" s="3"/>
    </row>
    <row r="19" spans="1:8" ht="18.75" customHeight="1" x14ac:dyDescent="0.25">
      <c r="A19" s="1" t="str">
        <f>IF(COUNTIFS(テーブル定義_一覧!$D:$D,テーブル一覧!$C19,テーブル定義_一覧!$A:$A,"")&gt;0,"","〇")</f>
        <v>〇</v>
      </c>
      <c r="B19" s="2">
        <f t="shared" si="0"/>
        <v>18</v>
      </c>
      <c r="C19" s="3" t="str">
        <v>theme</v>
      </c>
      <c r="D19" s="3" t="str">
        <v>画面テーマ</v>
      </c>
      <c r="E19" s="3">
        <f>SUMIF(テーブル定義_一覧!D:D,C19,テーブル定義_一覧!I:I)</f>
        <v>1026</v>
      </c>
      <c r="F19" s="3" t="s">
        <v>12</v>
      </c>
      <c r="G19" s="3" t="s">
        <v>27</v>
      </c>
      <c r="H19" s="3"/>
    </row>
    <row r="20" spans="1:8" ht="18.75" customHeight="1" x14ac:dyDescent="0.25">
      <c r="A20" s="1" t="str">
        <f>IF(COUNTIFS(テーブル定義_一覧!$D:$D,テーブル一覧!$C20,テーブル定義_一覧!$A:$A,"")&gt;0,"","〇")</f>
        <v>〇</v>
      </c>
      <c r="B20" s="2">
        <f t="shared" si="0"/>
        <v>19</v>
      </c>
      <c r="C20" s="3" t="str">
        <v>user_role</v>
      </c>
      <c r="D20" s="3" t="str">
        <v>ユーザー権限</v>
      </c>
      <c r="E20" s="3">
        <f>SUMIF(テーブル定義_一覧!D:D,C20,テーブル定義_一覧!I:I)</f>
        <v>898</v>
      </c>
      <c r="F20" s="3" t="s">
        <v>12</v>
      </c>
      <c r="G20" s="3" t="s">
        <v>28</v>
      </c>
      <c r="H20" s="3"/>
    </row>
    <row r="21" spans="1:8" ht="18.75" customHeight="1" x14ac:dyDescent="0.25">
      <c r="A21" s="1" t="str">
        <f>IF(COUNTIFS(テーブル定義_一覧!$D:$D,テーブル一覧!$C21,テーブル定義_一覧!$A:$A,"")&gt;0,"","〇")</f>
        <v>〇</v>
      </c>
      <c r="B21" s="2">
        <f t="shared" si="0"/>
        <v>20</v>
      </c>
      <c r="C21" s="3" t="str">
        <v>imagse_contents</v>
      </c>
      <c r="D21" s="3" t="str">
        <v>画像(ユーザー投稿)</v>
      </c>
      <c r="E21" s="3">
        <f>SUMIF(テーブル定義_一覧!D:D,C21,テーブル定義_一覧!I:I)</f>
        <v>12426</v>
      </c>
      <c r="F21" s="3" t="s">
        <v>8</v>
      </c>
      <c r="G21" s="3" t="s">
        <v>29</v>
      </c>
      <c r="H21" s="3"/>
    </row>
    <row r="22" spans="1:8" ht="18.75" customHeight="1" x14ac:dyDescent="0.25">
      <c r="A22" s="1" t="str">
        <f>IF(COUNTIFS(テーブル定義_一覧!$D:$D,テーブル一覧!$C22,テーブル定義_一覧!$A:$A,"")&gt;0,"","〇")</f>
        <v>〇</v>
      </c>
      <c r="B22" s="2">
        <f t="shared" si="0"/>
        <v>21</v>
      </c>
      <c r="C22" s="3" t="str">
        <v>imagse_system</v>
      </c>
      <c r="D22" s="3" t="str">
        <v>画像(システム管理)</v>
      </c>
      <c r="E22" s="3">
        <f>SUMIF(テーブル定義_一覧!D:D,C22,テーブル定義_一覧!I:I)</f>
        <v>12362</v>
      </c>
      <c r="F22" s="3" t="s">
        <v>12</v>
      </c>
      <c r="G22" s="3" t="s">
        <v>30</v>
      </c>
      <c r="H22" s="3"/>
    </row>
    <row r="23" spans="1:8" ht="18.75" customHeight="1" x14ac:dyDescent="0.25">
      <c r="A23" s="1" t="str">
        <f>IF(COUNTIFS(テーブル定義_一覧!$D:$D,テーブル一覧!$C23,テーブル定義_一覧!$A:$A,"")&gt;0,"","〇")</f>
        <v>〇</v>
      </c>
      <c r="B23" s="2">
        <f t="shared" si="0"/>
        <v>22</v>
      </c>
      <c r="C23" s="20" t="str">
        <v>screen_element</v>
      </c>
      <c r="D23" s="20" t="str">
        <v>画面要素</v>
      </c>
      <c r="E23" s="20">
        <f>SUMIF(テーブル定義_一覧!D:D,C23,テーブル定義_一覧!I:I)</f>
        <v>898</v>
      </c>
      <c r="F23" s="20" t="s">
        <v>12</v>
      </c>
      <c r="G23" s="20" t="s">
        <v>31</v>
      </c>
      <c r="H23" s="20"/>
    </row>
    <row r="24" spans="1:8" ht="18.75" customHeight="1" x14ac:dyDescent="0.25">
      <c r="A24" s="1" t="str">
        <f>IF(COUNTIFS(テーブル定義_一覧!$D:$D,テーブル一覧!$C24,テーブル定義_一覧!$A:$A,"")&gt;0,"","〇")</f>
        <v>〇</v>
      </c>
      <c r="B24" s="19">
        <f t="shared" si="0"/>
        <v>23</v>
      </c>
      <c r="C24" s="21" t="str">
        <v>lgtm</v>
      </c>
      <c r="D24" s="21" t="str">
        <v>いいね</v>
      </c>
      <c r="E24" s="22">
        <f>SUMIF(テーブル定義_一覧!D:D,C24,テーブル定義_一覧!I:I)</f>
        <v>964</v>
      </c>
      <c r="F24" s="3" t="s">
        <v>8</v>
      </c>
      <c r="G24" s="23" t="s">
        <v>521</v>
      </c>
      <c r="H24" s="21"/>
    </row>
    <row r="25" spans="1:8" ht="18.75" customHeight="1" x14ac:dyDescent="0.25">
      <c r="A25" s="1" t="str">
        <f>IF(COUNTIFS(テーブル定義_一覧!$D:$D,テーブル一覧!$C25,テーブル定義_一覧!$A:$A,"")&gt;0,"","〇")</f>
        <v>〇</v>
      </c>
      <c r="B25" s="19">
        <f t="shared" si="0"/>
        <v>24</v>
      </c>
      <c r="C25" s="21" t="str">
        <v>movie_link</v>
      </c>
      <c r="D25" s="21" t="str">
        <v>動画リンク</v>
      </c>
      <c r="E25" s="22">
        <f>SUMIF(テーブル定義_一覧!D:D,C25,テーブル定義_一覧!I:I)</f>
        <v>898</v>
      </c>
      <c r="F25" s="3" t="s">
        <v>8</v>
      </c>
      <c r="G25" s="23" t="s">
        <v>522</v>
      </c>
      <c r="H25" s="21"/>
    </row>
    <row r="26" spans="1:8" ht="18.75" customHeight="1" x14ac:dyDescent="0.25">
      <c r="A26" s="1" t="str">
        <f>IF(COUNTIFS(テーブル定義_一覧!$D:$D,テーブル一覧!$C26,テーブル定義_一覧!$A:$A,"")&gt;0,"","〇")</f>
        <v>〇</v>
      </c>
      <c r="B26" s="19">
        <f t="shared" si="0"/>
        <v>25</v>
      </c>
      <c r="C26" s="21" t="str">
        <v>relation</v>
      </c>
      <c r="D26" s="21" t="str">
        <v>関係値</v>
      </c>
      <c r="E26" s="22">
        <f>SUMIF(テーブル定義_一覧!D:D,C26,テーブル定義_一覧!I:I)</f>
        <v>1154</v>
      </c>
      <c r="F26" s="3" t="s">
        <v>8</v>
      </c>
      <c r="G26" s="23" t="s">
        <v>523</v>
      </c>
      <c r="H26" s="21"/>
    </row>
    <row r="27" spans="1:8" ht="18.75" customHeight="1" x14ac:dyDescent="0.25"/>
    <row r="28" spans="1:8" ht="18.75" customHeight="1" x14ac:dyDescent="0.25"/>
    <row r="29" spans="1:8" ht="18.75" customHeight="1" x14ac:dyDescent="0.25"/>
    <row r="30" spans="1:8" ht="18.75" customHeight="1" x14ac:dyDescent="0.25"/>
    <row r="31" spans="1:8" ht="18.75" customHeight="1" x14ac:dyDescent="0.25"/>
    <row r="32" spans="1:8" ht="18.75" customHeight="1" x14ac:dyDescent="0.25"/>
    <row r="33" ht="18.75" customHeight="1" x14ac:dyDescent="0.25"/>
    <row r="34" ht="18.75" customHeight="1" x14ac:dyDescent="0.25"/>
    <row r="35" ht="18.75" customHeight="1" x14ac:dyDescent="0.25"/>
    <row r="36" ht="18.75" customHeight="1" x14ac:dyDescent="0.25"/>
    <row r="37" ht="18.75" customHeight="1" x14ac:dyDescent="0.25"/>
    <row r="38" ht="18.75" customHeight="1" x14ac:dyDescent="0.25"/>
    <row r="39" ht="18.75" customHeight="1" x14ac:dyDescent="0.25"/>
    <row r="40" ht="18.75" customHeight="1" x14ac:dyDescent="0.25"/>
    <row r="41" ht="18.75" customHeight="1" x14ac:dyDescent="0.25"/>
    <row r="42" ht="18.75" customHeight="1" x14ac:dyDescent="0.25"/>
    <row r="43" ht="18.75" customHeight="1" x14ac:dyDescent="0.25"/>
    <row r="44" ht="18.75" customHeight="1" x14ac:dyDescent="0.25"/>
    <row r="45" ht="18.75" customHeight="1" x14ac:dyDescent="0.25"/>
    <row r="46" ht="18.75" customHeight="1" x14ac:dyDescent="0.25"/>
    <row r="47" ht="18.75" customHeight="1" x14ac:dyDescent="0.25"/>
    <row r="48" ht="18.75" customHeight="1" x14ac:dyDescent="0.25"/>
    <row r="49" ht="18.75" customHeight="1" x14ac:dyDescent="0.25"/>
    <row r="50" ht="18.75" customHeight="1" x14ac:dyDescent="0.25"/>
    <row r="51" ht="18.75" customHeight="1" x14ac:dyDescent="0.25"/>
    <row r="52" ht="18.75" customHeight="1" x14ac:dyDescent="0.25"/>
    <row r="53" ht="18.75" customHeight="1" x14ac:dyDescent="0.25"/>
    <row r="54" ht="18.75" customHeight="1" x14ac:dyDescent="0.25"/>
    <row r="55" ht="18.75" customHeight="1" x14ac:dyDescent="0.25"/>
    <row r="56" ht="18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  <row r="66" ht="18.75" customHeight="1" x14ac:dyDescent="0.25"/>
    <row r="67" ht="18.75" customHeight="1" x14ac:dyDescent="0.25"/>
    <row r="68" ht="18.75" customHeight="1" x14ac:dyDescent="0.25"/>
    <row r="69" ht="18.75" customHeight="1" x14ac:dyDescent="0.25"/>
    <row r="70" ht="18.75" customHeight="1" x14ac:dyDescent="0.25"/>
    <row r="71" ht="18.75" customHeight="1" x14ac:dyDescent="0.25"/>
    <row r="72" ht="18.75" customHeight="1" x14ac:dyDescent="0.25"/>
    <row r="73" ht="18.75" customHeight="1" x14ac:dyDescent="0.25"/>
    <row r="74" ht="18.75" customHeight="1" x14ac:dyDescent="0.25"/>
    <row r="75" ht="18.75" customHeight="1" x14ac:dyDescent="0.25"/>
    <row r="76" ht="18.75" customHeight="1" x14ac:dyDescent="0.25"/>
    <row r="77" ht="18.75" customHeight="1" x14ac:dyDescent="0.25"/>
    <row r="78" ht="18.75" customHeight="1" x14ac:dyDescent="0.25"/>
    <row r="79" ht="18.75" customHeight="1" x14ac:dyDescent="0.25"/>
    <row r="80" ht="18.75" customHeight="1" x14ac:dyDescent="0.25"/>
    <row r="81" ht="18.75" customHeight="1" x14ac:dyDescent="0.25"/>
    <row r="82" ht="18.75" customHeight="1" x14ac:dyDescent="0.25"/>
    <row r="83" ht="18.75" customHeight="1" x14ac:dyDescent="0.25"/>
    <row r="84" ht="18.75" customHeight="1" x14ac:dyDescent="0.25"/>
    <row r="85" ht="18.75" customHeight="1" x14ac:dyDescent="0.25"/>
    <row r="86" ht="18.75" customHeight="1" x14ac:dyDescent="0.25"/>
    <row r="87" ht="18.75" customHeight="1" x14ac:dyDescent="0.25"/>
    <row r="88" ht="18.75" customHeight="1" x14ac:dyDescent="0.25"/>
    <row r="89" ht="18.75" customHeight="1" x14ac:dyDescent="0.25"/>
    <row r="90" ht="18.75" customHeight="1" x14ac:dyDescent="0.25"/>
    <row r="91" ht="18.75" customHeight="1" x14ac:dyDescent="0.25"/>
    <row r="92" ht="18.75" customHeight="1" x14ac:dyDescent="0.25"/>
    <row r="93" ht="18.75" customHeight="1" x14ac:dyDescent="0.25"/>
    <row r="94" ht="18.75" customHeight="1" x14ac:dyDescent="0.25"/>
    <row r="95" ht="18.75" customHeight="1" x14ac:dyDescent="0.25"/>
    <row r="96" ht="18.75" customHeight="1" x14ac:dyDescent="0.25"/>
    <row r="97" ht="18.75" customHeight="1" x14ac:dyDescent="0.25"/>
    <row r="98" ht="18.75" customHeight="1" x14ac:dyDescent="0.25"/>
    <row r="99" ht="18.75" customHeight="1" x14ac:dyDescent="0.25"/>
    <row r="100" ht="18.75" customHeight="1" x14ac:dyDescent="0.25"/>
    <row r="101" ht="18.75" customHeight="1" x14ac:dyDescent="0.25"/>
    <row r="102" ht="18.75" customHeight="1" x14ac:dyDescent="0.25"/>
    <row r="103" ht="18.75" customHeight="1" x14ac:dyDescent="0.25"/>
    <row r="104" ht="18.75" customHeight="1" x14ac:dyDescent="0.25"/>
    <row r="105" ht="18.75" customHeight="1" x14ac:dyDescent="0.25"/>
    <row r="106" ht="18.75" customHeight="1" x14ac:dyDescent="0.25"/>
    <row r="107" ht="18.75" customHeight="1" x14ac:dyDescent="0.25"/>
    <row r="108" ht="18.75" customHeight="1" x14ac:dyDescent="0.25"/>
    <row r="109" ht="18.75" customHeight="1" x14ac:dyDescent="0.25"/>
    <row r="110" ht="18.75" customHeight="1" x14ac:dyDescent="0.25"/>
    <row r="111" ht="18.75" customHeight="1" x14ac:dyDescent="0.25"/>
    <row r="112" ht="18.75" customHeight="1" x14ac:dyDescent="0.25"/>
    <row r="113" ht="18.75" customHeight="1" x14ac:dyDescent="0.25"/>
    <row r="114" ht="18.75" customHeight="1" x14ac:dyDescent="0.25"/>
    <row r="115" ht="18.75" customHeight="1" x14ac:dyDescent="0.25"/>
    <row r="116" ht="18.75" customHeight="1" x14ac:dyDescent="0.25"/>
    <row r="117" ht="18.75" customHeight="1" x14ac:dyDescent="0.25"/>
    <row r="118" ht="18.75" customHeight="1" x14ac:dyDescent="0.25"/>
    <row r="119" ht="18.75" customHeight="1" x14ac:dyDescent="0.25"/>
    <row r="120" ht="18.75" customHeight="1" x14ac:dyDescent="0.25"/>
    <row r="121" ht="18.75" customHeight="1" x14ac:dyDescent="0.25"/>
    <row r="122" ht="18.75" customHeight="1" x14ac:dyDescent="0.25"/>
    <row r="123" ht="18.75" customHeight="1" x14ac:dyDescent="0.25"/>
    <row r="124" ht="18.75" customHeight="1" x14ac:dyDescent="0.25"/>
    <row r="125" ht="18.75" customHeight="1" x14ac:dyDescent="0.25"/>
    <row r="126" ht="18.75" customHeight="1" x14ac:dyDescent="0.25"/>
    <row r="127" ht="18.75" customHeight="1" x14ac:dyDescent="0.25"/>
    <row r="128" ht="18.75" customHeight="1" x14ac:dyDescent="0.25"/>
    <row r="129" ht="18.75" customHeight="1" x14ac:dyDescent="0.25"/>
    <row r="130" ht="18.75" customHeight="1" x14ac:dyDescent="0.25"/>
    <row r="131" ht="18.75" customHeight="1" x14ac:dyDescent="0.25"/>
    <row r="132" ht="18.75" customHeight="1" x14ac:dyDescent="0.25"/>
    <row r="133" ht="18.75" customHeight="1" x14ac:dyDescent="0.25"/>
    <row r="134" ht="18.75" customHeight="1" x14ac:dyDescent="0.25"/>
    <row r="135" ht="18.75" customHeight="1" x14ac:dyDescent="0.25"/>
    <row r="136" ht="18.75" customHeight="1" x14ac:dyDescent="0.25"/>
    <row r="137" ht="18.75" customHeight="1" x14ac:dyDescent="0.25"/>
    <row r="138" ht="18.75" customHeight="1" x14ac:dyDescent="0.25"/>
    <row r="139" ht="18.75" customHeight="1" x14ac:dyDescent="0.25"/>
    <row r="140" ht="18.75" customHeight="1" x14ac:dyDescent="0.25"/>
    <row r="141" ht="18.75" customHeight="1" x14ac:dyDescent="0.25"/>
    <row r="142" ht="18.75" customHeight="1" x14ac:dyDescent="0.25"/>
    <row r="143" ht="18.75" customHeight="1" x14ac:dyDescent="0.25"/>
    <row r="144" ht="18.75" customHeight="1" x14ac:dyDescent="0.25"/>
    <row r="145" ht="18.75" customHeight="1" x14ac:dyDescent="0.25"/>
    <row r="146" ht="18.75" customHeight="1" x14ac:dyDescent="0.25"/>
    <row r="147" ht="18.75" customHeight="1" x14ac:dyDescent="0.25"/>
    <row r="148" ht="18.75" customHeight="1" x14ac:dyDescent="0.25"/>
    <row r="149" ht="18.75" customHeight="1" x14ac:dyDescent="0.25"/>
    <row r="150" ht="18.75" customHeight="1" x14ac:dyDescent="0.25"/>
    <row r="151" ht="18.75" customHeight="1" x14ac:dyDescent="0.25"/>
    <row r="152" ht="18.75" customHeight="1" x14ac:dyDescent="0.25"/>
    <row r="153" ht="18.75" customHeight="1" x14ac:dyDescent="0.25"/>
    <row r="154" ht="18.75" customHeight="1" x14ac:dyDescent="0.25"/>
    <row r="155" ht="18.75" customHeight="1" x14ac:dyDescent="0.25"/>
    <row r="156" ht="18.75" customHeight="1" x14ac:dyDescent="0.25"/>
    <row r="157" ht="18.75" customHeight="1" x14ac:dyDescent="0.25"/>
    <row r="158" ht="18.75" customHeight="1" x14ac:dyDescent="0.25"/>
    <row r="159" ht="18.75" customHeight="1" x14ac:dyDescent="0.25"/>
    <row r="160" ht="18.75" customHeight="1" x14ac:dyDescent="0.25"/>
    <row r="161" ht="18.75" customHeight="1" x14ac:dyDescent="0.25"/>
    <row r="162" ht="18.75" customHeight="1" x14ac:dyDescent="0.25"/>
    <row r="163" ht="18.75" customHeight="1" x14ac:dyDescent="0.25"/>
    <row r="164" ht="18.75" customHeight="1" x14ac:dyDescent="0.25"/>
    <row r="165" ht="18.75" customHeight="1" x14ac:dyDescent="0.25"/>
    <row r="166" ht="18.75" customHeight="1" x14ac:dyDescent="0.25"/>
    <row r="167" ht="18.75" customHeight="1" x14ac:dyDescent="0.25"/>
    <row r="168" ht="18.75" customHeight="1" x14ac:dyDescent="0.25"/>
    <row r="169" ht="18.75" customHeight="1" x14ac:dyDescent="0.25"/>
    <row r="170" ht="18.75" customHeight="1" x14ac:dyDescent="0.25"/>
    <row r="171" ht="18.75" customHeight="1" x14ac:dyDescent="0.25"/>
    <row r="172" ht="18.75" customHeight="1" x14ac:dyDescent="0.25"/>
    <row r="173" ht="18.75" customHeight="1" x14ac:dyDescent="0.25"/>
    <row r="174" ht="18.75" customHeight="1" x14ac:dyDescent="0.25"/>
    <row r="175" ht="18.75" customHeight="1" x14ac:dyDescent="0.25"/>
    <row r="176" ht="18.75" customHeight="1" x14ac:dyDescent="0.25"/>
    <row r="177" ht="18.75" customHeight="1" x14ac:dyDescent="0.25"/>
    <row r="178" ht="18.75" customHeight="1" x14ac:dyDescent="0.25"/>
    <row r="179" ht="18.75" customHeight="1" x14ac:dyDescent="0.25"/>
    <row r="180" ht="18.75" customHeight="1" x14ac:dyDescent="0.25"/>
    <row r="181" ht="18.75" customHeight="1" x14ac:dyDescent="0.25"/>
    <row r="182" ht="18.75" customHeight="1" x14ac:dyDescent="0.25"/>
    <row r="183" ht="18.75" customHeight="1" x14ac:dyDescent="0.25"/>
    <row r="184" ht="18.75" customHeight="1" x14ac:dyDescent="0.25"/>
    <row r="185" ht="18.75" customHeight="1" x14ac:dyDescent="0.25"/>
    <row r="186" ht="18.75" customHeight="1" x14ac:dyDescent="0.25"/>
    <row r="187" ht="18.75" customHeight="1" x14ac:dyDescent="0.25"/>
    <row r="188" ht="18.75" customHeight="1" x14ac:dyDescent="0.25"/>
    <row r="189" ht="18.75" customHeight="1" x14ac:dyDescent="0.25"/>
    <row r="190" ht="18.75" customHeight="1" x14ac:dyDescent="0.25"/>
    <row r="191" ht="18.75" customHeight="1" x14ac:dyDescent="0.25"/>
    <row r="192" ht="18.75" customHeight="1" x14ac:dyDescent="0.25"/>
    <row r="193" ht="18.75" customHeight="1" x14ac:dyDescent="0.25"/>
    <row r="194" ht="18.75" customHeight="1" x14ac:dyDescent="0.25"/>
    <row r="195" ht="18.75" customHeight="1" x14ac:dyDescent="0.25"/>
    <row r="196" ht="18.75" customHeight="1" x14ac:dyDescent="0.25"/>
    <row r="197" ht="18.75" customHeight="1" x14ac:dyDescent="0.25"/>
    <row r="198" ht="18.75" customHeight="1" x14ac:dyDescent="0.25"/>
    <row r="199" ht="18.75" customHeight="1" x14ac:dyDescent="0.25"/>
    <row r="200" ht="18.75" customHeight="1" x14ac:dyDescent="0.25"/>
    <row r="201" ht="18.75" customHeight="1" x14ac:dyDescent="0.25"/>
    <row r="202" ht="18.75" customHeight="1" x14ac:dyDescent="0.25"/>
    <row r="203" ht="18.75" customHeight="1" x14ac:dyDescent="0.25"/>
    <row r="204" ht="18.75" customHeight="1" x14ac:dyDescent="0.25"/>
    <row r="205" ht="18.75" customHeight="1" x14ac:dyDescent="0.25"/>
    <row r="206" ht="18.75" customHeight="1" x14ac:dyDescent="0.25"/>
    <row r="207" ht="18.75" customHeight="1" x14ac:dyDescent="0.25"/>
    <row r="208" ht="18.75" customHeight="1" x14ac:dyDescent="0.25"/>
    <row r="209" ht="18.75" customHeight="1" x14ac:dyDescent="0.25"/>
    <row r="210" ht="18.75" customHeight="1" x14ac:dyDescent="0.25"/>
    <row r="211" ht="18.75" customHeight="1" x14ac:dyDescent="0.25"/>
    <row r="212" ht="18.75" customHeight="1" x14ac:dyDescent="0.25"/>
    <row r="213" ht="18.75" customHeight="1" x14ac:dyDescent="0.25"/>
    <row r="214" ht="18.75" customHeight="1" x14ac:dyDescent="0.25"/>
    <row r="215" ht="18.75" customHeight="1" x14ac:dyDescent="0.25"/>
    <row r="216" ht="18.75" customHeight="1" x14ac:dyDescent="0.25"/>
    <row r="217" ht="18.75" customHeight="1" x14ac:dyDescent="0.25"/>
    <row r="218" ht="18.75" customHeight="1" x14ac:dyDescent="0.25"/>
    <row r="219" ht="18.75" customHeight="1" x14ac:dyDescent="0.25"/>
    <row r="220" ht="18.75" customHeight="1" x14ac:dyDescent="0.25"/>
    <row r="221" ht="18.75" customHeight="1" x14ac:dyDescent="0.25"/>
    <row r="222" ht="18.75" customHeight="1" x14ac:dyDescent="0.25"/>
    <row r="223" ht="18.75" customHeight="1" x14ac:dyDescent="0.25"/>
    <row r="224" ht="18.75" customHeight="1" x14ac:dyDescent="0.25"/>
    <row r="225" ht="18.75" customHeight="1" x14ac:dyDescent="0.25"/>
    <row r="226" ht="18.75" customHeight="1" x14ac:dyDescent="0.25"/>
    <row r="227" ht="18.75" customHeight="1" x14ac:dyDescent="0.25"/>
    <row r="228" ht="18.75" customHeight="1" x14ac:dyDescent="0.25"/>
    <row r="229" ht="18.75" customHeight="1" x14ac:dyDescent="0.25"/>
    <row r="230" ht="18.75" customHeight="1" x14ac:dyDescent="0.25"/>
    <row r="231" ht="18.75" customHeight="1" x14ac:dyDescent="0.25"/>
    <row r="232" ht="18.75" customHeight="1" x14ac:dyDescent="0.25"/>
    <row r="233" ht="18.75" customHeight="1" x14ac:dyDescent="0.25"/>
    <row r="234" ht="18.75" customHeight="1" x14ac:dyDescent="0.25"/>
    <row r="235" ht="18.75" customHeight="1" x14ac:dyDescent="0.25"/>
    <row r="236" ht="18.75" customHeight="1" x14ac:dyDescent="0.25"/>
    <row r="237" ht="18.75" customHeight="1" x14ac:dyDescent="0.25"/>
    <row r="238" ht="18.75" customHeight="1" x14ac:dyDescent="0.25"/>
    <row r="239" ht="18.75" customHeight="1" x14ac:dyDescent="0.25"/>
    <row r="240" ht="18.75" customHeight="1" x14ac:dyDescent="0.25"/>
    <row r="241" ht="18.75" customHeight="1" x14ac:dyDescent="0.25"/>
    <row r="242" ht="18.75" customHeight="1" x14ac:dyDescent="0.25"/>
    <row r="243" ht="18.75" customHeight="1" x14ac:dyDescent="0.25"/>
    <row r="244" ht="18.75" customHeight="1" x14ac:dyDescent="0.25"/>
    <row r="245" ht="18.75" customHeight="1" x14ac:dyDescent="0.25"/>
    <row r="246" ht="18.75" customHeight="1" x14ac:dyDescent="0.25"/>
    <row r="247" ht="18.75" customHeight="1" x14ac:dyDescent="0.25"/>
    <row r="248" ht="18.75" customHeight="1" x14ac:dyDescent="0.25"/>
    <row r="249" ht="18.75" customHeight="1" x14ac:dyDescent="0.25"/>
    <row r="250" ht="18.75" customHeight="1" x14ac:dyDescent="0.25"/>
    <row r="251" ht="18.75" customHeight="1" x14ac:dyDescent="0.25"/>
    <row r="252" ht="18.75" customHeight="1" x14ac:dyDescent="0.25"/>
    <row r="253" ht="18.75" customHeight="1" x14ac:dyDescent="0.25"/>
    <row r="254" ht="18.75" customHeight="1" x14ac:dyDescent="0.25"/>
    <row r="255" ht="18.75" customHeight="1" x14ac:dyDescent="0.25"/>
    <row r="256" ht="18.75" customHeight="1" x14ac:dyDescent="0.25"/>
    <row r="257" ht="18.75" customHeight="1" x14ac:dyDescent="0.25"/>
    <row r="258" ht="18.75" customHeight="1" x14ac:dyDescent="0.25"/>
    <row r="259" ht="18.75" customHeight="1" x14ac:dyDescent="0.25"/>
    <row r="260" ht="18.75" customHeight="1" x14ac:dyDescent="0.25"/>
    <row r="261" ht="18.75" customHeight="1" x14ac:dyDescent="0.25"/>
    <row r="262" ht="18.75" customHeight="1" x14ac:dyDescent="0.25"/>
    <row r="263" ht="18.75" customHeight="1" x14ac:dyDescent="0.25"/>
    <row r="264" ht="18.75" customHeight="1" x14ac:dyDescent="0.25"/>
    <row r="265" ht="18.75" customHeight="1" x14ac:dyDescent="0.25"/>
    <row r="266" ht="18.75" customHeight="1" x14ac:dyDescent="0.25"/>
    <row r="267" ht="18.75" customHeight="1" x14ac:dyDescent="0.25"/>
    <row r="268" ht="18.75" customHeight="1" x14ac:dyDescent="0.25"/>
    <row r="269" ht="18.75" customHeight="1" x14ac:dyDescent="0.25"/>
    <row r="270" ht="18.75" customHeight="1" x14ac:dyDescent="0.25"/>
    <row r="271" ht="18.75" customHeight="1" x14ac:dyDescent="0.25"/>
    <row r="272" ht="18.75" customHeight="1" x14ac:dyDescent="0.25"/>
    <row r="273" ht="18.75" customHeight="1" x14ac:dyDescent="0.25"/>
    <row r="274" ht="18.75" customHeight="1" x14ac:dyDescent="0.25"/>
    <row r="275" ht="18.75" customHeight="1" x14ac:dyDescent="0.25"/>
    <row r="276" ht="18.75" customHeight="1" x14ac:dyDescent="0.25"/>
    <row r="277" ht="18.75" customHeight="1" x14ac:dyDescent="0.25"/>
    <row r="278" ht="18.75" customHeight="1" x14ac:dyDescent="0.25"/>
    <row r="279" ht="18.75" customHeight="1" x14ac:dyDescent="0.25"/>
    <row r="280" ht="18.75" customHeight="1" x14ac:dyDescent="0.25"/>
    <row r="281" ht="18.75" customHeight="1" x14ac:dyDescent="0.25"/>
    <row r="282" ht="18.75" customHeight="1" x14ac:dyDescent="0.25"/>
    <row r="283" ht="18.75" customHeight="1" x14ac:dyDescent="0.25"/>
    <row r="284" ht="18.75" customHeight="1" x14ac:dyDescent="0.25"/>
    <row r="285" ht="18.75" customHeight="1" x14ac:dyDescent="0.25"/>
    <row r="286" ht="18.75" customHeight="1" x14ac:dyDescent="0.25"/>
    <row r="287" ht="18.75" customHeight="1" x14ac:dyDescent="0.25"/>
    <row r="288" ht="18.75" customHeight="1" x14ac:dyDescent="0.25"/>
    <row r="289" ht="18.75" customHeight="1" x14ac:dyDescent="0.25"/>
    <row r="290" ht="18.75" customHeight="1" x14ac:dyDescent="0.25"/>
    <row r="291" ht="18.75" customHeight="1" x14ac:dyDescent="0.25"/>
    <row r="292" ht="18.75" customHeight="1" x14ac:dyDescent="0.25"/>
    <row r="293" ht="18.75" customHeight="1" x14ac:dyDescent="0.25"/>
    <row r="294" ht="18.75" customHeight="1" x14ac:dyDescent="0.25"/>
    <row r="295" ht="18.75" customHeight="1" x14ac:dyDescent="0.25"/>
    <row r="296" ht="18.75" customHeight="1" x14ac:dyDescent="0.25"/>
    <row r="297" ht="18.75" customHeight="1" x14ac:dyDescent="0.25"/>
    <row r="298" ht="18.75" customHeight="1" x14ac:dyDescent="0.25"/>
    <row r="299" ht="18.75" customHeight="1" x14ac:dyDescent="0.25"/>
    <row r="300" ht="18.75" customHeight="1" x14ac:dyDescent="0.25"/>
    <row r="301" ht="18.75" customHeight="1" x14ac:dyDescent="0.25"/>
    <row r="302" ht="18.75" customHeight="1" x14ac:dyDescent="0.25"/>
    <row r="303" ht="18.75" customHeight="1" x14ac:dyDescent="0.25"/>
    <row r="304" ht="18.75" customHeight="1" x14ac:dyDescent="0.25"/>
    <row r="305" ht="18.75" customHeight="1" x14ac:dyDescent="0.25"/>
    <row r="306" ht="18.75" customHeight="1" x14ac:dyDescent="0.25"/>
    <row r="307" ht="18.75" customHeight="1" x14ac:dyDescent="0.25"/>
    <row r="308" ht="18.75" customHeight="1" x14ac:dyDescent="0.25"/>
    <row r="309" ht="18.75" customHeight="1" x14ac:dyDescent="0.25"/>
    <row r="310" ht="18.75" customHeight="1" x14ac:dyDescent="0.25"/>
    <row r="311" ht="18.75" customHeight="1" x14ac:dyDescent="0.25"/>
    <row r="312" ht="18.75" customHeight="1" x14ac:dyDescent="0.25"/>
    <row r="313" ht="18.75" customHeight="1" x14ac:dyDescent="0.25"/>
    <row r="314" ht="18.75" customHeight="1" x14ac:dyDescent="0.25"/>
    <row r="315" ht="18.75" customHeight="1" x14ac:dyDescent="0.25"/>
    <row r="316" ht="18.75" customHeight="1" x14ac:dyDescent="0.25"/>
    <row r="317" ht="18.75" customHeight="1" x14ac:dyDescent="0.25"/>
    <row r="318" ht="18.75" customHeight="1" x14ac:dyDescent="0.25"/>
    <row r="319" ht="18.75" customHeight="1" x14ac:dyDescent="0.25"/>
    <row r="320" ht="18.75" customHeight="1" x14ac:dyDescent="0.25"/>
    <row r="321" ht="18.75" customHeight="1" x14ac:dyDescent="0.25"/>
    <row r="322" ht="18.75" customHeight="1" x14ac:dyDescent="0.25"/>
    <row r="323" ht="18.75" customHeight="1" x14ac:dyDescent="0.25"/>
    <row r="324" ht="18.75" customHeight="1" x14ac:dyDescent="0.25"/>
    <row r="325" ht="18.75" customHeight="1" x14ac:dyDescent="0.25"/>
    <row r="326" ht="18.75" customHeight="1" x14ac:dyDescent="0.25"/>
    <row r="327" ht="18.75" customHeight="1" x14ac:dyDescent="0.25"/>
    <row r="328" ht="18.75" customHeight="1" x14ac:dyDescent="0.25"/>
    <row r="329" ht="18.75" customHeight="1" x14ac:dyDescent="0.25"/>
    <row r="330" ht="18.75" customHeight="1" x14ac:dyDescent="0.25"/>
    <row r="331" ht="18.75" customHeight="1" x14ac:dyDescent="0.25"/>
    <row r="332" ht="18.75" customHeight="1" x14ac:dyDescent="0.25"/>
    <row r="333" ht="18.75" customHeight="1" x14ac:dyDescent="0.25"/>
    <row r="334" ht="18.75" customHeight="1" x14ac:dyDescent="0.25"/>
    <row r="335" ht="18.75" customHeight="1" x14ac:dyDescent="0.25"/>
    <row r="336" ht="18.75" customHeight="1" x14ac:dyDescent="0.25"/>
    <row r="337" ht="18.75" customHeight="1" x14ac:dyDescent="0.25"/>
    <row r="338" ht="18.75" customHeight="1" x14ac:dyDescent="0.25"/>
    <row r="339" ht="18.75" customHeight="1" x14ac:dyDescent="0.25"/>
    <row r="340" ht="18.75" customHeight="1" x14ac:dyDescent="0.25"/>
    <row r="341" ht="18.75" customHeight="1" x14ac:dyDescent="0.25"/>
    <row r="342" ht="18.75" customHeight="1" x14ac:dyDescent="0.25"/>
    <row r="343" ht="18.75" customHeight="1" x14ac:dyDescent="0.25"/>
    <row r="344" ht="18.75" customHeight="1" x14ac:dyDescent="0.25"/>
    <row r="345" ht="18.75" customHeight="1" x14ac:dyDescent="0.25"/>
    <row r="346" ht="18.75" customHeight="1" x14ac:dyDescent="0.25"/>
    <row r="347" ht="18.75" customHeight="1" x14ac:dyDescent="0.25"/>
    <row r="348" ht="18.75" customHeight="1" x14ac:dyDescent="0.25"/>
    <row r="349" ht="18.75" customHeight="1" x14ac:dyDescent="0.25"/>
    <row r="350" ht="18.75" customHeight="1" x14ac:dyDescent="0.25"/>
    <row r="351" ht="18.75" customHeight="1" x14ac:dyDescent="0.25"/>
    <row r="352" ht="18.75" customHeight="1" x14ac:dyDescent="0.25"/>
    <row r="353" ht="18.75" customHeight="1" x14ac:dyDescent="0.25"/>
    <row r="354" ht="18.75" customHeight="1" x14ac:dyDescent="0.25"/>
    <row r="355" ht="18.75" customHeight="1" x14ac:dyDescent="0.25"/>
    <row r="356" ht="18.75" customHeight="1" x14ac:dyDescent="0.25"/>
    <row r="357" ht="18.75" customHeight="1" x14ac:dyDescent="0.25"/>
    <row r="358" ht="18.75" customHeight="1" x14ac:dyDescent="0.25"/>
    <row r="359" ht="18.75" customHeight="1" x14ac:dyDescent="0.25"/>
    <row r="360" ht="18.75" customHeight="1" x14ac:dyDescent="0.25"/>
    <row r="361" ht="18.75" customHeight="1" x14ac:dyDescent="0.25"/>
    <row r="362" ht="18.75" customHeight="1" x14ac:dyDescent="0.25"/>
    <row r="363" ht="18.75" customHeight="1" x14ac:dyDescent="0.25"/>
    <row r="364" ht="18.75" customHeight="1" x14ac:dyDescent="0.25"/>
    <row r="365" ht="18.75" customHeight="1" x14ac:dyDescent="0.25"/>
    <row r="366" ht="18.75" customHeight="1" x14ac:dyDescent="0.25"/>
    <row r="367" ht="18.75" customHeight="1" x14ac:dyDescent="0.25"/>
    <row r="368" ht="18.75" customHeight="1" x14ac:dyDescent="0.25"/>
    <row r="369" ht="18.75" customHeight="1" x14ac:dyDescent="0.25"/>
    <row r="370" ht="18.75" customHeight="1" x14ac:dyDescent="0.25"/>
    <row r="371" ht="18.75" customHeight="1" x14ac:dyDescent="0.25"/>
    <row r="372" ht="18.75" customHeight="1" x14ac:dyDescent="0.25"/>
    <row r="373" ht="18.75" customHeight="1" x14ac:dyDescent="0.25"/>
    <row r="374" ht="18.75" customHeight="1" x14ac:dyDescent="0.25"/>
    <row r="375" ht="18.75" customHeight="1" x14ac:dyDescent="0.25"/>
    <row r="376" ht="18.75" customHeight="1" x14ac:dyDescent="0.25"/>
    <row r="377" ht="18.75" customHeight="1" x14ac:dyDescent="0.25"/>
    <row r="378" ht="18.75" customHeight="1" x14ac:dyDescent="0.25"/>
    <row r="379" ht="18.75" customHeight="1" x14ac:dyDescent="0.25"/>
    <row r="380" ht="18.75" customHeight="1" x14ac:dyDescent="0.25"/>
    <row r="381" ht="18.75" customHeight="1" x14ac:dyDescent="0.25"/>
    <row r="382" ht="18.75" customHeight="1" x14ac:dyDescent="0.25"/>
    <row r="383" ht="18.75" customHeight="1" x14ac:dyDescent="0.25"/>
    <row r="384" ht="18.75" customHeight="1" x14ac:dyDescent="0.25"/>
    <row r="385" ht="18.75" customHeight="1" x14ac:dyDescent="0.25"/>
    <row r="386" ht="18.75" customHeight="1" x14ac:dyDescent="0.25"/>
    <row r="387" ht="18.75" customHeight="1" x14ac:dyDescent="0.25"/>
    <row r="388" ht="18.75" customHeight="1" x14ac:dyDescent="0.25"/>
    <row r="389" ht="18.75" customHeight="1" x14ac:dyDescent="0.25"/>
    <row r="390" ht="18.75" customHeight="1" x14ac:dyDescent="0.25"/>
    <row r="391" ht="18.75" customHeight="1" x14ac:dyDescent="0.25"/>
    <row r="392" ht="18.75" customHeight="1" x14ac:dyDescent="0.25"/>
    <row r="393" ht="18.75" customHeight="1" x14ac:dyDescent="0.25"/>
    <row r="394" ht="18.75" customHeight="1" x14ac:dyDescent="0.25"/>
    <row r="395" ht="18.75" customHeight="1" x14ac:dyDescent="0.25"/>
    <row r="396" ht="18.75" customHeight="1" x14ac:dyDescent="0.25"/>
    <row r="397" ht="18.75" customHeight="1" x14ac:dyDescent="0.25"/>
    <row r="398" ht="18.75" customHeight="1" x14ac:dyDescent="0.25"/>
    <row r="399" ht="18.75" customHeight="1" x14ac:dyDescent="0.25"/>
    <row r="400" ht="18.75" customHeight="1" x14ac:dyDescent="0.25"/>
    <row r="401" ht="18.75" customHeight="1" x14ac:dyDescent="0.25"/>
    <row r="402" ht="18.75" customHeight="1" x14ac:dyDescent="0.25"/>
    <row r="403" ht="18.75" customHeight="1" x14ac:dyDescent="0.25"/>
    <row r="404" ht="18.75" customHeight="1" x14ac:dyDescent="0.25"/>
    <row r="405" ht="18.75" customHeight="1" x14ac:dyDescent="0.25"/>
    <row r="406" ht="18.75" customHeight="1" x14ac:dyDescent="0.25"/>
    <row r="407" ht="18.75" customHeight="1" x14ac:dyDescent="0.25"/>
    <row r="408" ht="18.75" customHeight="1" x14ac:dyDescent="0.25"/>
    <row r="409" ht="18.75" customHeight="1" x14ac:dyDescent="0.25"/>
    <row r="410" ht="18.75" customHeight="1" x14ac:dyDescent="0.25"/>
    <row r="411" ht="18.75" customHeight="1" x14ac:dyDescent="0.25"/>
    <row r="412" ht="18.75" customHeight="1" x14ac:dyDescent="0.25"/>
    <row r="413" ht="18.75" customHeight="1" x14ac:dyDescent="0.25"/>
    <row r="414" ht="18.75" customHeight="1" x14ac:dyDescent="0.25"/>
    <row r="415" ht="18.75" customHeight="1" x14ac:dyDescent="0.25"/>
    <row r="416" ht="18.75" customHeight="1" x14ac:dyDescent="0.25"/>
    <row r="417" ht="18.75" customHeight="1" x14ac:dyDescent="0.25"/>
    <row r="418" ht="18.75" customHeight="1" x14ac:dyDescent="0.25"/>
    <row r="419" ht="18.75" customHeight="1" x14ac:dyDescent="0.25"/>
    <row r="420" ht="18.75" customHeight="1" x14ac:dyDescent="0.25"/>
    <row r="421" ht="18.75" customHeight="1" x14ac:dyDescent="0.25"/>
    <row r="422" ht="18.75" customHeight="1" x14ac:dyDescent="0.25"/>
    <row r="423" ht="18.75" customHeight="1" x14ac:dyDescent="0.25"/>
    <row r="424" ht="18.75" customHeight="1" x14ac:dyDescent="0.25"/>
    <row r="425" ht="18.75" customHeight="1" x14ac:dyDescent="0.25"/>
    <row r="426" ht="18.75" customHeight="1" x14ac:dyDescent="0.25"/>
    <row r="427" ht="18.75" customHeight="1" x14ac:dyDescent="0.25"/>
    <row r="428" ht="18.75" customHeight="1" x14ac:dyDescent="0.25"/>
    <row r="429" ht="18.75" customHeight="1" x14ac:dyDescent="0.25"/>
    <row r="430" ht="18.75" customHeight="1" x14ac:dyDescent="0.25"/>
    <row r="431" ht="18.75" customHeight="1" x14ac:dyDescent="0.25"/>
    <row r="432" ht="18.75" customHeight="1" x14ac:dyDescent="0.25"/>
    <row r="433" ht="18.75" customHeight="1" x14ac:dyDescent="0.25"/>
    <row r="434" ht="18.75" customHeight="1" x14ac:dyDescent="0.25"/>
    <row r="435" ht="18.75" customHeight="1" x14ac:dyDescent="0.25"/>
    <row r="436" ht="18.75" customHeight="1" x14ac:dyDescent="0.25"/>
    <row r="437" ht="18.75" customHeight="1" x14ac:dyDescent="0.25"/>
    <row r="438" ht="18.75" customHeight="1" x14ac:dyDescent="0.25"/>
    <row r="439" ht="18.75" customHeight="1" x14ac:dyDescent="0.25"/>
    <row r="440" ht="18.75" customHeight="1" x14ac:dyDescent="0.25"/>
    <row r="441" ht="18.75" customHeight="1" x14ac:dyDescent="0.25"/>
    <row r="442" ht="18.75" customHeight="1" x14ac:dyDescent="0.25"/>
    <row r="443" ht="18.75" customHeight="1" x14ac:dyDescent="0.25"/>
    <row r="444" ht="18.75" customHeight="1" x14ac:dyDescent="0.25"/>
    <row r="445" ht="18.75" customHeight="1" x14ac:dyDescent="0.25"/>
    <row r="446" ht="18.75" customHeight="1" x14ac:dyDescent="0.25"/>
    <row r="447" ht="18.75" customHeight="1" x14ac:dyDescent="0.25"/>
    <row r="448" ht="18.75" customHeight="1" x14ac:dyDescent="0.25"/>
    <row r="449" ht="18.75" customHeight="1" x14ac:dyDescent="0.25"/>
    <row r="450" ht="18.75" customHeight="1" x14ac:dyDescent="0.25"/>
    <row r="451" ht="18.75" customHeight="1" x14ac:dyDescent="0.25"/>
    <row r="452" ht="18.75" customHeight="1" x14ac:dyDescent="0.25"/>
    <row r="453" ht="18.75" customHeight="1" x14ac:dyDescent="0.25"/>
    <row r="454" ht="18.75" customHeight="1" x14ac:dyDescent="0.25"/>
    <row r="455" ht="18.75" customHeight="1" x14ac:dyDescent="0.25"/>
    <row r="456" ht="18.75" customHeight="1" x14ac:dyDescent="0.25"/>
    <row r="457" ht="18.75" customHeight="1" x14ac:dyDescent="0.25"/>
    <row r="458" ht="18.75" customHeight="1" x14ac:dyDescent="0.25"/>
    <row r="459" ht="18.75" customHeight="1" x14ac:dyDescent="0.25"/>
    <row r="460" ht="18.75" customHeight="1" x14ac:dyDescent="0.25"/>
    <row r="461" ht="18.75" customHeight="1" x14ac:dyDescent="0.25"/>
    <row r="462" ht="18.75" customHeight="1" x14ac:dyDescent="0.25"/>
    <row r="463" ht="18.75" customHeight="1" x14ac:dyDescent="0.25"/>
    <row r="464" ht="18.75" customHeight="1" x14ac:dyDescent="0.25"/>
    <row r="465" ht="18.75" customHeight="1" x14ac:dyDescent="0.25"/>
    <row r="466" ht="18.75" customHeight="1" x14ac:dyDescent="0.25"/>
    <row r="467" ht="18.75" customHeight="1" x14ac:dyDescent="0.25"/>
    <row r="468" ht="18.75" customHeight="1" x14ac:dyDescent="0.25"/>
    <row r="469" ht="18.75" customHeight="1" x14ac:dyDescent="0.25"/>
    <row r="470" ht="18.75" customHeight="1" x14ac:dyDescent="0.25"/>
    <row r="471" ht="18.75" customHeight="1" x14ac:dyDescent="0.25"/>
    <row r="472" ht="18.75" customHeight="1" x14ac:dyDescent="0.25"/>
    <row r="473" ht="18.75" customHeight="1" x14ac:dyDescent="0.25"/>
    <row r="474" ht="18.75" customHeight="1" x14ac:dyDescent="0.25"/>
    <row r="475" ht="18.75" customHeight="1" x14ac:dyDescent="0.25"/>
    <row r="476" ht="18.75" customHeight="1" x14ac:dyDescent="0.25"/>
    <row r="477" ht="18.75" customHeight="1" x14ac:dyDescent="0.25"/>
    <row r="478" ht="18.75" customHeight="1" x14ac:dyDescent="0.25"/>
    <row r="479" ht="18.75" customHeight="1" x14ac:dyDescent="0.25"/>
    <row r="480" ht="18.75" customHeight="1" x14ac:dyDescent="0.25"/>
    <row r="481" ht="18.75" customHeight="1" x14ac:dyDescent="0.25"/>
    <row r="482" ht="18.75" customHeight="1" x14ac:dyDescent="0.25"/>
    <row r="483" ht="18.75" customHeight="1" x14ac:dyDescent="0.25"/>
    <row r="484" ht="18.75" customHeight="1" x14ac:dyDescent="0.25"/>
    <row r="485" ht="18.75" customHeight="1" x14ac:dyDescent="0.25"/>
    <row r="486" ht="18.75" customHeight="1" x14ac:dyDescent="0.25"/>
    <row r="487" ht="18.75" customHeight="1" x14ac:dyDescent="0.25"/>
    <row r="488" ht="18.75" customHeight="1" x14ac:dyDescent="0.25"/>
    <row r="489" ht="18.75" customHeight="1" x14ac:dyDescent="0.25"/>
    <row r="490" ht="18.75" customHeight="1" x14ac:dyDescent="0.25"/>
    <row r="491" ht="18.75" customHeight="1" x14ac:dyDescent="0.25"/>
    <row r="492" ht="18.75" customHeight="1" x14ac:dyDescent="0.25"/>
    <row r="493" ht="18.75" customHeight="1" x14ac:dyDescent="0.25"/>
    <row r="494" ht="18.75" customHeight="1" x14ac:dyDescent="0.25"/>
    <row r="495" ht="18.75" customHeight="1" x14ac:dyDescent="0.25"/>
    <row r="496" ht="18.75" customHeight="1" x14ac:dyDescent="0.25"/>
    <row r="497" ht="18.75" customHeight="1" x14ac:dyDescent="0.25"/>
    <row r="498" ht="18.75" customHeight="1" x14ac:dyDescent="0.25"/>
    <row r="499" ht="18.75" customHeight="1" x14ac:dyDescent="0.25"/>
    <row r="500" ht="18.75" customHeight="1" x14ac:dyDescent="0.25"/>
    <row r="501" ht="18.75" customHeight="1" x14ac:dyDescent="0.25"/>
    <row r="502" ht="18.75" customHeight="1" x14ac:dyDescent="0.25"/>
    <row r="503" ht="18.75" customHeight="1" x14ac:dyDescent="0.25"/>
    <row r="504" ht="18.75" customHeight="1" x14ac:dyDescent="0.25"/>
    <row r="505" ht="18.75" customHeight="1" x14ac:dyDescent="0.25"/>
    <row r="506" ht="18.75" customHeight="1" x14ac:dyDescent="0.25"/>
    <row r="507" ht="18.75" customHeight="1" x14ac:dyDescent="0.25"/>
    <row r="508" ht="18.75" customHeight="1" x14ac:dyDescent="0.25"/>
    <row r="509" ht="18.75" customHeight="1" x14ac:dyDescent="0.25"/>
    <row r="510" ht="18.75" customHeight="1" x14ac:dyDescent="0.25"/>
    <row r="511" ht="18.75" customHeight="1" x14ac:dyDescent="0.25"/>
    <row r="512" ht="18.75" customHeight="1" x14ac:dyDescent="0.25"/>
    <row r="513" ht="18.75" customHeight="1" x14ac:dyDescent="0.25"/>
    <row r="514" ht="18.75" customHeight="1" x14ac:dyDescent="0.25"/>
    <row r="515" ht="18.75" customHeight="1" x14ac:dyDescent="0.25"/>
    <row r="516" ht="18.75" customHeight="1" x14ac:dyDescent="0.25"/>
    <row r="517" ht="18.75" customHeight="1" x14ac:dyDescent="0.25"/>
    <row r="518" ht="18.75" customHeight="1" x14ac:dyDescent="0.25"/>
    <row r="519" ht="18.75" customHeight="1" x14ac:dyDescent="0.25"/>
    <row r="520" ht="18.75" customHeight="1" x14ac:dyDescent="0.25"/>
    <row r="521" ht="18.75" customHeight="1" x14ac:dyDescent="0.25"/>
    <row r="522" ht="18.75" customHeight="1" x14ac:dyDescent="0.25"/>
    <row r="523" ht="18.75" customHeight="1" x14ac:dyDescent="0.25"/>
    <row r="524" ht="18.75" customHeight="1" x14ac:dyDescent="0.25"/>
    <row r="525" ht="18.75" customHeight="1" x14ac:dyDescent="0.25"/>
    <row r="526" ht="18.75" customHeight="1" x14ac:dyDescent="0.25"/>
    <row r="527" ht="18.75" customHeight="1" x14ac:dyDescent="0.25"/>
    <row r="528" ht="18.75" customHeight="1" x14ac:dyDescent="0.25"/>
    <row r="529" ht="18.75" customHeight="1" x14ac:dyDescent="0.25"/>
    <row r="530" ht="18.75" customHeight="1" x14ac:dyDescent="0.25"/>
    <row r="531" ht="18.75" customHeight="1" x14ac:dyDescent="0.25"/>
    <row r="532" ht="18.75" customHeight="1" x14ac:dyDescent="0.25"/>
    <row r="533" ht="18.75" customHeight="1" x14ac:dyDescent="0.25"/>
    <row r="534" ht="18.75" customHeight="1" x14ac:dyDescent="0.25"/>
    <row r="535" ht="18.75" customHeight="1" x14ac:dyDescent="0.25"/>
    <row r="536" ht="18.75" customHeight="1" x14ac:dyDescent="0.25"/>
    <row r="537" ht="18.75" customHeight="1" x14ac:dyDescent="0.25"/>
    <row r="538" ht="18.75" customHeight="1" x14ac:dyDescent="0.25"/>
    <row r="539" ht="18.75" customHeight="1" x14ac:dyDescent="0.25"/>
    <row r="540" ht="18.75" customHeight="1" x14ac:dyDescent="0.25"/>
    <row r="541" ht="18.75" customHeight="1" x14ac:dyDescent="0.25"/>
    <row r="542" ht="18.75" customHeight="1" x14ac:dyDescent="0.25"/>
    <row r="543" ht="18.75" customHeight="1" x14ac:dyDescent="0.25"/>
    <row r="544" ht="18.75" customHeight="1" x14ac:dyDescent="0.25"/>
    <row r="545" ht="18.75" customHeight="1" x14ac:dyDescent="0.25"/>
    <row r="546" ht="18.75" customHeight="1" x14ac:dyDescent="0.25"/>
    <row r="547" ht="18.75" customHeight="1" x14ac:dyDescent="0.25"/>
    <row r="548" ht="18.75" customHeight="1" x14ac:dyDescent="0.25"/>
    <row r="549" ht="18.75" customHeight="1" x14ac:dyDescent="0.25"/>
    <row r="550" ht="18.75" customHeight="1" x14ac:dyDescent="0.25"/>
    <row r="551" ht="18.75" customHeight="1" x14ac:dyDescent="0.25"/>
    <row r="552" ht="18.75" customHeight="1" x14ac:dyDescent="0.25"/>
    <row r="553" ht="18.75" customHeight="1" x14ac:dyDescent="0.25"/>
    <row r="554" ht="18.75" customHeight="1" x14ac:dyDescent="0.25"/>
    <row r="555" ht="18.75" customHeight="1" x14ac:dyDescent="0.25"/>
    <row r="556" ht="18.75" customHeight="1" x14ac:dyDescent="0.25"/>
    <row r="557" ht="18.75" customHeight="1" x14ac:dyDescent="0.25"/>
    <row r="558" ht="18.75" customHeight="1" x14ac:dyDescent="0.25"/>
    <row r="559" ht="18.75" customHeight="1" x14ac:dyDescent="0.25"/>
    <row r="560" ht="18.75" customHeight="1" x14ac:dyDescent="0.25"/>
    <row r="561" ht="18.75" customHeight="1" x14ac:dyDescent="0.25"/>
    <row r="562" ht="18.75" customHeight="1" x14ac:dyDescent="0.25"/>
    <row r="563" ht="18.75" customHeight="1" x14ac:dyDescent="0.25"/>
    <row r="564" ht="18.75" customHeight="1" x14ac:dyDescent="0.25"/>
    <row r="565" ht="18.75" customHeight="1" x14ac:dyDescent="0.25"/>
    <row r="566" ht="18.75" customHeight="1" x14ac:dyDescent="0.25"/>
    <row r="567" ht="18.75" customHeight="1" x14ac:dyDescent="0.25"/>
    <row r="568" ht="18.75" customHeight="1" x14ac:dyDescent="0.25"/>
    <row r="569" ht="18.75" customHeight="1" x14ac:dyDescent="0.25"/>
    <row r="570" ht="18.75" customHeight="1" x14ac:dyDescent="0.25"/>
    <row r="571" ht="18.75" customHeight="1" x14ac:dyDescent="0.25"/>
    <row r="572" ht="18.75" customHeight="1" x14ac:dyDescent="0.25"/>
    <row r="573" ht="18.75" customHeight="1" x14ac:dyDescent="0.25"/>
    <row r="574" ht="18.75" customHeight="1" x14ac:dyDescent="0.25"/>
    <row r="575" ht="18.75" customHeight="1" x14ac:dyDescent="0.25"/>
    <row r="576" ht="18.75" customHeight="1" x14ac:dyDescent="0.25"/>
    <row r="577" ht="18.75" customHeight="1" x14ac:dyDescent="0.25"/>
    <row r="578" ht="18.75" customHeight="1" x14ac:dyDescent="0.25"/>
    <row r="579" ht="18.75" customHeight="1" x14ac:dyDescent="0.25"/>
    <row r="580" ht="18.75" customHeight="1" x14ac:dyDescent="0.25"/>
    <row r="581" ht="18.75" customHeight="1" x14ac:dyDescent="0.25"/>
    <row r="582" ht="18.75" customHeight="1" x14ac:dyDescent="0.25"/>
    <row r="583" ht="18.75" customHeight="1" x14ac:dyDescent="0.25"/>
    <row r="584" ht="18.75" customHeight="1" x14ac:dyDescent="0.25"/>
    <row r="585" ht="18.75" customHeight="1" x14ac:dyDescent="0.25"/>
    <row r="586" ht="18.75" customHeight="1" x14ac:dyDescent="0.25"/>
    <row r="587" ht="18.75" customHeight="1" x14ac:dyDescent="0.25"/>
    <row r="588" ht="18.75" customHeight="1" x14ac:dyDescent="0.25"/>
    <row r="589" ht="18.75" customHeight="1" x14ac:dyDescent="0.25"/>
    <row r="590" ht="18.75" customHeight="1" x14ac:dyDescent="0.25"/>
    <row r="591" ht="18.75" customHeight="1" x14ac:dyDescent="0.25"/>
    <row r="592" ht="18.75" customHeight="1" x14ac:dyDescent="0.25"/>
    <row r="593" ht="18.75" customHeight="1" x14ac:dyDescent="0.25"/>
    <row r="594" ht="18.75" customHeight="1" x14ac:dyDescent="0.25"/>
    <row r="595" ht="18.75" customHeight="1" x14ac:dyDescent="0.25"/>
    <row r="596" ht="18.75" customHeight="1" x14ac:dyDescent="0.25"/>
    <row r="597" ht="18.75" customHeight="1" x14ac:dyDescent="0.25"/>
    <row r="598" ht="18.75" customHeight="1" x14ac:dyDescent="0.25"/>
    <row r="599" ht="18.75" customHeight="1" x14ac:dyDescent="0.25"/>
    <row r="600" ht="18.75" customHeight="1" x14ac:dyDescent="0.25"/>
    <row r="601" ht="18.75" customHeight="1" x14ac:dyDescent="0.25"/>
    <row r="602" ht="18.75" customHeight="1" x14ac:dyDescent="0.25"/>
    <row r="603" ht="18.75" customHeight="1" x14ac:dyDescent="0.25"/>
    <row r="604" ht="18.75" customHeight="1" x14ac:dyDescent="0.25"/>
    <row r="605" ht="18.75" customHeight="1" x14ac:dyDescent="0.25"/>
    <row r="606" ht="18.75" customHeight="1" x14ac:dyDescent="0.25"/>
    <row r="607" ht="18.75" customHeight="1" x14ac:dyDescent="0.25"/>
    <row r="608" ht="18.75" customHeight="1" x14ac:dyDescent="0.25"/>
    <row r="609" ht="18.75" customHeight="1" x14ac:dyDescent="0.25"/>
    <row r="610" ht="18.75" customHeight="1" x14ac:dyDescent="0.25"/>
    <row r="611" ht="18.75" customHeight="1" x14ac:dyDescent="0.25"/>
    <row r="612" ht="18.75" customHeight="1" x14ac:dyDescent="0.25"/>
    <row r="613" ht="18.75" customHeight="1" x14ac:dyDescent="0.25"/>
    <row r="614" ht="18.75" customHeight="1" x14ac:dyDescent="0.25"/>
    <row r="615" ht="18.75" customHeight="1" x14ac:dyDescent="0.25"/>
    <row r="616" ht="18.75" customHeight="1" x14ac:dyDescent="0.25"/>
    <row r="617" ht="18.75" customHeight="1" x14ac:dyDescent="0.25"/>
    <row r="618" ht="18.75" customHeight="1" x14ac:dyDescent="0.25"/>
    <row r="619" ht="18.75" customHeight="1" x14ac:dyDescent="0.25"/>
    <row r="620" ht="18.75" customHeight="1" x14ac:dyDescent="0.25"/>
    <row r="621" ht="18.75" customHeight="1" x14ac:dyDescent="0.25"/>
    <row r="622" ht="18.75" customHeight="1" x14ac:dyDescent="0.25"/>
    <row r="623" ht="18.75" customHeight="1" x14ac:dyDescent="0.25"/>
    <row r="624" ht="18.75" customHeight="1" x14ac:dyDescent="0.25"/>
    <row r="625" ht="18.75" customHeight="1" x14ac:dyDescent="0.25"/>
    <row r="626" ht="18.75" customHeight="1" x14ac:dyDescent="0.25"/>
    <row r="627" ht="18.75" customHeight="1" x14ac:dyDescent="0.25"/>
    <row r="628" ht="18.75" customHeight="1" x14ac:dyDescent="0.25"/>
    <row r="629" ht="18.75" customHeight="1" x14ac:dyDescent="0.25"/>
    <row r="630" ht="18.75" customHeight="1" x14ac:dyDescent="0.25"/>
    <row r="631" ht="18.75" customHeight="1" x14ac:dyDescent="0.25"/>
    <row r="632" ht="18.75" customHeight="1" x14ac:dyDescent="0.25"/>
    <row r="633" ht="18.75" customHeight="1" x14ac:dyDescent="0.25"/>
    <row r="634" ht="18.75" customHeight="1" x14ac:dyDescent="0.25"/>
    <row r="635" ht="18.75" customHeight="1" x14ac:dyDescent="0.25"/>
    <row r="636" ht="18.75" customHeight="1" x14ac:dyDescent="0.25"/>
    <row r="637" ht="18.75" customHeight="1" x14ac:dyDescent="0.25"/>
    <row r="638" ht="18.75" customHeight="1" x14ac:dyDescent="0.25"/>
    <row r="639" ht="18.75" customHeight="1" x14ac:dyDescent="0.25"/>
    <row r="640" ht="18.75" customHeight="1" x14ac:dyDescent="0.25"/>
    <row r="641" ht="18.75" customHeight="1" x14ac:dyDescent="0.25"/>
    <row r="642" ht="18.75" customHeight="1" x14ac:dyDescent="0.25"/>
    <row r="643" ht="18.75" customHeight="1" x14ac:dyDescent="0.25"/>
    <row r="644" ht="18.75" customHeight="1" x14ac:dyDescent="0.25"/>
    <row r="645" ht="18.75" customHeight="1" x14ac:dyDescent="0.25"/>
    <row r="646" ht="18.75" customHeight="1" x14ac:dyDescent="0.25"/>
    <row r="647" ht="18.75" customHeight="1" x14ac:dyDescent="0.25"/>
    <row r="648" ht="18.75" customHeight="1" x14ac:dyDescent="0.25"/>
    <row r="649" ht="18.75" customHeight="1" x14ac:dyDescent="0.25"/>
    <row r="650" ht="18.75" customHeight="1" x14ac:dyDescent="0.25"/>
    <row r="651" ht="18.75" customHeight="1" x14ac:dyDescent="0.25"/>
    <row r="652" ht="18.75" customHeight="1" x14ac:dyDescent="0.25"/>
    <row r="653" ht="18.75" customHeight="1" x14ac:dyDescent="0.25"/>
    <row r="654" ht="18.75" customHeight="1" x14ac:dyDescent="0.25"/>
    <row r="655" ht="18.75" customHeight="1" x14ac:dyDescent="0.25"/>
    <row r="656" ht="18.75" customHeight="1" x14ac:dyDescent="0.25"/>
    <row r="657" ht="18.75" customHeight="1" x14ac:dyDescent="0.25"/>
    <row r="658" ht="18.75" customHeight="1" x14ac:dyDescent="0.25"/>
    <row r="659" ht="18.75" customHeight="1" x14ac:dyDescent="0.25"/>
    <row r="660" ht="18.75" customHeight="1" x14ac:dyDescent="0.25"/>
    <row r="661" ht="18.75" customHeight="1" x14ac:dyDescent="0.25"/>
    <row r="662" ht="18.75" customHeight="1" x14ac:dyDescent="0.25"/>
    <row r="663" ht="18.75" customHeight="1" x14ac:dyDescent="0.25"/>
    <row r="664" ht="18.75" customHeight="1" x14ac:dyDescent="0.25"/>
    <row r="665" ht="18.75" customHeight="1" x14ac:dyDescent="0.25"/>
    <row r="666" ht="18.75" customHeight="1" x14ac:dyDescent="0.25"/>
    <row r="667" ht="18.75" customHeight="1" x14ac:dyDescent="0.25"/>
    <row r="668" ht="18.75" customHeight="1" x14ac:dyDescent="0.25"/>
    <row r="669" ht="18.75" customHeight="1" x14ac:dyDescent="0.25"/>
    <row r="670" ht="18.75" customHeight="1" x14ac:dyDescent="0.25"/>
    <row r="671" ht="18.75" customHeight="1" x14ac:dyDescent="0.25"/>
    <row r="672" ht="18.75" customHeight="1" x14ac:dyDescent="0.25"/>
    <row r="673" ht="18.75" customHeight="1" x14ac:dyDescent="0.25"/>
    <row r="674" ht="18.75" customHeight="1" x14ac:dyDescent="0.25"/>
    <row r="675" ht="18.75" customHeight="1" x14ac:dyDescent="0.25"/>
    <row r="676" ht="18.75" customHeight="1" x14ac:dyDescent="0.25"/>
    <row r="677" ht="18.75" customHeight="1" x14ac:dyDescent="0.25"/>
    <row r="678" ht="18.75" customHeight="1" x14ac:dyDescent="0.25"/>
    <row r="679" ht="18.75" customHeight="1" x14ac:dyDescent="0.25"/>
    <row r="680" ht="18.75" customHeight="1" x14ac:dyDescent="0.25"/>
    <row r="681" ht="18.75" customHeight="1" x14ac:dyDescent="0.25"/>
    <row r="682" ht="18.75" customHeight="1" x14ac:dyDescent="0.25"/>
    <row r="683" ht="18.75" customHeight="1" x14ac:dyDescent="0.25"/>
    <row r="684" ht="18.75" customHeight="1" x14ac:dyDescent="0.25"/>
    <row r="685" ht="18.75" customHeight="1" x14ac:dyDescent="0.25"/>
    <row r="686" ht="18.75" customHeight="1" x14ac:dyDescent="0.25"/>
    <row r="687" ht="18.75" customHeight="1" x14ac:dyDescent="0.25"/>
    <row r="688" ht="18.75" customHeight="1" x14ac:dyDescent="0.25"/>
    <row r="689" ht="18.75" customHeight="1" x14ac:dyDescent="0.25"/>
    <row r="690" ht="18.75" customHeight="1" x14ac:dyDescent="0.25"/>
    <row r="691" ht="18.75" customHeight="1" x14ac:dyDescent="0.25"/>
    <row r="692" ht="18.75" customHeight="1" x14ac:dyDescent="0.25"/>
    <row r="693" ht="18.75" customHeight="1" x14ac:dyDescent="0.25"/>
    <row r="694" ht="18.75" customHeight="1" x14ac:dyDescent="0.25"/>
    <row r="695" ht="18.75" customHeight="1" x14ac:dyDescent="0.25"/>
    <row r="696" ht="18.75" customHeight="1" x14ac:dyDescent="0.25"/>
    <row r="697" ht="18.75" customHeight="1" x14ac:dyDescent="0.25"/>
    <row r="698" ht="18.75" customHeight="1" x14ac:dyDescent="0.25"/>
    <row r="699" ht="18.75" customHeight="1" x14ac:dyDescent="0.25"/>
    <row r="700" ht="18.75" customHeight="1" x14ac:dyDescent="0.25"/>
    <row r="701" ht="18.75" customHeight="1" x14ac:dyDescent="0.25"/>
    <row r="702" ht="18.75" customHeight="1" x14ac:dyDescent="0.25"/>
    <row r="703" ht="18.75" customHeight="1" x14ac:dyDescent="0.25"/>
    <row r="704" ht="18.75" customHeight="1" x14ac:dyDescent="0.25"/>
    <row r="705" ht="18.75" customHeight="1" x14ac:dyDescent="0.25"/>
    <row r="706" ht="18.75" customHeight="1" x14ac:dyDescent="0.25"/>
    <row r="707" ht="18.75" customHeight="1" x14ac:dyDescent="0.25"/>
    <row r="708" ht="18.75" customHeight="1" x14ac:dyDescent="0.25"/>
    <row r="709" ht="18.75" customHeight="1" x14ac:dyDescent="0.25"/>
    <row r="710" ht="18.75" customHeight="1" x14ac:dyDescent="0.25"/>
    <row r="711" ht="18.75" customHeight="1" x14ac:dyDescent="0.25"/>
    <row r="712" ht="18.75" customHeight="1" x14ac:dyDescent="0.25"/>
    <row r="713" ht="18.75" customHeight="1" x14ac:dyDescent="0.25"/>
    <row r="714" ht="18.75" customHeight="1" x14ac:dyDescent="0.25"/>
    <row r="715" ht="18.75" customHeight="1" x14ac:dyDescent="0.25"/>
    <row r="716" ht="18.75" customHeight="1" x14ac:dyDescent="0.25"/>
    <row r="717" ht="18.75" customHeight="1" x14ac:dyDescent="0.25"/>
    <row r="718" ht="18.75" customHeight="1" x14ac:dyDescent="0.25"/>
    <row r="719" ht="18.75" customHeight="1" x14ac:dyDescent="0.25"/>
    <row r="720" ht="18.75" customHeight="1" x14ac:dyDescent="0.25"/>
    <row r="721" ht="18.75" customHeight="1" x14ac:dyDescent="0.25"/>
    <row r="722" ht="18.75" customHeight="1" x14ac:dyDescent="0.25"/>
    <row r="723" ht="18.75" customHeight="1" x14ac:dyDescent="0.25"/>
    <row r="724" ht="18.75" customHeight="1" x14ac:dyDescent="0.25"/>
    <row r="725" ht="18.75" customHeight="1" x14ac:dyDescent="0.25"/>
    <row r="726" ht="18.75" customHeight="1" x14ac:dyDescent="0.25"/>
    <row r="727" ht="18.75" customHeight="1" x14ac:dyDescent="0.25"/>
    <row r="728" ht="18.75" customHeight="1" x14ac:dyDescent="0.25"/>
    <row r="729" ht="18.75" customHeight="1" x14ac:dyDescent="0.25"/>
    <row r="730" ht="18.75" customHeight="1" x14ac:dyDescent="0.25"/>
    <row r="731" ht="18.75" customHeight="1" x14ac:dyDescent="0.25"/>
    <row r="732" ht="18.75" customHeight="1" x14ac:dyDescent="0.25"/>
    <row r="733" ht="18.75" customHeight="1" x14ac:dyDescent="0.25"/>
    <row r="734" ht="18.75" customHeight="1" x14ac:dyDescent="0.25"/>
    <row r="735" ht="18.75" customHeight="1" x14ac:dyDescent="0.25"/>
    <row r="736" ht="18.75" customHeight="1" x14ac:dyDescent="0.25"/>
    <row r="737" ht="18.75" customHeight="1" x14ac:dyDescent="0.25"/>
    <row r="738" ht="18.75" customHeight="1" x14ac:dyDescent="0.25"/>
    <row r="739" ht="18.75" customHeight="1" x14ac:dyDescent="0.25"/>
    <row r="740" ht="18.75" customHeight="1" x14ac:dyDescent="0.25"/>
    <row r="741" ht="18.75" customHeight="1" x14ac:dyDescent="0.25"/>
    <row r="742" ht="18.75" customHeight="1" x14ac:dyDescent="0.25"/>
    <row r="743" ht="18.75" customHeight="1" x14ac:dyDescent="0.25"/>
    <row r="744" ht="18.75" customHeight="1" x14ac:dyDescent="0.25"/>
    <row r="745" ht="18.75" customHeight="1" x14ac:dyDescent="0.25"/>
    <row r="746" ht="18.75" customHeight="1" x14ac:dyDescent="0.25"/>
    <row r="747" ht="18.75" customHeight="1" x14ac:dyDescent="0.25"/>
    <row r="748" ht="18.75" customHeight="1" x14ac:dyDescent="0.25"/>
    <row r="749" ht="18.75" customHeight="1" x14ac:dyDescent="0.25"/>
    <row r="750" ht="18.75" customHeight="1" x14ac:dyDescent="0.25"/>
    <row r="751" ht="18.75" customHeight="1" x14ac:dyDescent="0.25"/>
    <row r="752" ht="18.75" customHeight="1" x14ac:dyDescent="0.25"/>
    <row r="753" ht="18.75" customHeight="1" x14ac:dyDescent="0.25"/>
    <row r="754" ht="18.75" customHeight="1" x14ac:dyDescent="0.25"/>
    <row r="755" ht="18.75" customHeight="1" x14ac:dyDescent="0.25"/>
    <row r="756" ht="18.75" customHeight="1" x14ac:dyDescent="0.25"/>
    <row r="757" ht="18.75" customHeight="1" x14ac:dyDescent="0.25"/>
    <row r="758" ht="18.75" customHeight="1" x14ac:dyDescent="0.25"/>
    <row r="759" ht="18.75" customHeight="1" x14ac:dyDescent="0.25"/>
    <row r="760" ht="18.75" customHeight="1" x14ac:dyDescent="0.25"/>
    <row r="761" ht="18.75" customHeight="1" x14ac:dyDescent="0.25"/>
    <row r="762" ht="18.75" customHeight="1" x14ac:dyDescent="0.25"/>
    <row r="763" ht="18.75" customHeight="1" x14ac:dyDescent="0.25"/>
    <row r="764" ht="18.75" customHeight="1" x14ac:dyDescent="0.25"/>
    <row r="765" ht="18.75" customHeight="1" x14ac:dyDescent="0.25"/>
    <row r="766" ht="18.75" customHeight="1" x14ac:dyDescent="0.25"/>
    <row r="767" ht="18.75" customHeight="1" x14ac:dyDescent="0.25"/>
    <row r="768" ht="18.75" customHeight="1" x14ac:dyDescent="0.25"/>
    <row r="769" ht="18.75" customHeight="1" x14ac:dyDescent="0.25"/>
    <row r="770" ht="18.75" customHeight="1" x14ac:dyDescent="0.25"/>
    <row r="771" ht="18.75" customHeight="1" x14ac:dyDescent="0.25"/>
    <row r="772" ht="18.75" customHeight="1" x14ac:dyDescent="0.25"/>
    <row r="773" ht="18.75" customHeight="1" x14ac:dyDescent="0.25"/>
    <row r="774" ht="18.75" customHeight="1" x14ac:dyDescent="0.25"/>
    <row r="775" ht="18.75" customHeight="1" x14ac:dyDescent="0.25"/>
    <row r="776" ht="18.75" customHeight="1" x14ac:dyDescent="0.25"/>
    <row r="777" ht="18.75" customHeight="1" x14ac:dyDescent="0.25"/>
    <row r="778" ht="18.75" customHeight="1" x14ac:dyDescent="0.25"/>
    <row r="779" ht="18.75" customHeight="1" x14ac:dyDescent="0.25"/>
    <row r="780" ht="18.75" customHeight="1" x14ac:dyDescent="0.25"/>
    <row r="781" ht="18.75" customHeight="1" x14ac:dyDescent="0.25"/>
    <row r="782" ht="18.75" customHeight="1" x14ac:dyDescent="0.25"/>
    <row r="783" ht="18.75" customHeight="1" x14ac:dyDescent="0.25"/>
    <row r="784" ht="18.75" customHeight="1" x14ac:dyDescent="0.25"/>
    <row r="785" ht="18.75" customHeight="1" x14ac:dyDescent="0.25"/>
    <row r="786" ht="18.75" customHeight="1" x14ac:dyDescent="0.25"/>
    <row r="787" ht="18.75" customHeight="1" x14ac:dyDescent="0.25"/>
    <row r="788" ht="18.75" customHeight="1" x14ac:dyDescent="0.25"/>
    <row r="789" ht="18.75" customHeight="1" x14ac:dyDescent="0.25"/>
    <row r="790" ht="18.75" customHeight="1" x14ac:dyDescent="0.25"/>
    <row r="791" ht="18.75" customHeight="1" x14ac:dyDescent="0.25"/>
    <row r="792" ht="18.75" customHeight="1" x14ac:dyDescent="0.25"/>
    <row r="793" ht="18.75" customHeight="1" x14ac:dyDescent="0.25"/>
    <row r="794" ht="18.75" customHeight="1" x14ac:dyDescent="0.25"/>
    <row r="795" ht="18.75" customHeight="1" x14ac:dyDescent="0.25"/>
    <row r="796" ht="18.75" customHeight="1" x14ac:dyDescent="0.25"/>
    <row r="797" ht="18.75" customHeight="1" x14ac:dyDescent="0.25"/>
    <row r="798" ht="18.75" customHeight="1" x14ac:dyDescent="0.25"/>
    <row r="799" ht="18.75" customHeight="1" x14ac:dyDescent="0.25"/>
    <row r="800" ht="18.75" customHeight="1" x14ac:dyDescent="0.25"/>
    <row r="801" ht="18.75" customHeight="1" x14ac:dyDescent="0.25"/>
    <row r="802" ht="18.75" customHeight="1" x14ac:dyDescent="0.25"/>
    <row r="803" ht="18.75" customHeight="1" x14ac:dyDescent="0.25"/>
    <row r="804" ht="18.75" customHeight="1" x14ac:dyDescent="0.25"/>
    <row r="805" ht="18.75" customHeight="1" x14ac:dyDescent="0.25"/>
    <row r="806" ht="18.75" customHeight="1" x14ac:dyDescent="0.25"/>
    <row r="807" ht="18.75" customHeight="1" x14ac:dyDescent="0.25"/>
    <row r="808" ht="18.75" customHeight="1" x14ac:dyDescent="0.25"/>
    <row r="809" ht="18.75" customHeight="1" x14ac:dyDescent="0.25"/>
    <row r="810" ht="18.75" customHeight="1" x14ac:dyDescent="0.25"/>
    <row r="811" ht="18.75" customHeight="1" x14ac:dyDescent="0.25"/>
    <row r="812" ht="18.75" customHeight="1" x14ac:dyDescent="0.25"/>
    <row r="813" ht="18.75" customHeight="1" x14ac:dyDescent="0.25"/>
    <row r="814" ht="18.75" customHeight="1" x14ac:dyDescent="0.25"/>
    <row r="815" ht="18.75" customHeight="1" x14ac:dyDescent="0.25"/>
    <row r="816" ht="18.75" customHeight="1" x14ac:dyDescent="0.25"/>
    <row r="817" ht="18.75" customHeight="1" x14ac:dyDescent="0.25"/>
    <row r="818" ht="18.75" customHeight="1" x14ac:dyDescent="0.25"/>
    <row r="819" ht="18.75" customHeight="1" x14ac:dyDescent="0.25"/>
    <row r="820" ht="18.75" customHeight="1" x14ac:dyDescent="0.25"/>
    <row r="821" ht="18.75" customHeight="1" x14ac:dyDescent="0.25"/>
    <row r="822" ht="18.75" customHeight="1" x14ac:dyDescent="0.25"/>
    <row r="823" ht="18.75" customHeight="1" x14ac:dyDescent="0.25"/>
    <row r="824" ht="18.75" customHeight="1" x14ac:dyDescent="0.25"/>
    <row r="825" ht="18.75" customHeight="1" x14ac:dyDescent="0.25"/>
    <row r="826" ht="18.75" customHeight="1" x14ac:dyDescent="0.25"/>
    <row r="827" ht="18.75" customHeight="1" x14ac:dyDescent="0.25"/>
    <row r="828" ht="18.75" customHeight="1" x14ac:dyDescent="0.25"/>
    <row r="829" ht="18.75" customHeight="1" x14ac:dyDescent="0.25"/>
    <row r="830" ht="18.75" customHeight="1" x14ac:dyDescent="0.25"/>
    <row r="831" ht="18.75" customHeight="1" x14ac:dyDescent="0.25"/>
    <row r="832" ht="18.75" customHeight="1" x14ac:dyDescent="0.25"/>
    <row r="833" ht="18.75" customHeight="1" x14ac:dyDescent="0.25"/>
    <row r="834" ht="18.75" customHeight="1" x14ac:dyDescent="0.25"/>
    <row r="835" ht="18.75" customHeight="1" x14ac:dyDescent="0.25"/>
    <row r="836" ht="18.75" customHeight="1" x14ac:dyDescent="0.25"/>
    <row r="837" ht="18.75" customHeight="1" x14ac:dyDescent="0.25"/>
    <row r="838" ht="18.75" customHeight="1" x14ac:dyDescent="0.25"/>
    <row r="839" ht="18.75" customHeight="1" x14ac:dyDescent="0.25"/>
    <row r="840" ht="18.75" customHeight="1" x14ac:dyDescent="0.25"/>
    <row r="841" ht="18.75" customHeight="1" x14ac:dyDescent="0.25"/>
    <row r="842" ht="18.75" customHeight="1" x14ac:dyDescent="0.25"/>
    <row r="843" ht="18.75" customHeight="1" x14ac:dyDescent="0.25"/>
    <row r="844" ht="18.75" customHeight="1" x14ac:dyDescent="0.25"/>
    <row r="845" ht="18.75" customHeight="1" x14ac:dyDescent="0.25"/>
    <row r="846" ht="18.75" customHeight="1" x14ac:dyDescent="0.25"/>
    <row r="847" ht="18.75" customHeight="1" x14ac:dyDescent="0.25"/>
    <row r="848" ht="18.75" customHeight="1" x14ac:dyDescent="0.25"/>
    <row r="849" ht="18.75" customHeight="1" x14ac:dyDescent="0.25"/>
    <row r="850" ht="18.75" customHeight="1" x14ac:dyDescent="0.25"/>
    <row r="851" ht="18.75" customHeight="1" x14ac:dyDescent="0.25"/>
    <row r="852" ht="18.75" customHeight="1" x14ac:dyDescent="0.25"/>
    <row r="853" ht="18.75" customHeight="1" x14ac:dyDescent="0.25"/>
    <row r="854" ht="18.75" customHeight="1" x14ac:dyDescent="0.25"/>
    <row r="855" ht="18.75" customHeight="1" x14ac:dyDescent="0.25"/>
    <row r="856" ht="18.75" customHeight="1" x14ac:dyDescent="0.25"/>
    <row r="857" ht="18.75" customHeight="1" x14ac:dyDescent="0.25"/>
    <row r="858" ht="18.75" customHeight="1" x14ac:dyDescent="0.25"/>
    <row r="859" ht="18.75" customHeight="1" x14ac:dyDescent="0.25"/>
    <row r="860" ht="18.75" customHeight="1" x14ac:dyDescent="0.25"/>
    <row r="861" ht="18.75" customHeight="1" x14ac:dyDescent="0.25"/>
    <row r="862" ht="18.75" customHeight="1" x14ac:dyDescent="0.25"/>
    <row r="863" ht="18.75" customHeight="1" x14ac:dyDescent="0.25"/>
    <row r="864" ht="18.75" customHeight="1" x14ac:dyDescent="0.25"/>
    <row r="865" ht="18.75" customHeight="1" x14ac:dyDescent="0.25"/>
    <row r="866" ht="18.75" customHeight="1" x14ac:dyDescent="0.25"/>
    <row r="867" ht="18.75" customHeight="1" x14ac:dyDescent="0.25"/>
    <row r="868" ht="18.75" customHeight="1" x14ac:dyDescent="0.25"/>
    <row r="869" ht="18.75" customHeight="1" x14ac:dyDescent="0.25"/>
    <row r="870" ht="18.75" customHeight="1" x14ac:dyDescent="0.25"/>
    <row r="871" ht="18.75" customHeight="1" x14ac:dyDescent="0.25"/>
    <row r="872" ht="18.75" customHeight="1" x14ac:dyDescent="0.25"/>
    <row r="873" ht="18.75" customHeight="1" x14ac:dyDescent="0.25"/>
    <row r="874" ht="18.75" customHeight="1" x14ac:dyDescent="0.25"/>
    <row r="875" ht="18.75" customHeight="1" x14ac:dyDescent="0.25"/>
    <row r="876" ht="18.75" customHeight="1" x14ac:dyDescent="0.25"/>
    <row r="877" ht="18.75" customHeight="1" x14ac:dyDescent="0.25"/>
    <row r="878" ht="18.75" customHeight="1" x14ac:dyDescent="0.25"/>
    <row r="879" ht="18.75" customHeight="1" x14ac:dyDescent="0.25"/>
    <row r="880" ht="18.75" customHeight="1" x14ac:dyDescent="0.25"/>
    <row r="881" ht="18.75" customHeight="1" x14ac:dyDescent="0.25"/>
    <row r="882" ht="18.75" customHeight="1" x14ac:dyDescent="0.25"/>
    <row r="883" ht="18.75" customHeight="1" x14ac:dyDescent="0.25"/>
    <row r="884" ht="18.75" customHeight="1" x14ac:dyDescent="0.25"/>
    <row r="885" ht="18.75" customHeight="1" x14ac:dyDescent="0.25"/>
    <row r="886" ht="18.75" customHeight="1" x14ac:dyDescent="0.25"/>
    <row r="887" ht="18.75" customHeight="1" x14ac:dyDescent="0.25"/>
    <row r="888" ht="18.75" customHeight="1" x14ac:dyDescent="0.25"/>
    <row r="889" ht="18.75" customHeight="1" x14ac:dyDescent="0.25"/>
    <row r="890" ht="18.75" customHeight="1" x14ac:dyDescent="0.25"/>
    <row r="891" ht="18.75" customHeight="1" x14ac:dyDescent="0.25"/>
    <row r="892" ht="18.75" customHeight="1" x14ac:dyDescent="0.25"/>
    <row r="893" ht="18.75" customHeight="1" x14ac:dyDescent="0.25"/>
    <row r="894" ht="18.75" customHeight="1" x14ac:dyDescent="0.25"/>
    <row r="895" ht="18.75" customHeight="1" x14ac:dyDescent="0.25"/>
    <row r="896" ht="18.75" customHeight="1" x14ac:dyDescent="0.25"/>
    <row r="897" ht="18.75" customHeight="1" x14ac:dyDescent="0.25"/>
    <row r="898" ht="18.75" customHeight="1" x14ac:dyDescent="0.25"/>
    <row r="899" ht="18.75" customHeight="1" x14ac:dyDescent="0.25"/>
    <row r="900" ht="18.75" customHeight="1" x14ac:dyDescent="0.25"/>
    <row r="901" ht="18.75" customHeight="1" x14ac:dyDescent="0.25"/>
    <row r="902" ht="18.75" customHeight="1" x14ac:dyDescent="0.25"/>
    <row r="903" ht="18.75" customHeight="1" x14ac:dyDescent="0.25"/>
    <row r="904" ht="18.75" customHeight="1" x14ac:dyDescent="0.25"/>
    <row r="905" ht="18.75" customHeight="1" x14ac:dyDescent="0.25"/>
    <row r="906" ht="18.75" customHeight="1" x14ac:dyDescent="0.25"/>
    <row r="907" ht="18.75" customHeight="1" x14ac:dyDescent="0.25"/>
    <row r="908" ht="18.75" customHeight="1" x14ac:dyDescent="0.25"/>
    <row r="909" ht="18.75" customHeight="1" x14ac:dyDescent="0.25"/>
    <row r="910" ht="18.75" customHeight="1" x14ac:dyDescent="0.25"/>
    <row r="911" ht="18.75" customHeight="1" x14ac:dyDescent="0.25"/>
    <row r="912" ht="18.75" customHeight="1" x14ac:dyDescent="0.25"/>
    <row r="913" ht="18.75" customHeight="1" x14ac:dyDescent="0.25"/>
    <row r="914" ht="18.75" customHeight="1" x14ac:dyDescent="0.25"/>
    <row r="915" ht="18.75" customHeight="1" x14ac:dyDescent="0.25"/>
    <row r="916" ht="18.75" customHeight="1" x14ac:dyDescent="0.25"/>
    <row r="917" ht="18.75" customHeight="1" x14ac:dyDescent="0.25"/>
    <row r="918" ht="18.75" customHeight="1" x14ac:dyDescent="0.25"/>
    <row r="919" ht="18.75" customHeight="1" x14ac:dyDescent="0.25"/>
    <row r="920" ht="18.75" customHeight="1" x14ac:dyDescent="0.25"/>
    <row r="921" ht="18.75" customHeight="1" x14ac:dyDescent="0.25"/>
    <row r="922" ht="18.75" customHeight="1" x14ac:dyDescent="0.25"/>
    <row r="923" ht="18.75" customHeight="1" x14ac:dyDescent="0.25"/>
    <row r="924" ht="18.75" customHeight="1" x14ac:dyDescent="0.25"/>
    <row r="925" ht="18.75" customHeight="1" x14ac:dyDescent="0.25"/>
    <row r="926" ht="18.75" customHeight="1" x14ac:dyDescent="0.25"/>
    <row r="927" ht="18.75" customHeight="1" x14ac:dyDescent="0.25"/>
    <row r="928" ht="18.75" customHeight="1" x14ac:dyDescent="0.25"/>
    <row r="929" ht="18.75" customHeight="1" x14ac:dyDescent="0.25"/>
    <row r="930" ht="18.75" customHeight="1" x14ac:dyDescent="0.25"/>
    <row r="931" ht="18.75" customHeight="1" x14ac:dyDescent="0.25"/>
    <row r="932" ht="18.75" customHeight="1" x14ac:dyDescent="0.25"/>
    <row r="933" ht="18.75" customHeight="1" x14ac:dyDescent="0.25"/>
    <row r="934" ht="18.75" customHeight="1" x14ac:dyDescent="0.25"/>
    <row r="935" ht="18.75" customHeight="1" x14ac:dyDescent="0.25"/>
    <row r="936" ht="18.75" customHeight="1" x14ac:dyDescent="0.25"/>
    <row r="937" ht="18.75" customHeight="1" x14ac:dyDescent="0.25"/>
    <row r="938" ht="18.75" customHeight="1" x14ac:dyDescent="0.25"/>
    <row r="939" ht="18.75" customHeight="1" x14ac:dyDescent="0.25"/>
    <row r="940" ht="18.75" customHeight="1" x14ac:dyDescent="0.25"/>
    <row r="941" ht="18.75" customHeight="1" x14ac:dyDescent="0.25"/>
    <row r="942" ht="18.75" customHeight="1" x14ac:dyDescent="0.25"/>
    <row r="943" ht="18.75" customHeight="1" x14ac:dyDescent="0.25"/>
    <row r="944" ht="18.75" customHeight="1" x14ac:dyDescent="0.25"/>
    <row r="945" ht="18.75" customHeight="1" x14ac:dyDescent="0.25"/>
    <row r="946" ht="18.75" customHeight="1" x14ac:dyDescent="0.25"/>
    <row r="947" ht="18.75" customHeight="1" x14ac:dyDescent="0.25"/>
    <row r="948" ht="18.75" customHeight="1" x14ac:dyDescent="0.25"/>
    <row r="949" ht="18.75" customHeight="1" x14ac:dyDescent="0.25"/>
    <row r="950" ht="18.75" customHeight="1" x14ac:dyDescent="0.25"/>
    <row r="951" ht="18.75" customHeight="1" x14ac:dyDescent="0.25"/>
    <row r="952" ht="18.75" customHeight="1" x14ac:dyDescent="0.25"/>
    <row r="953" ht="18.75" customHeight="1" x14ac:dyDescent="0.25"/>
    <row r="954" ht="18.75" customHeight="1" x14ac:dyDescent="0.25"/>
    <row r="955" ht="18.75" customHeight="1" x14ac:dyDescent="0.25"/>
    <row r="956" ht="18.75" customHeight="1" x14ac:dyDescent="0.25"/>
    <row r="957" ht="18.75" customHeight="1" x14ac:dyDescent="0.25"/>
    <row r="958" ht="18.75" customHeight="1" x14ac:dyDescent="0.25"/>
    <row r="959" ht="18.75" customHeight="1" x14ac:dyDescent="0.25"/>
    <row r="960" ht="18.75" customHeight="1" x14ac:dyDescent="0.25"/>
    <row r="961" ht="18.75" customHeight="1" x14ac:dyDescent="0.25"/>
    <row r="962" ht="18.75" customHeight="1" x14ac:dyDescent="0.25"/>
    <row r="963" ht="18.75" customHeight="1" x14ac:dyDescent="0.25"/>
    <row r="964" ht="18.75" customHeight="1" x14ac:dyDescent="0.25"/>
    <row r="965" ht="18.75" customHeight="1" x14ac:dyDescent="0.25"/>
    <row r="966" ht="18.75" customHeight="1" x14ac:dyDescent="0.25"/>
    <row r="967" ht="18.75" customHeight="1" x14ac:dyDescent="0.25"/>
    <row r="968" ht="18.75" customHeight="1" x14ac:dyDescent="0.25"/>
    <row r="969" ht="18.75" customHeight="1" x14ac:dyDescent="0.25"/>
    <row r="970" ht="18.75" customHeight="1" x14ac:dyDescent="0.25"/>
    <row r="971" ht="18.75" customHeight="1" x14ac:dyDescent="0.25"/>
    <row r="972" ht="18.75" customHeight="1" x14ac:dyDescent="0.25"/>
    <row r="973" ht="18.75" customHeight="1" x14ac:dyDescent="0.25"/>
    <row r="974" ht="18.75" customHeight="1" x14ac:dyDescent="0.25"/>
    <row r="975" ht="18.75" customHeight="1" x14ac:dyDescent="0.25"/>
    <row r="976" ht="18.75" customHeight="1" x14ac:dyDescent="0.25"/>
    <row r="977" ht="18.75" customHeight="1" x14ac:dyDescent="0.25"/>
    <row r="978" ht="18.75" customHeight="1" x14ac:dyDescent="0.25"/>
    <row r="979" ht="18.75" customHeight="1" x14ac:dyDescent="0.25"/>
    <row r="980" ht="18.75" customHeight="1" x14ac:dyDescent="0.25"/>
    <row r="981" ht="18.75" customHeight="1" x14ac:dyDescent="0.25"/>
    <row r="982" ht="18.75" customHeight="1" x14ac:dyDescent="0.25"/>
    <row r="983" ht="18.75" customHeight="1" x14ac:dyDescent="0.25"/>
    <row r="984" ht="18.75" customHeight="1" x14ac:dyDescent="0.25"/>
    <row r="985" ht="18.75" customHeight="1" x14ac:dyDescent="0.25"/>
    <row r="986" ht="18.75" customHeight="1" x14ac:dyDescent="0.25"/>
    <row r="987" ht="18.75" customHeight="1" x14ac:dyDescent="0.25"/>
    <row r="988" ht="18.75" customHeight="1" x14ac:dyDescent="0.25"/>
    <row r="989" ht="18.75" customHeight="1" x14ac:dyDescent="0.25"/>
    <row r="990" ht="18.75" customHeight="1" x14ac:dyDescent="0.25"/>
    <row r="991" ht="18.75" customHeight="1" x14ac:dyDescent="0.25"/>
    <row r="992" ht="18.75" customHeight="1" x14ac:dyDescent="0.25"/>
    <row r="993" ht="18.75" customHeight="1" x14ac:dyDescent="0.25"/>
    <row r="994" ht="18.75" customHeight="1" x14ac:dyDescent="0.25"/>
    <row r="995" ht="18.75" customHeight="1" x14ac:dyDescent="0.25"/>
    <row r="996" ht="18.75" customHeight="1" x14ac:dyDescent="0.25"/>
    <row r="997" ht="18.75" customHeight="1" x14ac:dyDescent="0.25"/>
    <row r="998" ht="18.75" customHeight="1" x14ac:dyDescent="0.25"/>
    <row r="999" ht="18.75" customHeight="1" x14ac:dyDescent="0.25"/>
    <row r="1000" ht="18.75" customHeight="1" x14ac:dyDescent="0.25"/>
  </sheetData>
  <autoFilter ref="A1:H1" xr:uid="{00000000-0009-0000-0000-000000000000}"/>
  <phoneticPr fontId="9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80"/>
  <sheetViews>
    <sheetView tabSelected="1" workbookViewId="0">
      <pane xSplit="3" ySplit="1" topLeftCell="D116" activePane="bottomRight" state="frozen"/>
      <selection pane="topRight" activeCell="D1" sqref="D1"/>
      <selection pane="bottomLeft" activeCell="A2" sqref="A2"/>
      <selection pane="bottomRight" activeCell="L119" sqref="L119"/>
    </sheetView>
  </sheetViews>
  <sheetFormatPr defaultColWidth="14.42578125" defaultRowHeight="15" customHeight="1" x14ac:dyDescent="0.25"/>
  <cols>
    <col min="1" max="1" width="9" style="26" customWidth="1"/>
    <col min="2" max="2" width="19.140625" style="26" customWidth="1"/>
    <col min="3" max="3" width="4.42578125" style="26" customWidth="1"/>
    <col min="4" max="5" width="19.140625" style="26" customWidth="1"/>
    <col min="6" max="7" width="35.85546875" style="26" customWidth="1"/>
    <col min="8" max="9" width="15" style="26" customWidth="1"/>
    <col min="10" max="10" width="4" style="26" customWidth="1"/>
    <col min="11" max="11" width="3.85546875" style="26" customWidth="1"/>
    <col min="12" max="12" width="11.42578125" style="26" customWidth="1"/>
    <col min="13" max="13" width="14.140625" style="26" customWidth="1"/>
    <col min="14" max="14" width="8.42578125" style="26" customWidth="1"/>
    <col min="15" max="15" width="7.7109375" style="26" customWidth="1"/>
    <col min="16" max="16" width="27.28515625" style="26" customWidth="1"/>
    <col min="17" max="17" width="23.42578125" style="26" customWidth="1"/>
    <col min="18" max="20" width="13" style="26" customWidth="1"/>
    <col min="21" max="21" width="84.42578125" style="26" customWidth="1"/>
    <col min="22" max="26" width="8.7109375" style="26" customWidth="1"/>
    <col min="27" max="16384" width="14.42578125" style="26"/>
  </cols>
  <sheetData>
    <row r="1" spans="1:21" ht="18.75" customHeight="1" x14ac:dyDescent="0.25">
      <c r="A1" s="24" t="s">
        <v>0</v>
      </c>
      <c r="B1" s="24" t="s">
        <v>32</v>
      </c>
      <c r="C1" s="25" t="s">
        <v>1</v>
      </c>
      <c r="D1" s="25" t="s">
        <v>2</v>
      </c>
      <c r="E1" s="25" t="s">
        <v>3</v>
      </c>
      <c r="F1" s="25" t="s">
        <v>33</v>
      </c>
      <c r="G1" s="25" t="s">
        <v>34</v>
      </c>
      <c r="H1" s="25" t="s">
        <v>35</v>
      </c>
      <c r="I1" s="25" t="s">
        <v>36</v>
      </c>
      <c r="J1" s="25" t="s">
        <v>37</v>
      </c>
      <c r="K1" s="25" t="s">
        <v>38</v>
      </c>
      <c r="L1" s="24" t="s">
        <v>39</v>
      </c>
      <c r="M1" s="25" t="s">
        <v>40</v>
      </c>
      <c r="N1" s="25" t="s">
        <v>41</v>
      </c>
      <c r="O1" s="25" t="s">
        <v>42</v>
      </c>
      <c r="P1" s="25" t="s">
        <v>43</v>
      </c>
      <c r="Q1" s="25" t="s">
        <v>6</v>
      </c>
      <c r="R1" s="24" t="s">
        <v>44</v>
      </c>
      <c r="S1" s="24" t="s">
        <v>45</v>
      </c>
      <c r="T1" s="24" t="s">
        <v>46</v>
      </c>
      <c r="U1" s="25" t="s">
        <v>7</v>
      </c>
    </row>
    <row r="2" spans="1:21" ht="18.75" customHeight="1" x14ac:dyDescent="0.25">
      <c r="A2" s="24" t="s">
        <v>47</v>
      </c>
      <c r="B2" s="24" t="str">
        <f t="shared" ref="B2:B244" si="0">D2&amp;"_"&amp;F2</f>
        <v>vtuber_profiles_uuid</v>
      </c>
      <c r="C2" s="25">
        <f t="shared" ref="C2:C244" si="1">ROW()-1</f>
        <v>1</v>
      </c>
      <c r="D2" s="22" t="s">
        <v>48</v>
      </c>
      <c r="E2" s="22" t="s">
        <v>49</v>
      </c>
      <c r="F2" s="22" t="s">
        <v>50</v>
      </c>
      <c r="G2" s="22" t="s">
        <v>51</v>
      </c>
      <c r="H2" s="22" t="s">
        <v>50</v>
      </c>
      <c r="I2" s="22">
        <f>_xlfn.LET(
    _xlpm.可変bit数,--MID(H2,FIND("(",H2)+1,FIND(")",H2)-FIND("(",H2)-1),
    _xlfn.XLOOKUP(
        $H2,
        型とバイト数!$B$3:$B$53,
        型とバイト数!$E$3:$E$53,
        IF(LEFT($H2,7)="varchar",_xlpm.可変bit数*8,
            IF(LEFT($H2,3)="bit",_xlpm.可変bit数,"???"))
    )
)</f>
        <v>128</v>
      </c>
      <c r="J2" s="22" t="s">
        <v>52</v>
      </c>
      <c r="K2" s="22"/>
      <c r="L2" s="24"/>
      <c r="M2" s="22" t="str">
        <f>IF(K2="","",IF(L2="","参照先未定義",_xlfn.XLOOKUP(L2,B:B,C:C,"エラー")))</f>
        <v/>
      </c>
      <c r="N2" s="22" t="s">
        <v>52</v>
      </c>
      <c r="O2" s="22" t="s">
        <v>52</v>
      </c>
      <c r="P2" s="22" t="s">
        <v>53</v>
      </c>
      <c r="Q2" s="22"/>
      <c r="R2" s="24"/>
      <c r="S2" s="24"/>
      <c r="T2" s="24"/>
      <c r="U2" s="22"/>
    </row>
    <row r="3" spans="1:21" ht="18.75" customHeight="1" x14ac:dyDescent="0.25">
      <c r="A3" s="24" t="s">
        <v>47</v>
      </c>
      <c r="B3" s="24" t="str">
        <f t="shared" si="0"/>
        <v>vtuber_profiles_vtuber_profiles_id</v>
      </c>
      <c r="C3" s="25">
        <f t="shared" si="1"/>
        <v>2</v>
      </c>
      <c r="D3" s="22" t="str">
        <f t="shared" ref="D3:E3" si="2">D2</f>
        <v>vtuber_profiles</v>
      </c>
      <c r="E3" s="22" t="str">
        <f t="shared" si="2"/>
        <v>Vtuberプロフィール</v>
      </c>
      <c r="F3" s="22" t="s">
        <v>54</v>
      </c>
      <c r="G3" s="22" t="s">
        <v>55</v>
      </c>
      <c r="H3" s="22" t="s">
        <v>56</v>
      </c>
      <c r="I3" s="22">
        <f>_xlfn.LET(
    _xlpm.可変bit数,--MID(H3,FIND("(",H3)+1,FIND(")",H3)-FIND("(",H3)-1),
    _xlfn.XLOOKUP(
        $H3,
        型とバイト数!$B$3:$B$53,
        型とバイト数!$E$3:$E$53,
        IF(LEFT($H3,7)="varchar",_xlpm.可変bit数*8,
            IF(LEFT($H3,3)="bit",_xlpm.可変bit数,"???"))
    )
)</f>
        <v>64</v>
      </c>
      <c r="J3" s="22" t="s">
        <v>52</v>
      </c>
      <c r="K3" s="22"/>
      <c r="L3" s="24"/>
      <c r="M3" s="22" t="str">
        <f>IF(K3="","",IF(L3="","参照先未定義",_xlfn.XLOOKUP(L3,B:B,C:C,"エラー")))</f>
        <v/>
      </c>
      <c r="N3" s="22" t="s">
        <v>52</v>
      </c>
      <c r="O3" s="22" t="s">
        <v>52</v>
      </c>
      <c r="P3" s="22"/>
      <c r="Q3" s="22" t="s">
        <v>57</v>
      </c>
      <c r="R3" s="24"/>
      <c r="S3" s="24"/>
      <c r="T3" s="24"/>
      <c r="U3" s="22" t="s">
        <v>58</v>
      </c>
    </row>
    <row r="4" spans="1:21" ht="18.75" customHeight="1" x14ac:dyDescent="0.25">
      <c r="A4" s="24" t="s">
        <v>47</v>
      </c>
      <c r="B4" s="24" t="str">
        <f t="shared" si="0"/>
        <v>vtuber_profiles_user_id</v>
      </c>
      <c r="C4" s="25">
        <f t="shared" si="1"/>
        <v>3</v>
      </c>
      <c r="D4" s="22" t="str">
        <f t="shared" ref="D4:E5" si="3">D3</f>
        <v>vtuber_profiles</v>
      </c>
      <c r="E4" s="22" t="str">
        <f t="shared" si="3"/>
        <v>Vtuberプロフィール</v>
      </c>
      <c r="F4" s="22" t="s">
        <v>59</v>
      </c>
      <c r="G4" s="22" t="s">
        <v>60</v>
      </c>
      <c r="H4" s="22" t="s">
        <v>56</v>
      </c>
      <c r="I4" s="22">
        <f>_xlfn.LET(
    _xlpm.可変bit数,--MID(H4,FIND("(",H4)+1,FIND(")",H4)-FIND("(",H4)-1),
    _xlfn.XLOOKUP(
        $H4,
        型とバイト数!$B$3:$B$53,
        型とバイト数!$E$3:$E$53,
        IF(LEFT($H4,7)="varchar",_xlpm.可変bit数*8,
            IF(LEFT($H4,3)="bit",_xlpm.可変bit数,"???"))
    )
)</f>
        <v>64</v>
      </c>
      <c r="J4" s="22"/>
      <c r="K4" s="22" t="s">
        <v>52</v>
      </c>
      <c r="L4" s="24" t="s">
        <v>61</v>
      </c>
      <c r="M4" s="22">
        <f>IF(K4="","",IF(L4="","参照先未定義",_xlfn.XLOOKUP(L4,B:B,C:C,"エラー")))</f>
        <v>186</v>
      </c>
      <c r="N4" s="22"/>
      <c r="O4" s="22" t="s">
        <v>52</v>
      </c>
      <c r="P4" s="22"/>
      <c r="Q4" s="22" t="s">
        <v>62</v>
      </c>
      <c r="R4" s="24"/>
      <c r="S4" s="24"/>
      <c r="T4" s="24"/>
      <c r="U4" s="22"/>
    </row>
    <row r="5" spans="1:21" ht="18.75" customHeight="1" x14ac:dyDescent="0.25">
      <c r="A5" s="24" t="s">
        <v>47</v>
      </c>
      <c r="B5" s="24" t="str">
        <f t="shared" si="0"/>
        <v>vtuber_profiles_name</v>
      </c>
      <c r="C5" s="25">
        <f t="shared" si="1"/>
        <v>4</v>
      </c>
      <c r="D5" s="22" t="str">
        <f t="shared" si="3"/>
        <v>vtuber_profiles</v>
      </c>
      <c r="E5" s="22" t="str">
        <f t="shared" si="3"/>
        <v>Vtuberプロフィール</v>
      </c>
      <c r="F5" s="22" t="s">
        <v>64</v>
      </c>
      <c r="G5" s="22" t="s">
        <v>65</v>
      </c>
      <c r="H5" s="22" t="s">
        <v>66</v>
      </c>
      <c r="I5" s="22">
        <f>_xlfn.LET(
    _xlpm.可変bit数,--MID(H5,FIND("(",H5)+1,FIND(")",H5)-FIND("(",H5)-1),
    _xlfn.XLOOKUP(
        $H5,
        型とバイト数!$B$3:$B$53,
        型とバイト数!$E$3:$E$53,
        IF(LEFT($H5,7)="varchar",_xlpm.可変bit数*8,
            IF(LEFT($H5,3)="bit",_xlpm.可変bit数,"???"))
    )
)</f>
        <v>1024</v>
      </c>
      <c r="J5" s="22"/>
      <c r="K5" s="22"/>
      <c r="L5" s="24"/>
      <c r="M5" s="22" t="str">
        <f>IF(K5="","",IF(L5="","参照先未定義",_xlfn.XLOOKUP(L5,B:B,C:C,"エラー")))</f>
        <v/>
      </c>
      <c r="N5" s="22" t="s">
        <v>52</v>
      </c>
      <c r="O5" s="22"/>
      <c r="P5" s="22"/>
      <c r="Q5" s="22"/>
      <c r="R5" s="24" t="s">
        <v>52</v>
      </c>
      <c r="S5" s="24"/>
      <c r="T5" s="24" t="s">
        <v>52</v>
      </c>
      <c r="U5" s="22"/>
    </row>
    <row r="6" spans="1:21" ht="18.75" customHeight="1" x14ac:dyDescent="0.25">
      <c r="A6" s="24" t="s">
        <v>47</v>
      </c>
      <c r="B6" s="24" t="str">
        <f t="shared" si="0"/>
        <v>vtuber_profiles_nickname</v>
      </c>
      <c r="C6" s="25">
        <f t="shared" si="1"/>
        <v>5</v>
      </c>
      <c r="D6" s="22" t="str">
        <f t="shared" ref="D6:E6" si="4">D5</f>
        <v>vtuber_profiles</v>
      </c>
      <c r="E6" s="22" t="str">
        <f t="shared" si="4"/>
        <v>Vtuberプロフィール</v>
      </c>
      <c r="F6" s="22" t="s">
        <v>67</v>
      </c>
      <c r="G6" s="22" t="s">
        <v>68</v>
      </c>
      <c r="H6" s="22" t="s">
        <v>66</v>
      </c>
      <c r="I6" s="22">
        <f>_xlfn.LET(
    _xlpm.可変bit数,--MID(H6,FIND("(",H6)+1,FIND(")",H6)-FIND("(",H6)-1),
    _xlfn.XLOOKUP(
        $H6,
        型とバイト数!$B$3:$B$53,
        型とバイト数!$E$3:$E$53,
        IF(LEFT($H6,7)="varchar",_xlpm.可変bit数*8,
            IF(LEFT($H6,3)="bit",_xlpm.可変bit数,"???"))
    )
)</f>
        <v>1024</v>
      </c>
      <c r="J6" s="22"/>
      <c r="K6" s="22"/>
      <c r="L6" s="24"/>
      <c r="M6" s="22" t="str">
        <f>IF(K6="","",IF(L6="","参照先未定義",_xlfn.XLOOKUP(L6,B:B,C:C,"エラー")))</f>
        <v/>
      </c>
      <c r="N6" s="22"/>
      <c r="O6" s="22"/>
      <c r="P6" s="22"/>
      <c r="Q6" s="22"/>
      <c r="R6" s="24"/>
      <c r="S6" s="24"/>
      <c r="T6" s="24" t="s">
        <v>52</v>
      </c>
      <c r="U6" s="22"/>
    </row>
    <row r="7" spans="1:21" ht="18.75" customHeight="1" x14ac:dyDescent="0.25">
      <c r="A7" s="24" t="s">
        <v>47</v>
      </c>
      <c r="B7" s="24" t="str">
        <f t="shared" si="0"/>
        <v>vtuber_profiles_group</v>
      </c>
      <c r="C7" s="25">
        <f t="shared" si="1"/>
        <v>6</v>
      </c>
      <c r="D7" s="22" t="str">
        <f t="shared" ref="D7:E7" si="5">D6</f>
        <v>vtuber_profiles</v>
      </c>
      <c r="E7" s="22" t="str">
        <f t="shared" si="5"/>
        <v>Vtuberプロフィール</v>
      </c>
      <c r="F7" s="22" t="s">
        <v>69</v>
      </c>
      <c r="G7" s="22" t="s">
        <v>70</v>
      </c>
      <c r="H7" s="22" t="s">
        <v>71</v>
      </c>
      <c r="I7" s="22">
        <f>_xlfn.LET(
    _xlpm.可変bit数,--MID(H7,FIND("(",H7)+1,FIND(")",H7)-FIND("(",H7)-1),
    _xlfn.XLOOKUP(
        $H7,
        型とバイト数!$B$3:$B$53,
        型とバイト数!$E$3:$E$53,
        IF(LEFT($H7,7)="varchar",_xlpm.可変bit数*8,
            IF(LEFT($H7,3)="bit",_xlpm.可変bit数,"???"))
    )
)</f>
        <v>512</v>
      </c>
      <c r="J7" s="22"/>
      <c r="K7" s="22" t="s">
        <v>52</v>
      </c>
      <c r="L7" s="24" t="s">
        <v>72</v>
      </c>
      <c r="M7" s="22">
        <f>IF(K7="","",IF(L7="","参照先未定義",_xlfn.XLOOKUP(L7,B:B,C:C,"エラー")))</f>
        <v>30</v>
      </c>
      <c r="N7" s="22"/>
      <c r="O7" s="22"/>
      <c r="P7" s="22"/>
      <c r="Q7" s="22"/>
      <c r="R7" s="24"/>
      <c r="S7" s="24"/>
      <c r="T7" s="24" t="s">
        <v>52</v>
      </c>
      <c r="U7" s="22"/>
    </row>
    <row r="8" spans="1:21" ht="18.75" customHeight="1" x14ac:dyDescent="0.25">
      <c r="A8" s="24" t="s">
        <v>47</v>
      </c>
      <c r="B8" s="24" t="str">
        <f t="shared" si="0"/>
        <v>vtuber_profiles_birthday</v>
      </c>
      <c r="C8" s="25">
        <f t="shared" si="1"/>
        <v>7</v>
      </c>
      <c r="D8" s="22" t="str">
        <f t="shared" ref="D8:E8" si="6">D7</f>
        <v>vtuber_profiles</v>
      </c>
      <c r="E8" s="22" t="str">
        <f t="shared" si="6"/>
        <v>Vtuberプロフィール</v>
      </c>
      <c r="F8" s="22" t="s">
        <v>73</v>
      </c>
      <c r="G8" s="22" t="s">
        <v>74</v>
      </c>
      <c r="H8" s="22" t="s">
        <v>75</v>
      </c>
      <c r="I8" s="22">
        <f>_xlfn.LET(
    _xlpm.可変bit数,--MID(H8,FIND("(",H8)+1,FIND(")",H8)-FIND("(",H8)-1),
    _xlfn.XLOOKUP(
        $H8,
        型とバイト数!$B$3:$B$53,
        型とバイト数!$E$3:$E$53,
        IF(LEFT($H8,7)="varchar",_xlpm.可変bit数*8,
            IF(LEFT($H8,3)="bit",_xlpm.可変bit数,"???"))
    )
)</f>
        <v>256</v>
      </c>
      <c r="J8" s="22"/>
      <c r="K8" s="22"/>
      <c r="L8" s="24"/>
      <c r="M8" s="22" t="str">
        <f>IF(K8="","",IF(L8="","参照先未定義",_xlfn.XLOOKUP(L8,B:B,C:C,"エラー")))</f>
        <v/>
      </c>
      <c r="N8" s="22"/>
      <c r="O8" s="22"/>
      <c r="P8" s="22"/>
      <c r="Q8" s="22"/>
      <c r="R8" s="24"/>
      <c r="S8" s="24"/>
      <c r="T8" s="24" t="s">
        <v>52</v>
      </c>
      <c r="U8" s="22"/>
    </row>
    <row r="9" spans="1:21" ht="18.75" customHeight="1" x14ac:dyDescent="0.25">
      <c r="A9" s="24" t="s">
        <v>47</v>
      </c>
      <c r="B9" s="24" t="str">
        <f t="shared" si="0"/>
        <v>vtuber_profiles_debut_date</v>
      </c>
      <c r="C9" s="25">
        <f t="shared" si="1"/>
        <v>8</v>
      </c>
      <c r="D9" s="22" t="str">
        <f t="shared" ref="D9:E10" si="7">D8</f>
        <v>vtuber_profiles</v>
      </c>
      <c r="E9" s="22" t="str">
        <f t="shared" si="7"/>
        <v>Vtuberプロフィール</v>
      </c>
      <c r="F9" s="22" t="s">
        <v>76</v>
      </c>
      <c r="G9" s="22" t="s">
        <v>77</v>
      </c>
      <c r="H9" s="22" t="s">
        <v>78</v>
      </c>
      <c r="I9" s="22">
        <f>_xlfn.LET(
    _xlpm.可変bit数,--MID(H9,FIND("(",H9)+1,FIND(")",H9)-FIND("(",H9)-1),
    _xlfn.XLOOKUP(
        $H9,
        型とバイト数!$B$3:$B$53,
        型とバイト数!$E$3:$E$53,
        IF(LEFT($H9,7)="varchar",_xlpm.可変bit数*8,
            IF(LEFT($H9,3)="bit",_xlpm.可変bit数,"???"))
    )
)</f>
        <v>64</v>
      </c>
      <c r="J9" s="22"/>
      <c r="K9" s="22"/>
      <c r="L9" s="24"/>
      <c r="M9" s="22" t="str">
        <f>IF(K9="","",IF(L9="","参照先未定義",_xlfn.XLOOKUP(L9,B:B,C:C,"エラー")))</f>
        <v/>
      </c>
      <c r="N9" s="22"/>
      <c r="O9" s="22"/>
      <c r="P9" s="22"/>
      <c r="Q9" s="22"/>
      <c r="R9" s="24"/>
      <c r="S9" s="24"/>
      <c r="T9" s="24" t="s">
        <v>52</v>
      </c>
      <c r="U9" s="22"/>
    </row>
    <row r="10" spans="1:21" ht="18.75" customHeight="1" x14ac:dyDescent="0.25">
      <c r="A10" s="24" t="s">
        <v>47</v>
      </c>
      <c r="B10" s="24" t="str">
        <f t="shared" si="0"/>
        <v>vtuber_profiles_activity</v>
      </c>
      <c r="C10" s="25">
        <f t="shared" si="1"/>
        <v>9</v>
      </c>
      <c r="D10" s="22" t="str">
        <f t="shared" si="7"/>
        <v>vtuber_profiles</v>
      </c>
      <c r="E10" s="22" t="str">
        <f t="shared" si="7"/>
        <v>Vtuberプロフィール</v>
      </c>
      <c r="F10" s="22" t="s">
        <v>79</v>
      </c>
      <c r="G10" s="22" t="s">
        <v>80</v>
      </c>
      <c r="H10" s="22" t="s">
        <v>71</v>
      </c>
      <c r="I10" s="22">
        <f>_xlfn.LET(
    _xlpm.可変bit数,--MID(H10,FIND("(",H10)+1,FIND(")",H10)-FIND("(",H10)-1),
    _xlfn.XLOOKUP(
        $H10,
        型とバイト数!$B$3:$B$53,
        型とバイト数!$E$3:$E$53,
        IF(LEFT($H10,7)="varchar",_xlpm.可変bit数*8,
            IF(LEFT($H10,3)="bit",_xlpm.可変bit数,"???"))
    )
)</f>
        <v>512</v>
      </c>
      <c r="J10" s="22"/>
      <c r="K10" s="22"/>
      <c r="L10" s="24"/>
      <c r="M10" s="22" t="str">
        <f>IF(K10="","",IF(L10="","参照先未定義",_xlfn.XLOOKUP(L10,B:B,C:C,"エラー")))</f>
        <v/>
      </c>
      <c r="N10" s="22"/>
      <c r="O10" s="22"/>
      <c r="P10" s="22"/>
      <c r="Q10" s="22"/>
      <c r="R10" s="24"/>
      <c r="S10" s="24" t="s">
        <v>81</v>
      </c>
      <c r="T10" s="24" t="s">
        <v>52</v>
      </c>
      <c r="U10" s="22"/>
    </row>
    <row r="11" spans="1:21" ht="18.75" customHeight="1" x14ac:dyDescent="0.25">
      <c r="A11" s="24" t="s">
        <v>47</v>
      </c>
      <c r="B11" s="24" t="str">
        <f t="shared" si="0"/>
        <v>vtuber_profiles_blood_type</v>
      </c>
      <c r="C11" s="25">
        <f t="shared" si="1"/>
        <v>10</v>
      </c>
      <c r="D11" s="22" t="str">
        <f t="shared" ref="D11:E11" si="8">D10</f>
        <v>vtuber_profiles</v>
      </c>
      <c r="E11" s="22" t="str">
        <f t="shared" si="8"/>
        <v>Vtuberプロフィール</v>
      </c>
      <c r="F11" s="22" t="s">
        <v>82</v>
      </c>
      <c r="G11" s="22" t="s">
        <v>83</v>
      </c>
      <c r="H11" s="22" t="s">
        <v>84</v>
      </c>
      <c r="I11" s="22">
        <f>_xlfn.LET(
    _xlpm.可変bit数,--MID(H11,FIND("(",H11)+1,FIND(")",H11)-FIND("(",H11)-1),
    _xlfn.XLOOKUP(
        $H11,
        型とバイト数!$B$3:$B$53,
        型とバイト数!$E$3:$E$53,
        IF(LEFT($H11,7)="varchar",_xlpm.可変bit数*8,
            IF(LEFT($H11,3)="bit",_xlpm.可変bit数,"???"))
    )
)</f>
        <v>128</v>
      </c>
      <c r="J11" s="22"/>
      <c r="K11" s="22"/>
      <c r="L11" s="24"/>
      <c r="M11" s="22" t="str">
        <f>IF(K11="","",IF(L11="","参照先未定義",_xlfn.XLOOKUP(L11,B:B,C:C,"エラー")))</f>
        <v/>
      </c>
      <c r="N11" s="22"/>
      <c r="O11" s="22"/>
      <c r="P11" s="22"/>
      <c r="Q11" s="22"/>
      <c r="R11" s="24"/>
      <c r="S11" s="24"/>
      <c r="T11" s="24" t="s">
        <v>52</v>
      </c>
      <c r="U11" s="22"/>
    </row>
    <row r="12" spans="1:21" ht="18.75" customHeight="1" x14ac:dyDescent="0.25">
      <c r="A12" s="24" t="s">
        <v>47</v>
      </c>
      <c r="B12" s="24" t="str">
        <f t="shared" si="0"/>
        <v>vtuber_profiles_height</v>
      </c>
      <c r="C12" s="25">
        <f t="shared" si="1"/>
        <v>11</v>
      </c>
      <c r="D12" s="22" t="str">
        <f t="shared" ref="D12:E13" si="9">D11</f>
        <v>vtuber_profiles</v>
      </c>
      <c r="E12" s="22" t="str">
        <f t="shared" si="9"/>
        <v>Vtuberプロフィール</v>
      </c>
      <c r="F12" s="22" t="s">
        <v>85</v>
      </c>
      <c r="G12" s="22" t="s">
        <v>86</v>
      </c>
      <c r="H12" s="22" t="s">
        <v>84</v>
      </c>
      <c r="I12" s="22">
        <f>_xlfn.LET(
    _xlpm.可変bit数,--MID(H12,FIND("(",H12)+1,FIND(")",H12)-FIND("(",H12)-1),
    _xlfn.XLOOKUP(
        $H12,
        型とバイト数!$B$3:$B$53,
        型とバイト数!$E$3:$E$53,
        IF(LEFT($H12,7)="varchar",_xlpm.可変bit数*8,
            IF(LEFT($H12,3)="bit",_xlpm.可変bit数,"???"))
    )
)</f>
        <v>128</v>
      </c>
      <c r="J12" s="22"/>
      <c r="K12" s="22"/>
      <c r="L12" s="24"/>
      <c r="M12" s="22" t="str">
        <f>IF(K12="","",IF(L12="","参照先未定義",_xlfn.XLOOKUP(L12,B:B,C:C,"エラー")))</f>
        <v/>
      </c>
      <c r="N12" s="22"/>
      <c r="O12" s="22"/>
      <c r="P12" s="22"/>
      <c r="Q12" s="22"/>
      <c r="R12" s="24"/>
      <c r="S12" s="24"/>
      <c r="T12" s="24" t="s">
        <v>52</v>
      </c>
      <c r="U12" s="22"/>
    </row>
    <row r="13" spans="1:21" ht="18.75" customHeight="1" x14ac:dyDescent="0.25">
      <c r="A13" s="24" t="s">
        <v>47</v>
      </c>
      <c r="B13" s="24" t="str">
        <f t="shared" si="0"/>
        <v>vtuber_profiles_mutter</v>
      </c>
      <c r="C13" s="25">
        <f t="shared" si="1"/>
        <v>12</v>
      </c>
      <c r="D13" s="22" t="str">
        <f t="shared" si="9"/>
        <v>vtuber_profiles</v>
      </c>
      <c r="E13" s="22" t="str">
        <f t="shared" si="9"/>
        <v>Vtuberプロフィール</v>
      </c>
      <c r="F13" s="22" t="s">
        <v>92</v>
      </c>
      <c r="G13" s="22" t="s">
        <v>93</v>
      </c>
      <c r="H13" s="22" t="s">
        <v>94</v>
      </c>
      <c r="I13" s="22" t="str">
        <f>_xlfn.LET(
    _xlpm.可変bit数,--MID(H13,FIND("(",H13)+1,FIND(")",H13)-FIND("(",H13)-1),
    _xlfn.XLOOKUP(
        $H13,
        型とバイト数!$B$3:$B$53,
        型とバイト数!$E$3:$E$53,
        IF(LEFT($H13,7)="varchar",_xlpm.可変bit数*8,
            IF(LEFT($H13,3)="bit",_xlpm.可変bit数,"???"))
    )
)</f>
        <v>-</v>
      </c>
      <c r="J13" s="22"/>
      <c r="K13" s="22"/>
      <c r="L13" s="24"/>
      <c r="M13" s="22" t="str">
        <f>IF(K13="","",IF(L13="","参照先未定義",_xlfn.XLOOKUP(L13,B:B,C:C,"エラー")))</f>
        <v/>
      </c>
      <c r="N13" s="22"/>
      <c r="O13" s="22"/>
      <c r="P13" s="22"/>
      <c r="Q13" s="22"/>
      <c r="R13" s="24"/>
      <c r="S13" s="24"/>
      <c r="T13" s="24" t="s">
        <v>52</v>
      </c>
      <c r="U13" s="22"/>
    </row>
    <row r="14" spans="1:21" ht="18.75" customHeight="1" x14ac:dyDescent="0.25">
      <c r="A14" s="24" t="s">
        <v>47</v>
      </c>
      <c r="B14" s="24" t="str">
        <f t="shared" si="0"/>
        <v>vtuber_profiles_catchphrase</v>
      </c>
      <c r="C14" s="25">
        <f t="shared" si="1"/>
        <v>13</v>
      </c>
      <c r="D14" s="22" t="str">
        <f t="shared" ref="D14:E14" si="10">D13</f>
        <v>vtuber_profiles</v>
      </c>
      <c r="E14" s="22" t="str">
        <f t="shared" si="10"/>
        <v>Vtuberプロフィール</v>
      </c>
      <c r="F14" s="22" t="s">
        <v>95</v>
      </c>
      <c r="G14" s="22" t="s">
        <v>96</v>
      </c>
      <c r="H14" s="22" t="s">
        <v>71</v>
      </c>
      <c r="I14" s="22">
        <f>_xlfn.LET(
    _xlpm.可変bit数,--MID(H14,FIND("(",H14)+1,FIND(")",H14)-FIND("(",H14)-1),
    _xlfn.XLOOKUP(
        $H14,
        型とバイト数!$B$3:$B$53,
        型とバイト数!$E$3:$E$53,
        IF(LEFT($H14,7)="varchar",_xlpm.可変bit数*8,
            IF(LEFT($H14,3)="bit",_xlpm.可変bit数,"???"))
    )
)</f>
        <v>512</v>
      </c>
      <c r="J14" s="22"/>
      <c r="K14" s="22"/>
      <c r="L14" s="24"/>
      <c r="M14" s="22" t="str">
        <f>IF(K14="","",IF(L14="","参照先未定義",_xlfn.XLOOKUP(L14,B:B,C:C,"エラー")))</f>
        <v/>
      </c>
      <c r="N14" s="22"/>
      <c r="O14" s="22"/>
      <c r="P14" s="22"/>
      <c r="Q14" s="22"/>
      <c r="R14" s="24"/>
      <c r="S14" s="24"/>
      <c r="T14" s="24" t="s">
        <v>52</v>
      </c>
      <c r="U14" s="22"/>
    </row>
    <row r="15" spans="1:21" ht="18.75" customHeight="1" x14ac:dyDescent="0.25">
      <c r="A15" s="24" t="s">
        <v>47</v>
      </c>
      <c r="B15" s="24" t="str">
        <f t="shared" si="0"/>
        <v>vtuber_profiles_favorite</v>
      </c>
      <c r="C15" s="25">
        <f t="shared" si="1"/>
        <v>14</v>
      </c>
      <c r="D15" s="22" t="str">
        <f t="shared" ref="D15:E15" si="11">D14</f>
        <v>vtuber_profiles</v>
      </c>
      <c r="E15" s="22" t="str">
        <f t="shared" si="11"/>
        <v>Vtuberプロフィール</v>
      </c>
      <c r="F15" s="22" t="s">
        <v>97</v>
      </c>
      <c r="G15" s="22" t="s">
        <v>98</v>
      </c>
      <c r="H15" s="22" t="s">
        <v>71</v>
      </c>
      <c r="I15" s="22">
        <f>_xlfn.LET(
    _xlpm.可変bit数,--MID(H15,FIND("(",H15)+1,FIND(")",H15)-FIND("(",H15)-1),
    _xlfn.XLOOKUP(
        $H15,
        型とバイト数!$B$3:$B$53,
        型とバイト数!$E$3:$E$53,
        IF(LEFT($H15,7)="varchar",_xlpm.可変bit数*8,
            IF(LEFT($H15,3)="bit",_xlpm.可変bit数,"???"))
    )
)</f>
        <v>512</v>
      </c>
      <c r="J15" s="22"/>
      <c r="K15" s="22"/>
      <c r="L15" s="24"/>
      <c r="M15" s="22" t="str">
        <f>IF(K15="","",IF(L15="","参照先未定義",_xlfn.XLOOKUP(L15,B:B,C:C,"エラー")))</f>
        <v/>
      </c>
      <c r="N15" s="22"/>
      <c r="O15" s="22"/>
      <c r="P15" s="22"/>
      <c r="Q15" s="22"/>
      <c r="R15" s="24"/>
      <c r="S15" s="24"/>
      <c r="T15" s="24" t="s">
        <v>52</v>
      </c>
      <c r="U15" s="22"/>
    </row>
    <row r="16" spans="1:21" ht="18.75" customHeight="1" x14ac:dyDescent="0.25">
      <c r="A16" s="24" t="s">
        <v>47</v>
      </c>
      <c r="B16" s="24" t="str">
        <f t="shared" si="0"/>
        <v>vtuber_profiles_dis_favorite</v>
      </c>
      <c r="C16" s="25">
        <f t="shared" si="1"/>
        <v>15</v>
      </c>
      <c r="D16" s="22" t="str">
        <f t="shared" ref="D16:E16" si="12">D15</f>
        <v>vtuber_profiles</v>
      </c>
      <c r="E16" s="22" t="str">
        <f t="shared" si="12"/>
        <v>Vtuberプロフィール</v>
      </c>
      <c r="F16" s="22" t="s">
        <v>99</v>
      </c>
      <c r="G16" s="22" t="s">
        <v>100</v>
      </c>
      <c r="H16" s="22" t="s">
        <v>71</v>
      </c>
      <c r="I16" s="22">
        <f>_xlfn.LET(
    _xlpm.可変bit数,--MID(H16,FIND("(",H16)+1,FIND(")",H16)-FIND("(",H16)-1),
    _xlfn.XLOOKUP(
        $H16,
        型とバイト数!$B$3:$B$53,
        型とバイト数!$E$3:$E$53,
        IF(LEFT($H16,7)="varchar",_xlpm.可変bit数*8,
            IF(LEFT($H16,3)="bit",_xlpm.可変bit数,"???"))
    )
)</f>
        <v>512</v>
      </c>
      <c r="J16" s="22"/>
      <c r="K16" s="22"/>
      <c r="L16" s="24"/>
      <c r="M16" s="22" t="str">
        <f>IF(K16="","",IF(L16="","参照先未定義",_xlfn.XLOOKUP(L16,B:B,C:C,"エラー")))</f>
        <v/>
      </c>
      <c r="N16" s="22"/>
      <c r="O16" s="22"/>
      <c r="P16" s="22"/>
      <c r="Q16" s="22"/>
      <c r="R16" s="24"/>
      <c r="S16" s="24"/>
      <c r="T16" s="24" t="s">
        <v>52</v>
      </c>
      <c r="U16" s="22"/>
    </row>
    <row r="17" spans="1:21" ht="18.75" customHeight="1" x14ac:dyDescent="0.25">
      <c r="A17" s="24" t="s">
        <v>47</v>
      </c>
      <c r="B17" s="24" t="str">
        <f t="shared" si="0"/>
        <v>vtuber_profiles_hobby</v>
      </c>
      <c r="C17" s="25">
        <f t="shared" si="1"/>
        <v>16</v>
      </c>
      <c r="D17" s="22" t="str">
        <f t="shared" ref="D17:E17" si="13">D16</f>
        <v>vtuber_profiles</v>
      </c>
      <c r="E17" s="22" t="str">
        <f t="shared" si="13"/>
        <v>Vtuberプロフィール</v>
      </c>
      <c r="F17" s="22" t="s">
        <v>101</v>
      </c>
      <c r="G17" s="22" t="s">
        <v>102</v>
      </c>
      <c r="H17" s="22" t="s">
        <v>71</v>
      </c>
      <c r="I17" s="22">
        <f>_xlfn.LET(
    _xlpm.可変bit数,--MID(H17,FIND("(",H17)+1,FIND(")",H17)-FIND("(",H17)-1),
    _xlfn.XLOOKUP(
        $H17,
        型とバイト数!$B$3:$B$53,
        型とバイト数!$E$3:$E$53,
        IF(LEFT($H17,7)="varchar",_xlpm.可変bit数*8,
            IF(LEFT($H17,3)="bit",_xlpm.可変bit数,"???"))
    )
)</f>
        <v>512</v>
      </c>
      <c r="J17" s="22"/>
      <c r="K17" s="22"/>
      <c r="L17" s="24"/>
      <c r="M17" s="22" t="str">
        <f>IF(K17="","",IF(L17="","参照先未定義",_xlfn.XLOOKUP(L17,B:B,C:C,"エラー")))</f>
        <v/>
      </c>
      <c r="N17" s="22"/>
      <c r="O17" s="22"/>
      <c r="P17" s="22"/>
      <c r="Q17" s="22"/>
      <c r="R17" s="24"/>
      <c r="S17" s="24"/>
      <c r="T17" s="24" t="s">
        <v>52</v>
      </c>
      <c r="U17" s="22"/>
    </row>
    <row r="18" spans="1:21" ht="18.75" customHeight="1" x14ac:dyDescent="0.25">
      <c r="A18" s="24" t="s">
        <v>47</v>
      </c>
      <c r="B18" s="24" t="str">
        <f t="shared" si="0"/>
        <v>vtuber_profiles_dream</v>
      </c>
      <c r="C18" s="25">
        <f t="shared" si="1"/>
        <v>17</v>
      </c>
      <c r="D18" s="22" t="str">
        <f t="shared" ref="D18:E18" si="14">D17</f>
        <v>vtuber_profiles</v>
      </c>
      <c r="E18" s="22" t="str">
        <f t="shared" si="14"/>
        <v>Vtuberプロフィール</v>
      </c>
      <c r="F18" s="22" t="s">
        <v>103</v>
      </c>
      <c r="G18" s="22" t="s">
        <v>104</v>
      </c>
      <c r="H18" s="22" t="s">
        <v>71</v>
      </c>
      <c r="I18" s="22">
        <f>_xlfn.LET(
    _xlpm.可変bit数,--MID(H18,FIND("(",H18)+1,FIND(")",H18)-FIND("(",H18)-1),
    _xlfn.XLOOKUP(
        $H18,
        型とバイト数!$B$3:$B$53,
        型とバイト数!$E$3:$E$53,
        IF(LEFT($H18,7)="varchar",_xlpm.可変bit数*8,
            IF(LEFT($H18,3)="bit",_xlpm.可変bit数,"???"))
    )
)</f>
        <v>512</v>
      </c>
      <c r="J18" s="22"/>
      <c r="K18" s="22"/>
      <c r="L18" s="24"/>
      <c r="M18" s="22" t="str">
        <f>IF(K18="","",IF(L18="","参照先未定義",_xlfn.XLOOKUP(L18,B:B,C:C,"エラー")))</f>
        <v/>
      </c>
      <c r="N18" s="22"/>
      <c r="O18" s="22"/>
      <c r="P18" s="22"/>
      <c r="Q18" s="22"/>
      <c r="R18" s="24"/>
      <c r="S18" s="24"/>
      <c r="T18" s="24" t="s">
        <v>52</v>
      </c>
      <c r="U18" s="22"/>
    </row>
    <row r="19" spans="1:21" ht="18.75" customHeight="1" x14ac:dyDescent="0.25">
      <c r="A19" s="24" t="s">
        <v>47</v>
      </c>
      <c r="B19" s="24" t="str">
        <f t="shared" si="0"/>
        <v>vtuber_profiles_messages</v>
      </c>
      <c r="C19" s="25">
        <f t="shared" si="1"/>
        <v>18</v>
      </c>
      <c r="D19" s="22" t="str">
        <f t="shared" ref="D19:E19" si="15">D18</f>
        <v>vtuber_profiles</v>
      </c>
      <c r="E19" s="22" t="str">
        <f t="shared" si="15"/>
        <v>Vtuberプロフィール</v>
      </c>
      <c r="F19" s="22" t="s">
        <v>105</v>
      </c>
      <c r="G19" s="22" t="s">
        <v>106</v>
      </c>
      <c r="H19" s="22" t="s">
        <v>94</v>
      </c>
      <c r="I19" s="22" t="str">
        <f>_xlfn.LET(
    _xlpm.可変bit数,--MID(H19,FIND("(",H19)+1,FIND(")",H19)-FIND("(",H19)-1),
    _xlfn.XLOOKUP(
        $H19,
        型とバイト数!$B$3:$B$53,
        型とバイト数!$E$3:$E$53,
        IF(LEFT($H19,7)="varchar",_xlpm.可変bit数*8,
            IF(LEFT($H19,3)="bit",_xlpm.可変bit数,"???"))
    )
)</f>
        <v>-</v>
      </c>
      <c r="J19" s="22"/>
      <c r="K19" s="22"/>
      <c r="L19" s="24"/>
      <c r="M19" s="22" t="str">
        <f>IF(K19="","",IF(L19="","参照先未定義",_xlfn.XLOOKUP(L19,B:B,C:C,"エラー")))</f>
        <v/>
      </c>
      <c r="N19" s="22"/>
      <c r="O19" s="22"/>
      <c r="P19" s="22"/>
      <c r="Q19" s="22"/>
      <c r="R19" s="24"/>
      <c r="S19" s="24"/>
      <c r="T19" s="24" t="s">
        <v>52</v>
      </c>
      <c r="U19" s="22"/>
    </row>
    <row r="20" spans="1:21" ht="18.75" customHeight="1" x14ac:dyDescent="0.25">
      <c r="A20" s="24" t="s">
        <v>47</v>
      </c>
      <c r="B20" s="24" t="str">
        <f t="shared" si="0"/>
        <v>vtuber_profiles_profile_detail</v>
      </c>
      <c r="C20" s="25">
        <f t="shared" si="1"/>
        <v>19</v>
      </c>
      <c r="D20" s="22" t="str">
        <f t="shared" ref="D20:E20" si="16">D19</f>
        <v>vtuber_profiles</v>
      </c>
      <c r="E20" s="22" t="str">
        <f t="shared" si="16"/>
        <v>Vtuberプロフィール</v>
      </c>
      <c r="F20" s="22" t="s">
        <v>107</v>
      </c>
      <c r="G20" s="22" t="s">
        <v>108</v>
      </c>
      <c r="H20" s="22" t="s">
        <v>94</v>
      </c>
      <c r="I20" s="22" t="str">
        <f>_xlfn.LET(
    _xlpm.可変bit数,--MID(H20,FIND("(",H20)+1,FIND(")",H20)-FIND("(",H20)-1),
    _xlfn.XLOOKUP(
        $H20,
        型とバイト数!$B$3:$B$53,
        型とバイト数!$E$3:$E$53,
        IF(LEFT($H20,7)="varchar",_xlpm.可変bit数*8,
            IF(LEFT($H20,3)="bit",_xlpm.可変bit数,"???"))
    )
)</f>
        <v>-</v>
      </c>
      <c r="J20" s="22"/>
      <c r="K20" s="22"/>
      <c r="L20" s="24"/>
      <c r="M20" s="22" t="str">
        <f>IF(K20="","",IF(L20="","参照先未定義",_xlfn.XLOOKUP(L20,B:B,C:C,"エラー")))</f>
        <v/>
      </c>
      <c r="N20" s="22"/>
      <c r="O20" s="22"/>
      <c r="P20" s="22"/>
      <c r="Q20" s="22"/>
      <c r="R20" s="24"/>
      <c r="S20" s="24"/>
      <c r="T20" s="24" t="s">
        <v>52</v>
      </c>
      <c r="U20" s="22" t="s">
        <v>109</v>
      </c>
    </row>
    <row r="21" spans="1:21" ht="18.75" customHeight="1" x14ac:dyDescent="0.25">
      <c r="A21" s="24" t="s">
        <v>47</v>
      </c>
      <c r="B21" s="24" t="str">
        <f t="shared" si="0"/>
        <v>vtuber_profiles_lgtm_count</v>
      </c>
      <c r="C21" s="25">
        <f t="shared" si="1"/>
        <v>20</v>
      </c>
      <c r="D21" s="22" t="str">
        <f t="shared" ref="D21" si="17">D20</f>
        <v>vtuber_profiles</v>
      </c>
      <c r="E21" s="22" t="str">
        <f t="shared" ref="E21" si="18">E20</f>
        <v>Vtuberプロフィール</v>
      </c>
      <c r="F21" s="22" t="s">
        <v>111</v>
      </c>
      <c r="G21" s="22" t="s">
        <v>112</v>
      </c>
      <c r="H21" s="29" t="s">
        <v>113</v>
      </c>
      <c r="I21" s="22">
        <f>_xlfn.LET(
    _xlpm.可変bit数,--MID(H21,FIND("(",H21)+1,FIND(")",H21)-FIND("(",H21)-1),
    _xlfn.XLOOKUP(
        $H21,
        型とバイト数!$B$3:$B$53,
        型とバイト数!$E$3:$E$53,
        IF(LEFT($H21,7)="varchar",_xlpm.可変bit数*8,
            IF(LEFT($H21,3)="bit",_xlpm.可変bit数,"???"))
    )
)</f>
        <v>32</v>
      </c>
      <c r="J21" s="22"/>
      <c r="K21" s="22"/>
      <c r="L21" s="24"/>
      <c r="M21" s="22" t="str">
        <f>IF(K21="","",IF(L21="","参照先未定義",_xlfn.XLOOKUP(L21,B:B,C:C,"エラー")))</f>
        <v/>
      </c>
      <c r="N21" s="22" t="s">
        <v>52</v>
      </c>
      <c r="O21" s="22"/>
      <c r="P21" s="22">
        <v>0</v>
      </c>
      <c r="Q21" s="22"/>
      <c r="R21" s="24"/>
      <c r="S21" s="24"/>
      <c r="T21" s="24" t="s">
        <v>52</v>
      </c>
      <c r="U21" s="22"/>
    </row>
    <row r="22" spans="1:21" ht="18.75" customHeight="1" x14ac:dyDescent="0.25">
      <c r="A22" s="24" t="s">
        <v>47</v>
      </c>
      <c r="B22" s="24" t="str">
        <f t="shared" si="0"/>
        <v>vtuber_profiles_activity_status</v>
      </c>
      <c r="C22" s="25">
        <f t="shared" si="1"/>
        <v>21</v>
      </c>
      <c r="D22" s="22" t="str">
        <f t="shared" ref="D22" si="19">D21</f>
        <v>vtuber_profiles</v>
      </c>
      <c r="E22" s="22" t="str">
        <f t="shared" ref="E22" si="20">E21</f>
        <v>Vtuberプロフィール</v>
      </c>
      <c r="F22" s="22" t="s">
        <v>114</v>
      </c>
      <c r="G22" s="22" t="s">
        <v>115</v>
      </c>
      <c r="H22" s="22" t="s">
        <v>56</v>
      </c>
      <c r="I22" s="22">
        <f>_xlfn.LET(
    _xlpm.可変bit数,--MID(H22,FIND("(",H22)+1,FIND(")",H22)-FIND("(",H22)-1),
    _xlfn.XLOOKUP(
        $H22,
        型とバイト数!$B$3:$B$53,
        型とバイト数!$E$3:$E$53,
        IF(LEFT($H22,7)="varchar",_xlpm.可変bit数*8,
            IF(LEFT($H22,3)="bit",_xlpm.可変bit数,"???"))
    )
)</f>
        <v>64</v>
      </c>
      <c r="J22" s="22"/>
      <c r="K22" s="22" t="s">
        <v>52</v>
      </c>
      <c r="L22" s="24" t="s">
        <v>116</v>
      </c>
      <c r="M22" s="22">
        <f>IF(K22="","",IF(L22="","参照先未定義",_xlfn.XLOOKUP(L22,B:B,C:C,"エラー")))</f>
        <v>57</v>
      </c>
      <c r="N22" s="22" t="s">
        <v>52</v>
      </c>
      <c r="O22" s="22"/>
      <c r="P22" s="22"/>
      <c r="Q22" s="22"/>
      <c r="R22" s="24"/>
      <c r="S22" s="24"/>
      <c r="T22" s="24"/>
      <c r="U22" s="22"/>
    </row>
    <row r="23" spans="1:21" ht="18.75" customHeight="1" x14ac:dyDescent="0.25">
      <c r="A23" s="24" t="s">
        <v>47</v>
      </c>
      <c r="B23" s="24" t="str">
        <f t="shared" si="0"/>
        <v>vtuber_profiles_report_count</v>
      </c>
      <c r="C23" s="25">
        <f t="shared" si="1"/>
        <v>22</v>
      </c>
      <c r="D23" s="22" t="str">
        <f t="shared" ref="D23" si="21">D22</f>
        <v>vtuber_profiles</v>
      </c>
      <c r="E23" s="22" t="str">
        <f t="shared" ref="E23" si="22">E22</f>
        <v>Vtuberプロフィール</v>
      </c>
      <c r="F23" s="22" t="s">
        <v>118</v>
      </c>
      <c r="G23" s="22" t="s">
        <v>119</v>
      </c>
      <c r="H23" s="29" t="s">
        <v>113</v>
      </c>
      <c r="I23" s="22">
        <f>_xlfn.LET(
    _xlpm.可変bit数,--MID(H23,FIND("(",H23)+1,FIND(")",H23)-FIND("(",H23)-1),
    _xlfn.XLOOKUP(
        $H23,
        型とバイト数!$B$3:$B$53,
        型とバイト数!$E$3:$E$53,
        IF(LEFT($H23,7)="varchar",_xlpm.可変bit数*8,
            IF(LEFT($H23,3)="bit",_xlpm.可変bit数,"???"))
    )
)</f>
        <v>32</v>
      </c>
      <c r="J23" s="22"/>
      <c r="K23" s="22"/>
      <c r="L23" s="24"/>
      <c r="M23" s="22" t="str">
        <f>IF(K23="","",IF(L23="","参照先未定義",_xlfn.XLOOKUP(L23,B:B,C:C,"エラー")))</f>
        <v/>
      </c>
      <c r="N23" s="22" t="s">
        <v>52</v>
      </c>
      <c r="O23" s="22"/>
      <c r="P23" s="22">
        <v>0</v>
      </c>
      <c r="Q23" s="22"/>
      <c r="R23" s="24"/>
      <c r="S23" s="24"/>
      <c r="T23" s="24"/>
      <c r="U23" s="22"/>
    </row>
    <row r="24" spans="1:21" ht="18.75" customHeight="1" x14ac:dyDescent="0.25">
      <c r="A24" s="24" t="s">
        <v>47</v>
      </c>
      <c r="B24" s="24" t="str">
        <f t="shared" si="0"/>
        <v>vtuber_profiles_create_datetime</v>
      </c>
      <c r="C24" s="25">
        <f t="shared" si="1"/>
        <v>23</v>
      </c>
      <c r="D24" s="22" t="str">
        <f t="shared" ref="D24" si="23">D23</f>
        <v>vtuber_profiles</v>
      </c>
      <c r="E24" s="22" t="str">
        <f t="shared" ref="E24" si="24">E23</f>
        <v>Vtuberプロフィール</v>
      </c>
      <c r="F24" s="22" t="s">
        <v>120</v>
      </c>
      <c r="G24" s="22" t="s">
        <v>121</v>
      </c>
      <c r="H24" s="22" t="s">
        <v>78</v>
      </c>
      <c r="I24" s="22">
        <f>_xlfn.LET(
    _xlpm.可変bit数,--MID(H24,FIND("(",H24)+1,FIND(")",H24)-FIND("(",H24)-1),
    _xlfn.XLOOKUP(
        $H24,
        型とバイト数!$B$3:$B$53,
        型とバイト数!$E$3:$E$53,
        IF(LEFT($H24,7)="varchar",_xlpm.可変bit数*8,
            IF(LEFT($H24,3)="bit",_xlpm.可変bit数,"???"))
    )
)</f>
        <v>64</v>
      </c>
      <c r="J24" s="22"/>
      <c r="K24" s="22"/>
      <c r="L24" s="24"/>
      <c r="M24" s="22" t="str">
        <f>IF(K24="","",IF(L24="","参照先未定義",_xlfn.XLOOKUP(L24,B:B,C:C,"エラー")))</f>
        <v/>
      </c>
      <c r="N24" s="22" t="s">
        <v>52</v>
      </c>
      <c r="O24" s="22"/>
      <c r="P24" s="22" t="s">
        <v>122</v>
      </c>
      <c r="Q24" s="22"/>
      <c r="R24" s="24"/>
      <c r="S24" s="24"/>
      <c r="T24" s="24"/>
      <c r="U24" s="22"/>
    </row>
    <row r="25" spans="1:21" ht="18.75" customHeight="1" x14ac:dyDescent="0.25">
      <c r="A25" s="24" t="s">
        <v>47</v>
      </c>
      <c r="B25" s="24" t="str">
        <f t="shared" si="0"/>
        <v>vtuber_profiles_create_user</v>
      </c>
      <c r="C25" s="25">
        <f t="shared" si="1"/>
        <v>24</v>
      </c>
      <c r="D25" s="22" t="str">
        <f t="shared" ref="D25:E25" si="25">D24</f>
        <v>vtuber_profiles</v>
      </c>
      <c r="E25" s="22" t="str">
        <f t="shared" si="25"/>
        <v>Vtuberプロフィール</v>
      </c>
      <c r="F25" s="22" t="s">
        <v>123</v>
      </c>
      <c r="G25" s="22" t="s">
        <v>124</v>
      </c>
      <c r="H25" s="22" t="s">
        <v>75</v>
      </c>
      <c r="I25" s="22">
        <f>_xlfn.LET(
    _xlpm.可変bit数,--MID(H25,FIND("(",H25)+1,FIND(")",H25)-FIND("(",H25)-1),
    _xlfn.XLOOKUP(
        $H25,
        型とバイト数!$B$3:$B$53,
        型とバイト数!$E$3:$E$53,
        IF(LEFT($H25,7)="varchar",_xlpm.可変bit数*8,
            IF(LEFT($H25,3)="bit",_xlpm.可変bit数,"???"))
    )
)</f>
        <v>256</v>
      </c>
      <c r="J25" s="22"/>
      <c r="K25" s="22"/>
      <c r="L25" s="24"/>
      <c r="M25" s="22" t="str">
        <f>IF(K25="","",IF(L25="","参照先未定義",_xlfn.XLOOKUP(L25,B:B,C:C,"エラー")))</f>
        <v/>
      </c>
      <c r="N25" s="22" t="s">
        <v>52</v>
      </c>
      <c r="O25" s="22"/>
      <c r="P25" s="22" t="s">
        <v>125</v>
      </c>
      <c r="Q25" s="22"/>
      <c r="R25" s="24"/>
      <c r="S25" s="24"/>
      <c r="T25" s="24"/>
      <c r="U25" s="22" t="s">
        <v>126</v>
      </c>
    </row>
    <row r="26" spans="1:21" ht="18.75" customHeight="1" x14ac:dyDescent="0.25">
      <c r="A26" s="24" t="s">
        <v>47</v>
      </c>
      <c r="B26" s="24" t="str">
        <f t="shared" si="0"/>
        <v>vtuber_profiles_update_datetime</v>
      </c>
      <c r="C26" s="25">
        <f t="shared" si="1"/>
        <v>25</v>
      </c>
      <c r="D26" s="22" t="str">
        <f t="shared" ref="D26:E26" si="26">D25</f>
        <v>vtuber_profiles</v>
      </c>
      <c r="E26" s="22" t="str">
        <f t="shared" si="26"/>
        <v>Vtuberプロフィール</v>
      </c>
      <c r="F26" s="22" t="s">
        <v>127</v>
      </c>
      <c r="G26" s="22" t="s">
        <v>128</v>
      </c>
      <c r="H26" s="22" t="s">
        <v>78</v>
      </c>
      <c r="I26" s="22">
        <f>_xlfn.LET(
    _xlpm.可変bit数,--MID(H26,FIND("(",H26)+1,FIND(")",H26)-FIND("(",H26)-1),
    _xlfn.XLOOKUP(
        $H26,
        型とバイト数!$B$3:$B$53,
        型とバイト数!$E$3:$E$53,
        IF(LEFT($H26,7)="varchar",_xlpm.可変bit数*8,
            IF(LEFT($H26,3)="bit",_xlpm.可変bit数,"???"))
    )
)</f>
        <v>64</v>
      </c>
      <c r="J26" s="22"/>
      <c r="K26" s="22"/>
      <c r="L26" s="24"/>
      <c r="M26" s="22" t="str">
        <f>IF(K26="","",IF(L26="","参照先未定義",_xlfn.XLOOKUP(L26,B:B,C:C,"エラー")))</f>
        <v/>
      </c>
      <c r="N26" s="22" t="s">
        <v>52</v>
      </c>
      <c r="O26" s="22"/>
      <c r="P26" s="22" t="s">
        <v>122</v>
      </c>
      <c r="Q26" s="22"/>
      <c r="R26" s="24"/>
      <c r="S26" s="24"/>
      <c r="T26" s="24"/>
      <c r="U26" s="22"/>
    </row>
    <row r="27" spans="1:21" ht="18.75" customHeight="1" x14ac:dyDescent="0.25">
      <c r="A27" s="24" t="s">
        <v>47</v>
      </c>
      <c r="B27" s="24" t="str">
        <f t="shared" si="0"/>
        <v>vtuber_profiles_update_user</v>
      </c>
      <c r="C27" s="25">
        <f t="shared" si="1"/>
        <v>26</v>
      </c>
      <c r="D27" s="22" t="str">
        <f t="shared" ref="D27:E27" si="27">D26</f>
        <v>vtuber_profiles</v>
      </c>
      <c r="E27" s="22" t="str">
        <f t="shared" si="27"/>
        <v>Vtuberプロフィール</v>
      </c>
      <c r="F27" s="22" t="s">
        <v>129</v>
      </c>
      <c r="G27" s="22" t="s">
        <v>130</v>
      </c>
      <c r="H27" s="22" t="s">
        <v>75</v>
      </c>
      <c r="I27" s="22">
        <f>_xlfn.LET(
    _xlpm.可変bit数,--MID(H27,FIND("(",H27)+1,FIND(")",H27)-FIND("(",H27)-1),
    _xlfn.XLOOKUP(
        $H27,
        型とバイト数!$B$3:$B$53,
        型とバイト数!$E$3:$E$53,
        IF(LEFT($H27,7)="varchar",_xlpm.可変bit数*8,
            IF(LEFT($H27,3)="bit",_xlpm.可変bit数,"???"))
    )
)</f>
        <v>256</v>
      </c>
      <c r="J27" s="22"/>
      <c r="K27" s="22"/>
      <c r="L27" s="24"/>
      <c r="M27" s="22" t="str">
        <f>IF(K27="","",IF(L27="","参照先未定義",_xlfn.XLOOKUP(L27,B:B,C:C,"エラー")))</f>
        <v/>
      </c>
      <c r="N27" s="22" t="s">
        <v>52</v>
      </c>
      <c r="O27" s="22"/>
      <c r="P27" s="22" t="s">
        <v>125</v>
      </c>
      <c r="Q27" s="22"/>
      <c r="R27" s="24"/>
      <c r="S27" s="24"/>
      <c r="T27" s="24"/>
      <c r="U27" s="22" t="s">
        <v>126</v>
      </c>
    </row>
    <row r="28" spans="1:21" ht="18.75" customHeight="1" x14ac:dyDescent="0.25">
      <c r="A28" s="24" t="s">
        <v>47</v>
      </c>
      <c r="B28" s="24" t="str">
        <f t="shared" si="0"/>
        <v>vtuber_profiles_soft_delete_flag</v>
      </c>
      <c r="C28" s="25">
        <f t="shared" si="1"/>
        <v>27</v>
      </c>
      <c r="D28" s="22" t="str">
        <f t="shared" ref="D28:E28" si="28">D27</f>
        <v>vtuber_profiles</v>
      </c>
      <c r="E28" s="22" t="str">
        <f t="shared" si="28"/>
        <v>Vtuberプロフィール</v>
      </c>
      <c r="F28" s="22" t="s">
        <v>131</v>
      </c>
      <c r="G28" s="22" t="s">
        <v>132</v>
      </c>
      <c r="H28" s="22" t="s">
        <v>133</v>
      </c>
      <c r="I28" s="22">
        <f>_xlfn.LET(
    _xlpm.可変bit数,--MID(H28,FIND("(",H28)+1,FIND(")",H28)-FIND("(",H28)-1),
    _xlfn.XLOOKUP(
        $H28,
        型とバイト数!$B$3:$B$53,
        型とバイト数!$E$3:$E$53,
        IF(LEFT($H28,7)="varchar",_xlpm.可変bit数*8,
            IF(LEFT($H28,3)="bit",_xlpm.可変bit数,"???"))
    )
)</f>
        <v>1</v>
      </c>
      <c r="J28" s="22"/>
      <c r="K28" s="22"/>
      <c r="L28" s="24"/>
      <c r="M28" s="22" t="str">
        <f>IF(K28="","",IF(L28="","参照先未定義",_xlfn.XLOOKUP(L28,B:B,C:C,"エラー")))</f>
        <v/>
      </c>
      <c r="N28" s="22" t="s">
        <v>52</v>
      </c>
      <c r="O28" s="22"/>
      <c r="P28" s="22" t="b">
        <v>0</v>
      </c>
      <c r="Q28" s="22"/>
      <c r="R28" s="24"/>
      <c r="S28" s="24"/>
      <c r="T28" s="24"/>
      <c r="U28" s="22"/>
    </row>
    <row r="29" spans="1:21" ht="18.75" customHeight="1" x14ac:dyDescent="0.25">
      <c r="A29" s="24" t="s">
        <v>47</v>
      </c>
      <c r="B29" s="24" t="str">
        <f t="shared" si="0"/>
        <v>vtuber_profiles_hard_delete_flag</v>
      </c>
      <c r="C29" s="25">
        <f t="shared" si="1"/>
        <v>28</v>
      </c>
      <c r="D29" s="22" t="str">
        <f t="shared" ref="D29:E29" si="29">D28</f>
        <v>vtuber_profiles</v>
      </c>
      <c r="E29" s="22" t="str">
        <f t="shared" si="29"/>
        <v>Vtuberプロフィール</v>
      </c>
      <c r="F29" s="22" t="s">
        <v>134</v>
      </c>
      <c r="G29" s="22" t="s">
        <v>135</v>
      </c>
      <c r="H29" s="22" t="s">
        <v>133</v>
      </c>
      <c r="I29" s="22">
        <f>_xlfn.LET(
    _xlpm.可変bit数,--MID(H29,FIND("(",H29)+1,FIND(")",H29)-FIND("(",H29)-1),
    _xlfn.XLOOKUP(
        $H29,
        型とバイト数!$B$3:$B$53,
        型とバイト数!$E$3:$E$53,
        IF(LEFT($H29,7)="varchar",_xlpm.可変bit数*8,
            IF(LEFT($H29,3)="bit",_xlpm.可変bit数,"???"))
    )
)</f>
        <v>1</v>
      </c>
      <c r="J29" s="22"/>
      <c r="K29" s="22"/>
      <c r="L29" s="24"/>
      <c r="M29" s="22" t="str">
        <f>IF(K29="","",IF(L29="","参照先未定義",_xlfn.XLOOKUP(L29,B:B,C:C,"エラー")))</f>
        <v/>
      </c>
      <c r="N29" s="22" t="s">
        <v>52</v>
      </c>
      <c r="O29" s="22"/>
      <c r="P29" s="22" t="b">
        <v>0</v>
      </c>
      <c r="Q29" s="22"/>
      <c r="R29" s="24"/>
      <c r="S29" s="24"/>
      <c r="T29" s="24"/>
      <c r="U29" s="22"/>
    </row>
    <row r="30" spans="1:21" ht="18.75" customHeight="1" x14ac:dyDescent="0.25">
      <c r="A30" s="24" t="s">
        <v>47</v>
      </c>
      <c r="B30" s="24" t="str">
        <f t="shared" si="0"/>
        <v>group_uuid</v>
      </c>
      <c r="C30" s="25">
        <f t="shared" si="1"/>
        <v>29</v>
      </c>
      <c r="D30" s="22" t="s">
        <v>69</v>
      </c>
      <c r="E30" s="22" t="s">
        <v>70</v>
      </c>
      <c r="F30" s="22" t="s">
        <v>50</v>
      </c>
      <c r="G30" s="22" t="s">
        <v>51</v>
      </c>
      <c r="H30" s="22" t="s">
        <v>50</v>
      </c>
      <c r="I30" s="22">
        <f>_xlfn.LET(
    _xlpm.可変bit数,--MID(H30,FIND("(",H30)+1,FIND(")",H30)-FIND("(",H30)-1),
    _xlfn.XLOOKUP(
        $H30,
        型とバイト数!$B$3:$B$53,
        型とバイト数!$E$3:$E$53,
        IF(LEFT($H30,7)="varchar",_xlpm.可変bit数*8,
            IF(LEFT($H30,3)="bit",_xlpm.可変bit数,"???"))
    )
)</f>
        <v>128</v>
      </c>
      <c r="J30" s="22" t="s">
        <v>52</v>
      </c>
      <c r="K30" s="22"/>
      <c r="L30" s="24"/>
      <c r="M30" s="22" t="str">
        <f>IF(K30="","",IF(L30="","参照先未定義",_xlfn.XLOOKUP(L30,B:B,C:C,"エラー")))</f>
        <v/>
      </c>
      <c r="N30" s="22" t="s">
        <v>52</v>
      </c>
      <c r="O30" s="22" t="s">
        <v>52</v>
      </c>
      <c r="P30" s="22" t="s">
        <v>53</v>
      </c>
      <c r="Q30" s="22"/>
      <c r="R30" s="24"/>
      <c r="S30" s="24"/>
      <c r="T30" s="24"/>
      <c r="U30" s="22"/>
    </row>
    <row r="31" spans="1:21" ht="18.75" customHeight="1" x14ac:dyDescent="0.25">
      <c r="A31" s="24" t="s">
        <v>47</v>
      </c>
      <c r="B31" s="24" t="str">
        <f t="shared" si="0"/>
        <v>group_group_name</v>
      </c>
      <c r="C31" s="25">
        <f t="shared" si="1"/>
        <v>30</v>
      </c>
      <c r="D31" s="22" t="str">
        <f t="shared" ref="D31:E31" si="30">D30</f>
        <v>group</v>
      </c>
      <c r="E31" s="22" t="str">
        <f t="shared" si="30"/>
        <v>所属</v>
      </c>
      <c r="F31" s="22" t="s">
        <v>136</v>
      </c>
      <c r="G31" s="22" t="s">
        <v>137</v>
      </c>
      <c r="H31" s="22" t="s">
        <v>71</v>
      </c>
      <c r="I31" s="22">
        <f>_xlfn.LET(
    _xlpm.可変bit数,--MID(H31,FIND("(",H31)+1,FIND(")",H31)-FIND("(",H31)-1),
    _xlfn.XLOOKUP(
        $H31,
        型とバイト数!$B$3:$B$53,
        型とバイト数!$E$3:$E$53,
        IF(LEFT($H31,7)="varchar",_xlpm.可変bit数*8,
            IF(LEFT($H31,3)="bit",_xlpm.可変bit数,"???"))
    )
)</f>
        <v>512</v>
      </c>
      <c r="J31" s="22" t="s">
        <v>52</v>
      </c>
      <c r="K31" s="22"/>
      <c r="L31" s="24"/>
      <c r="M31" s="22" t="str">
        <f>IF(K31="","",IF(L31="","参照先未定義",_xlfn.XLOOKUP(L31,B:B,C:C,"エラー")))</f>
        <v/>
      </c>
      <c r="N31" s="22" t="s">
        <v>52</v>
      </c>
      <c r="O31" s="22" t="s">
        <v>52</v>
      </c>
      <c r="P31" s="22"/>
      <c r="Q31" s="22"/>
      <c r="R31" s="24"/>
      <c r="S31" s="24"/>
      <c r="T31" s="24" t="s">
        <v>52</v>
      </c>
      <c r="U31" s="22"/>
    </row>
    <row r="32" spans="1:21" ht="18.75" customHeight="1" x14ac:dyDescent="0.25">
      <c r="A32" s="24" t="s">
        <v>47</v>
      </c>
      <c r="B32" s="24" t="str">
        <f t="shared" si="0"/>
        <v>group_operation_status</v>
      </c>
      <c r="C32" s="25">
        <f t="shared" si="1"/>
        <v>31</v>
      </c>
      <c r="D32" s="22" t="str">
        <f t="shared" ref="D32:E32" si="31">D31</f>
        <v>group</v>
      </c>
      <c r="E32" s="22" t="str">
        <f t="shared" si="31"/>
        <v>所属</v>
      </c>
      <c r="F32" s="22" t="s">
        <v>138</v>
      </c>
      <c r="G32" s="22" t="s">
        <v>139</v>
      </c>
      <c r="H32" s="22" t="s">
        <v>56</v>
      </c>
      <c r="I32" s="22">
        <f>_xlfn.LET(
    _xlpm.可変bit数,--MID(H32,FIND("(",H32)+1,FIND(")",H32)-FIND("(",H32)-1),
    _xlfn.XLOOKUP(
        $H32,
        型とバイト数!$B$3:$B$53,
        型とバイト数!$E$3:$E$53,
        IF(LEFT($H32,7)="varchar",_xlpm.可変bit数*8,
            IF(LEFT($H32,3)="bit",_xlpm.可変bit数,"???"))
    )
)</f>
        <v>64</v>
      </c>
      <c r="J32" s="22"/>
      <c r="K32" s="22" t="s">
        <v>52</v>
      </c>
      <c r="L32" s="24" t="s">
        <v>116</v>
      </c>
      <c r="M32" s="22">
        <f>IF(K32="","",IF(L32="","参照先未定義",_xlfn.XLOOKUP(L32,B:B,C:C,"エラー")))</f>
        <v>57</v>
      </c>
      <c r="N32" s="22"/>
      <c r="O32" s="22"/>
      <c r="P32" s="22"/>
      <c r="Q32" s="22"/>
      <c r="R32" s="24"/>
      <c r="S32" s="24"/>
      <c r="T32" s="24"/>
      <c r="U32" s="22"/>
    </row>
    <row r="33" spans="1:21" ht="18.75" customHeight="1" x14ac:dyDescent="0.25">
      <c r="A33" s="24" t="s">
        <v>47</v>
      </c>
      <c r="B33" s="24" t="str">
        <f t="shared" si="0"/>
        <v>group_group_detail</v>
      </c>
      <c r="C33" s="25">
        <f t="shared" si="1"/>
        <v>32</v>
      </c>
      <c r="D33" s="22" t="str">
        <f t="shared" ref="D33:E33" si="32">D32</f>
        <v>group</v>
      </c>
      <c r="E33" s="22" t="str">
        <f t="shared" si="32"/>
        <v>所属</v>
      </c>
      <c r="F33" s="22" t="s">
        <v>140</v>
      </c>
      <c r="G33" s="22" t="s">
        <v>141</v>
      </c>
      <c r="H33" s="22" t="s">
        <v>94</v>
      </c>
      <c r="I33" s="22" t="str">
        <f>_xlfn.LET(
    _xlpm.可変bit数,--MID(H33,FIND("(",H33)+1,FIND(")",H33)-FIND("(",H33)-1),
    _xlfn.XLOOKUP(
        $H33,
        型とバイト数!$B$3:$B$53,
        型とバイト数!$E$3:$E$53,
        IF(LEFT($H33,7)="varchar",_xlpm.可変bit数*8,
            IF(LEFT($H33,3)="bit",_xlpm.可変bit数,"???"))
    )
)</f>
        <v>-</v>
      </c>
      <c r="J33" s="22"/>
      <c r="K33" s="22"/>
      <c r="L33" s="24"/>
      <c r="M33" s="22" t="str">
        <f>IF(K33="","",IF(L33="","参照先未定義",_xlfn.XLOOKUP(L33,B:B,C:C,"エラー")))</f>
        <v/>
      </c>
      <c r="N33" s="22"/>
      <c r="O33" s="22"/>
      <c r="P33" s="22"/>
      <c r="Q33" s="22"/>
      <c r="R33" s="24"/>
      <c r="S33" s="24"/>
      <c r="T33" s="24"/>
      <c r="U33" s="22"/>
    </row>
    <row r="34" spans="1:21" ht="18.75" customHeight="1" x14ac:dyDescent="0.25">
      <c r="A34" s="24" t="s">
        <v>47</v>
      </c>
      <c r="B34" s="24" t="str">
        <f t="shared" si="0"/>
        <v>group_create_datetime</v>
      </c>
      <c r="C34" s="25">
        <f t="shared" si="1"/>
        <v>33</v>
      </c>
      <c r="D34" s="22" t="str">
        <f t="shared" ref="D34:E34" si="33">D33</f>
        <v>group</v>
      </c>
      <c r="E34" s="22" t="str">
        <f t="shared" si="33"/>
        <v>所属</v>
      </c>
      <c r="F34" s="22" t="s">
        <v>120</v>
      </c>
      <c r="G34" s="22" t="s">
        <v>121</v>
      </c>
      <c r="H34" s="22" t="s">
        <v>78</v>
      </c>
      <c r="I34" s="22">
        <f>_xlfn.LET(
    _xlpm.可変bit数,--MID(H34,FIND("(",H34)+1,FIND(")",H34)-FIND("(",H34)-1),
    _xlfn.XLOOKUP(
        $H34,
        型とバイト数!$B$3:$B$53,
        型とバイト数!$E$3:$E$53,
        IF(LEFT($H34,7)="varchar",_xlpm.可変bit数*8,
            IF(LEFT($H34,3)="bit",_xlpm.可変bit数,"???"))
    )
)</f>
        <v>64</v>
      </c>
      <c r="J34" s="22"/>
      <c r="K34" s="22"/>
      <c r="L34" s="24"/>
      <c r="M34" s="22" t="str">
        <f>IF(K34="","",IF(L34="","参照先未定義",_xlfn.XLOOKUP(L34,B:B,C:C,"エラー")))</f>
        <v/>
      </c>
      <c r="N34" s="22" t="s">
        <v>52</v>
      </c>
      <c r="O34" s="22"/>
      <c r="P34" s="22" t="s">
        <v>122</v>
      </c>
      <c r="Q34" s="22"/>
      <c r="R34" s="24"/>
      <c r="S34" s="24"/>
      <c r="T34" s="24"/>
      <c r="U34" s="22"/>
    </row>
    <row r="35" spans="1:21" ht="18.75" customHeight="1" x14ac:dyDescent="0.25">
      <c r="A35" s="24" t="s">
        <v>47</v>
      </c>
      <c r="B35" s="24" t="str">
        <f t="shared" si="0"/>
        <v>group_create_user</v>
      </c>
      <c r="C35" s="25">
        <f t="shared" si="1"/>
        <v>34</v>
      </c>
      <c r="D35" s="22" t="str">
        <f t="shared" ref="D35:E35" si="34">D34</f>
        <v>group</v>
      </c>
      <c r="E35" s="22" t="str">
        <f t="shared" si="34"/>
        <v>所属</v>
      </c>
      <c r="F35" s="22" t="s">
        <v>123</v>
      </c>
      <c r="G35" s="22" t="s">
        <v>124</v>
      </c>
      <c r="H35" s="22" t="s">
        <v>75</v>
      </c>
      <c r="I35" s="22">
        <f>_xlfn.LET(
    _xlpm.可変bit数,--MID(H35,FIND("(",H35)+1,FIND(")",H35)-FIND("(",H35)-1),
    _xlfn.XLOOKUP(
        $H35,
        型とバイト数!$B$3:$B$53,
        型とバイト数!$E$3:$E$53,
        IF(LEFT($H35,7)="varchar",_xlpm.可変bit数*8,
            IF(LEFT($H35,3)="bit",_xlpm.可変bit数,"???"))
    )
)</f>
        <v>256</v>
      </c>
      <c r="J35" s="22"/>
      <c r="K35" s="22"/>
      <c r="L35" s="24"/>
      <c r="M35" s="22" t="str">
        <f>IF(K35="","",IF(L35="","参照先未定義",_xlfn.XLOOKUP(L35,B:B,C:C,"エラー")))</f>
        <v/>
      </c>
      <c r="N35" s="22" t="s">
        <v>52</v>
      </c>
      <c r="O35" s="22"/>
      <c r="P35" s="22" t="s">
        <v>125</v>
      </c>
      <c r="Q35" s="22"/>
      <c r="R35" s="24"/>
      <c r="S35" s="24"/>
      <c r="T35" s="24"/>
      <c r="U35" s="22" t="s">
        <v>126</v>
      </c>
    </row>
    <row r="36" spans="1:21" ht="18.75" customHeight="1" x14ac:dyDescent="0.25">
      <c r="A36" s="24" t="s">
        <v>47</v>
      </c>
      <c r="B36" s="24" t="str">
        <f t="shared" si="0"/>
        <v>group_update_datetime</v>
      </c>
      <c r="C36" s="25">
        <f t="shared" si="1"/>
        <v>35</v>
      </c>
      <c r="D36" s="22" t="str">
        <f t="shared" ref="D36:E36" si="35">D35</f>
        <v>group</v>
      </c>
      <c r="E36" s="22" t="str">
        <f t="shared" si="35"/>
        <v>所属</v>
      </c>
      <c r="F36" s="22" t="s">
        <v>127</v>
      </c>
      <c r="G36" s="22" t="s">
        <v>128</v>
      </c>
      <c r="H36" s="22" t="s">
        <v>78</v>
      </c>
      <c r="I36" s="22">
        <f>_xlfn.LET(
    _xlpm.可変bit数,--MID(H36,FIND("(",H36)+1,FIND(")",H36)-FIND("(",H36)-1),
    _xlfn.XLOOKUP(
        $H36,
        型とバイト数!$B$3:$B$53,
        型とバイト数!$E$3:$E$53,
        IF(LEFT($H36,7)="varchar",_xlpm.可変bit数*8,
            IF(LEFT($H36,3)="bit",_xlpm.可変bit数,"???"))
    )
)</f>
        <v>64</v>
      </c>
      <c r="J36" s="22"/>
      <c r="K36" s="22"/>
      <c r="L36" s="24"/>
      <c r="M36" s="22" t="str">
        <f>IF(K36="","",IF(L36="","参照先未定義",_xlfn.XLOOKUP(L36,B:B,C:C,"エラー")))</f>
        <v/>
      </c>
      <c r="N36" s="22" t="s">
        <v>52</v>
      </c>
      <c r="O36" s="22"/>
      <c r="P36" s="22" t="s">
        <v>122</v>
      </c>
      <c r="Q36" s="22"/>
      <c r="R36" s="24"/>
      <c r="S36" s="24"/>
      <c r="T36" s="24"/>
      <c r="U36" s="22"/>
    </row>
    <row r="37" spans="1:21" ht="18.75" customHeight="1" x14ac:dyDescent="0.25">
      <c r="A37" s="24" t="s">
        <v>47</v>
      </c>
      <c r="B37" s="24" t="str">
        <f t="shared" si="0"/>
        <v>group_update_user</v>
      </c>
      <c r="C37" s="25">
        <f t="shared" si="1"/>
        <v>36</v>
      </c>
      <c r="D37" s="22" t="str">
        <f t="shared" ref="D37:E37" si="36">D36</f>
        <v>group</v>
      </c>
      <c r="E37" s="22" t="str">
        <f t="shared" si="36"/>
        <v>所属</v>
      </c>
      <c r="F37" s="22" t="s">
        <v>129</v>
      </c>
      <c r="G37" s="22" t="s">
        <v>130</v>
      </c>
      <c r="H37" s="22" t="s">
        <v>75</v>
      </c>
      <c r="I37" s="22">
        <f>_xlfn.LET(
    _xlpm.可変bit数,--MID(H37,FIND("(",H37)+1,FIND(")",H37)-FIND("(",H37)-1),
    _xlfn.XLOOKUP(
        $H37,
        型とバイト数!$B$3:$B$53,
        型とバイト数!$E$3:$E$53,
        IF(LEFT($H37,7)="varchar",_xlpm.可変bit数*8,
            IF(LEFT($H37,3)="bit",_xlpm.可変bit数,"???"))
    )
)</f>
        <v>256</v>
      </c>
      <c r="J37" s="22"/>
      <c r="K37" s="22"/>
      <c r="L37" s="24"/>
      <c r="M37" s="22" t="str">
        <f>IF(K37="","",IF(L37="","参照先未定義",_xlfn.XLOOKUP(L37,B:B,C:C,"エラー")))</f>
        <v/>
      </c>
      <c r="N37" s="22" t="s">
        <v>52</v>
      </c>
      <c r="O37" s="22"/>
      <c r="P37" s="22" t="s">
        <v>125</v>
      </c>
      <c r="Q37" s="22"/>
      <c r="R37" s="24"/>
      <c r="S37" s="24"/>
      <c r="T37" s="24"/>
      <c r="U37" s="22" t="s">
        <v>126</v>
      </c>
    </row>
    <row r="38" spans="1:21" ht="18.75" customHeight="1" x14ac:dyDescent="0.25">
      <c r="A38" s="24" t="s">
        <v>47</v>
      </c>
      <c r="B38" s="24" t="str">
        <f t="shared" si="0"/>
        <v>group_soft_delete_flag</v>
      </c>
      <c r="C38" s="25">
        <f t="shared" si="1"/>
        <v>37</v>
      </c>
      <c r="D38" s="22" t="str">
        <f t="shared" ref="D38:E38" si="37">D37</f>
        <v>group</v>
      </c>
      <c r="E38" s="22" t="str">
        <f t="shared" si="37"/>
        <v>所属</v>
      </c>
      <c r="F38" s="22" t="s">
        <v>131</v>
      </c>
      <c r="G38" s="22" t="s">
        <v>132</v>
      </c>
      <c r="H38" s="22" t="s">
        <v>133</v>
      </c>
      <c r="I38" s="22">
        <f>_xlfn.LET(
    _xlpm.可変bit数,--MID(H38,FIND("(",H38)+1,FIND(")",H38)-FIND("(",H38)-1),
    _xlfn.XLOOKUP(
        $H38,
        型とバイト数!$B$3:$B$53,
        型とバイト数!$E$3:$E$53,
        IF(LEFT($H38,7)="varchar",_xlpm.可変bit数*8,
            IF(LEFT($H38,3)="bit",_xlpm.可変bit数,"???"))
    )
)</f>
        <v>1</v>
      </c>
      <c r="J38" s="22"/>
      <c r="K38" s="22"/>
      <c r="L38" s="24"/>
      <c r="M38" s="22" t="str">
        <f>IF(K38="","",IF(L38="","参照先未定義",_xlfn.XLOOKUP(L38,B:B,C:C,"エラー")))</f>
        <v/>
      </c>
      <c r="N38" s="22" t="s">
        <v>52</v>
      </c>
      <c r="O38" s="22"/>
      <c r="P38" s="22" t="b">
        <v>0</v>
      </c>
      <c r="Q38" s="22"/>
      <c r="R38" s="24"/>
      <c r="S38" s="24"/>
      <c r="T38" s="24"/>
      <c r="U38" s="22"/>
    </row>
    <row r="39" spans="1:21" ht="18.75" customHeight="1" x14ac:dyDescent="0.25">
      <c r="A39" s="24" t="s">
        <v>47</v>
      </c>
      <c r="B39" s="24" t="str">
        <f t="shared" si="0"/>
        <v>group_hard_delete_flag</v>
      </c>
      <c r="C39" s="25">
        <f t="shared" si="1"/>
        <v>38</v>
      </c>
      <c r="D39" s="22" t="str">
        <f t="shared" ref="D39:E39" si="38">D38</f>
        <v>group</v>
      </c>
      <c r="E39" s="22" t="str">
        <f t="shared" si="38"/>
        <v>所属</v>
      </c>
      <c r="F39" s="22" t="s">
        <v>134</v>
      </c>
      <c r="G39" s="22" t="s">
        <v>135</v>
      </c>
      <c r="H39" s="22" t="s">
        <v>133</v>
      </c>
      <c r="I39" s="22">
        <f>_xlfn.LET(
    _xlpm.可変bit数,--MID(H39,FIND("(",H39)+1,FIND(")",H39)-FIND("(",H39)-1),
    _xlfn.XLOOKUP(
        $H39,
        型とバイト数!$B$3:$B$53,
        型とバイト数!$E$3:$E$53,
        IF(LEFT($H39,7)="varchar",_xlpm.可変bit数*8,
            IF(LEFT($H39,3)="bit",_xlpm.可変bit数,"???"))
    )
)</f>
        <v>1</v>
      </c>
      <c r="J39" s="22"/>
      <c r="K39" s="22"/>
      <c r="L39" s="24"/>
      <c r="M39" s="22" t="str">
        <f>IF(K39="","",IF(L39="","参照先未定義",_xlfn.XLOOKUP(L39,B:B,C:C,"エラー")))</f>
        <v/>
      </c>
      <c r="N39" s="22" t="s">
        <v>52</v>
      </c>
      <c r="O39" s="22"/>
      <c r="P39" s="22" t="b">
        <v>0</v>
      </c>
      <c r="Q39" s="22"/>
      <c r="R39" s="24"/>
      <c r="S39" s="24"/>
      <c r="T39" s="24"/>
      <c r="U39" s="22"/>
    </row>
    <row r="40" spans="1:21" ht="18.75" customHeight="1" x14ac:dyDescent="0.25">
      <c r="A40" s="24" t="s">
        <v>47</v>
      </c>
      <c r="B40" s="24" t="str">
        <f t="shared" si="0"/>
        <v>tag_uuid</v>
      </c>
      <c r="C40" s="25">
        <f t="shared" si="1"/>
        <v>39</v>
      </c>
      <c r="D40" s="22" t="s">
        <v>142</v>
      </c>
      <c r="E40" s="22" t="s">
        <v>87</v>
      </c>
      <c r="F40" s="22" t="s">
        <v>50</v>
      </c>
      <c r="G40" s="22" t="s">
        <v>51</v>
      </c>
      <c r="H40" s="22" t="s">
        <v>50</v>
      </c>
      <c r="I40" s="22">
        <f>_xlfn.LET(
    _xlpm.可変bit数,--MID(H40,FIND("(",H40)+1,FIND(")",H40)-FIND("(",H40)-1),
    _xlfn.XLOOKUP(
        $H40,
        型とバイト数!$B$3:$B$53,
        型とバイト数!$E$3:$E$53,
        IF(LEFT($H40,7)="varchar",_xlpm.可変bit数*8,
            IF(LEFT($H40,3)="bit",_xlpm.可変bit数,"???"))
    )
)</f>
        <v>128</v>
      </c>
      <c r="J40" s="22" t="s">
        <v>52</v>
      </c>
      <c r="K40" s="22"/>
      <c r="L40" s="24"/>
      <c r="M40" s="22" t="str">
        <f>IF(K40="","",IF(L40="","参照先未定義",_xlfn.XLOOKUP(L40,B:B,C:C,"エラー")))</f>
        <v/>
      </c>
      <c r="N40" s="22" t="s">
        <v>52</v>
      </c>
      <c r="O40" s="22" t="s">
        <v>52</v>
      </c>
      <c r="P40" s="22" t="s">
        <v>53</v>
      </c>
      <c r="Q40" s="22"/>
      <c r="R40" s="24"/>
      <c r="S40" s="24"/>
      <c r="T40" s="24"/>
      <c r="U40" s="22"/>
    </row>
    <row r="41" spans="1:21" ht="18.75" customHeight="1" x14ac:dyDescent="0.25">
      <c r="A41" s="24" t="s">
        <v>47</v>
      </c>
      <c r="B41" s="24" t="str">
        <f t="shared" si="0"/>
        <v>tag_tag</v>
      </c>
      <c r="C41" s="25">
        <f t="shared" si="1"/>
        <v>40</v>
      </c>
      <c r="D41" s="22" t="str">
        <f t="shared" ref="D41:E41" si="39">D40</f>
        <v>tag</v>
      </c>
      <c r="E41" s="22" t="str">
        <f t="shared" si="39"/>
        <v>タグ</v>
      </c>
      <c r="F41" s="22" t="s">
        <v>142</v>
      </c>
      <c r="G41" s="22" t="s">
        <v>143</v>
      </c>
      <c r="H41" s="22" t="s">
        <v>94</v>
      </c>
      <c r="I41" s="22" t="str">
        <f>_xlfn.LET(
    _xlpm.可変bit数,--MID(H41,FIND("(",H41)+1,FIND(")",H41)-FIND("(",H41)-1),
    _xlfn.XLOOKUP(
        $H41,
        型とバイト数!$B$3:$B$53,
        型とバイト数!$E$3:$E$53,
        IF(LEFT($H41,7)="varchar",_xlpm.可変bit数*8,
            IF(LEFT($H41,3)="bit",_xlpm.可変bit数,"???"))
    )
)</f>
        <v>-</v>
      </c>
      <c r="J41" s="22" t="s">
        <v>52</v>
      </c>
      <c r="K41" s="22"/>
      <c r="L41" s="24"/>
      <c r="M41" s="22" t="str">
        <f>IF(K41="","",IF(L41="","参照先未定義",_xlfn.XLOOKUP(L41,B:B,C:C,"エラー")))</f>
        <v/>
      </c>
      <c r="N41" s="22" t="s">
        <v>52</v>
      </c>
      <c r="O41" s="22" t="s">
        <v>52</v>
      </c>
      <c r="P41" s="22"/>
      <c r="Q41" s="22"/>
      <c r="R41" s="24"/>
      <c r="S41" s="24"/>
      <c r="T41" s="24" t="s">
        <v>52</v>
      </c>
      <c r="U41" s="22"/>
    </row>
    <row r="42" spans="1:21" ht="18.75" customHeight="1" x14ac:dyDescent="0.25">
      <c r="A42" s="24" t="s">
        <v>47</v>
      </c>
      <c r="B42" s="24" t="str">
        <f t="shared" si="0"/>
        <v>tag_create_datetime</v>
      </c>
      <c r="C42" s="25">
        <f t="shared" si="1"/>
        <v>41</v>
      </c>
      <c r="D42" s="22" t="str">
        <f t="shared" ref="D42:E42" si="40">D41</f>
        <v>tag</v>
      </c>
      <c r="E42" s="22" t="str">
        <f t="shared" si="40"/>
        <v>タグ</v>
      </c>
      <c r="F42" s="22" t="s">
        <v>120</v>
      </c>
      <c r="G42" s="22" t="s">
        <v>121</v>
      </c>
      <c r="H42" s="22" t="s">
        <v>78</v>
      </c>
      <c r="I42" s="22">
        <f>_xlfn.LET(
    _xlpm.可変bit数,--MID(H42,FIND("(",H42)+1,FIND(")",H42)-FIND("(",H42)-1),
    _xlfn.XLOOKUP(
        $H42,
        型とバイト数!$B$3:$B$53,
        型とバイト数!$E$3:$E$53,
        IF(LEFT($H42,7)="varchar",_xlpm.可変bit数*8,
            IF(LEFT($H42,3)="bit",_xlpm.可変bit数,"???"))
    )
)</f>
        <v>64</v>
      </c>
      <c r="J42" s="22"/>
      <c r="K42" s="22"/>
      <c r="L42" s="24"/>
      <c r="M42" s="22" t="str">
        <f>IF(K42="","",IF(L42="","参照先未定義",_xlfn.XLOOKUP(L42,B:B,C:C,"エラー")))</f>
        <v/>
      </c>
      <c r="N42" s="22" t="s">
        <v>52</v>
      </c>
      <c r="O42" s="22"/>
      <c r="P42" s="22" t="s">
        <v>122</v>
      </c>
      <c r="Q42" s="22"/>
      <c r="R42" s="24"/>
      <c r="S42" s="24"/>
      <c r="T42" s="24"/>
      <c r="U42" s="22"/>
    </row>
    <row r="43" spans="1:21" ht="18.75" customHeight="1" x14ac:dyDescent="0.25">
      <c r="A43" s="24" t="s">
        <v>47</v>
      </c>
      <c r="B43" s="24" t="str">
        <f t="shared" si="0"/>
        <v>tag_create_user</v>
      </c>
      <c r="C43" s="25">
        <f t="shared" si="1"/>
        <v>42</v>
      </c>
      <c r="D43" s="22" t="str">
        <f t="shared" ref="D43:E43" si="41">D42</f>
        <v>tag</v>
      </c>
      <c r="E43" s="22" t="str">
        <f t="shared" si="41"/>
        <v>タグ</v>
      </c>
      <c r="F43" s="22" t="s">
        <v>123</v>
      </c>
      <c r="G43" s="22" t="s">
        <v>124</v>
      </c>
      <c r="H43" s="22" t="s">
        <v>75</v>
      </c>
      <c r="I43" s="22">
        <f>_xlfn.LET(
    _xlpm.可変bit数,--MID(H43,FIND("(",H43)+1,FIND(")",H43)-FIND("(",H43)-1),
    _xlfn.XLOOKUP(
        $H43,
        型とバイト数!$B$3:$B$53,
        型とバイト数!$E$3:$E$53,
        IF(LEFT($H43,7)="varchar",_xlpm.可変bit数*8,
            IF(LEFT($H43,3)="bit",_xlpm.可変bit数,"???"))
    )
)</f>
        <v>256</v>
      </c>
      <c r="J43" s="22"/>
      <c r="K43" s="22"/>
      <c r="L43" s="24"/>
      <c r="M43" s="22" t="str">
        <f>IF(K43="","",IF(L43="","参照先未定義",_xlfn.XLOOKUP(L43,B:B,C:C,"エラー")))</f>
        <v/>
      </c>
      <c r="N43" s="22" t="s">
        <v>52</v>
      </c>
      <c r="O43" s="22"/>
      <c r="P43" s="22" t="s">
        <v>125</v>
      </c>
      <c r="Q43" s="22"/>
      <c r="R43" s="24"/>
      <c r="S43" s="24"/>
      <c r="T43" s="24"/>
      <c r="U43" s="22" t="s">
        <v>126</v>
      </c>
    </row>
    <row r="44" spans="1:21" ht="18.75" customHeight="1" x14ac:dyDescent="0.25">
      <c r="A44" s="24" t="s">
        <v>47</v>
      </c>
      <c r="B44" s="24" t="str">
        <f t="shared" si="0"/>
        <v>tag_update_datetime</v>
      </c>
      <c r="C44" s="25">
        <f t="shared" si="1"/>
        <v>43</v>
      </c>
      <c r="D44" s="22" t="str">
        <f t="shared" ref="D44:E44" si="42">D43</f>
        <v>tag</v>
      </c>
      <c r="E44" s="22" t="str">
        <f t="shared" si="42"/>
        <v>タグ</v>
      </c>
      <c r="F44" s="22" t="s">
        <v>127</v>
      </c>
      <c r="G44" s="22" t="s">
        <v>128</v>
      </c>
      <c r="H44" s="22" t="s">
        <v>78</v>
      </c>
      <c r="I44" s="22">
        <f>_xlfn.LET(
    _xlpm.可変bit数,--MID(H44,FIND("(",H44)+1,FIND(")",H44)-FIND("(",H44)-1),
    _xlfn.XLOOKUP(
        $H44,
        型とバイト数!$B$3:$B$53,
        型とバイト数!$E$3:$E$53,
        IF(LEFT($H44,7)="varchar",_xlpm.可変bit数*8,
            IF(LEFT($H44,3)="bit",_xlpm.可変bit数,"???"))
    )
)</f>
        <v>64</v>
      </c>
      <c r="J44" s="22"/>
      <c r="K44" s="22"/>
      <c r="L44" s="24"/>
      <c r="M44" s="22" t="str">
        <f>IF(K44="","",IF(L44="","参照先未定義",_xlfn.XLOOKUP(L44,B:B,C:C,"エラー")))</f>
        <v/>
      </c>
      <c r="N44" s="22" t="s">
        <v>52</v>
      </c>
      <c r="O44" s="22"/>
      <c r="P44" s="22" t="s">
        <v>122</v>
      </c>
      <c r="Q44" s="22"/>
      <c r="R44" s="24"/>
      <c r="S44" s="24"/>
      <c r="T44" s="24"/>
      <c r="U44" s="22"/>
    </row>
    <row r="45" spans="1:21" ht="18.75" customHeight="1" x14ac:dyDescent="0.25">
      <c r="A45" s="24" t="s">
        <v>47</v>
      </c>
      <c r="B45" s="24" t="str">
        <f t="shared" si="0"/>
        <v>tag_update_user</v>
      </c>
      <c r="C45" s="25">
        <f t="shared" si="1"/>
        <v>44</v>
      </c>
      <c r="D45" s="22" t="str">
        <f t="shared" ref="D45:E45" si="43">D44</f>
        <v>tag</v>
      </c>
      <c r="E45" s="22" t="str">
        <f t="shared" si="43"/>
        <v>タグ</v>
      </c>
      <c r="F45" s="22" t="s">
        <v>129</v>
      </c>
      <c r="G45" s="22" t="s">
        <v>130</v>
      </c>
      <c r="H45" s="22" t="s">
        <v>75</v>
      </c>
      <c r="I45" s="22">
        <f>_xlfn.LET(
    _xlpm.可変bit数,--MID(H45,FIND("(",H45)+1,FIND(")",H45)-FIND("(",H45)-1),
    _xlfn.XLOOKUP(
        $H45,
        型とバイト数!$B$3:$B$53,
        型とバイト数!$E$3:$E$53,
        IF(LEFT($H45,7)="varchar",_xlpm.可変bit数*8,
            IF(LEFT($H45,3)="bit",_xlpm.可変bit数,"???"))
    )
)</f>
        <v>256</v>
      </c>
      <c r="J45" s="22"/>
      <c r="K45" s="22"/>
      <c r="L45" s="24"/>
      <c r="M45" s="22" t="str">
        <f>IF(K45="","",IF(L45="","参照先未定義",_xlfn.XLOOKUP(L45,B:B,C:C,"エラー")))</f>
        <v/>
      </c>
      <c r="N45" s="22" t="s">
        <v>52</v>
      </c>
      <c r="O45" s="22"/>
      <c r="P45" s="22" t="s">
        <v>125</v>
      </c>
      <c r="Q45" s="22"/>
      <c r="R45" s="24"/>
      <c r="S45" s="24"/>
      <c r="T45" s="24"/>
      <c r="U45" s="22" t="s">
        <v>126</v>
      </c>
    </row>
    <row r="46" spans="1:21" ht="18.75" customHeight="1" x14ac:dyDescent="0.25">
      <c r="A46" s="24" t="s">
        <v>47</v>
      </c>
      <c r="B46" s="24" t="str">
        <f t="shared" si="0"/>
        <v>tag_soft_delete_flag</v>
      </c>
      <c r="C46" s="25">
        <f t="shared" si="1"/>
        <v>45</v>
      </c>
      <c r="D46" s="22" t="str">
        <f t="shared" ref="D46:E46" si="44">D45</f>
        <v>tag</v>
      </c>
      <c r="E46" s="22" t="str">
        <f t="shared" si="44"/>
        <v>タグ</v>
      </c>
      <c r="F46" s="22" t="s">
        <v>131</v>
      </c>
      <c r="G46" s="22" t="s">
        <v>132</v>
      </c>
      <c r="H46" s="22" t="s">
        <v>133</v>
      </c>
      <c r="I46" s="22">
        <f>_xlfn.LET(
    _xlpm.可変bit数,--MID(H46,FIND("(",H46)+1,FIND(")",H46)-FIND("(",H46)-1),
    _xlfn.XLOOKUP(
        $H46,
        型とバイト数!$B$3:$B$53,
        型とバイト数!$E$3:$E$53,
        IF(LEFT($H46,7)="varchar",_xlpm.可変bit数*8,
            IF(LEFT($H46,3)="bit",_xlpm.可変bit数,"???"))
    )
)</f>
        <v>1</v>
      </c>
      <c r="J46" s="22"/>
      <c r="K46" s="22"/>
      <c r="L46" s="24"/>
      <c r="M46" s="22" t="str">
        <f>IF(K46="","",IF(L46="","参照先未定義",_xlfn.XLOOKUP(L46,B:B,C:C,"エラー")))</f>
        <v/>
      </c>
      <c r="N46" s="22" t="s">
        <v>52</v>
      </c>
      <c r="O46" s="22"/>
      <c r="P46" s="22" t="b">
        <v>0</v>
      </c>
      <c r="Q46" s="22"/>
      <c r="R46" s="24"/>
      <c r="S46" s="24"/>
      <c r="T46" s="24"/>
      <c r="U46" s="22"/>
    </row>
    <row r="47" spans="1:21" ht="18.75" customHeight="1" x14ac:dyDescent="0.25">
      <c r="A47" s="24" t="s">
        <v>47</v>
      </c>
      <c r="B47" s="24" t="str">
        <f t="shared" si="0"/>
        <v>tag_hard_delete_flag</v>
      </c>
      <c r="C47" s="25">
        <f t="shared" si="1"/>
        <v>46</v>
      </c>
      <c r="D47" s="22" t="str">
        <f t="shared" ref="D47:E47" si="45">D46</f>
        <v>tag</v>
      </c>
      <c r="E47" s="22" t="str">
        <f t="shared" si="45"/>
        <v>タグ</v>
      </c>
      <c r="F47" s="22" t="s">
        <v>134</v>
      </c>
      <c r="G47" s="22" t="s">
        <v>135</v>
      </c>
      <c r="H47" s="22" t="s">
        <v>133</v>
      </c>
      <c r="I47" s="22">
        <f>_xlfn.LET(
    _xlpm.可変bit数,--MID(H47,FIND("(",H47)+1,FIND(")",H47)-FIND("(",H47)-1),
    _xlfn.XLOOKUP(
        $H47,
        型とバイト数!$B$3:$B$53,
        型とバイト数!$E$3:$E$53,
        IF(LEFT($H47,7)="varchar",_xlpm.可変bit数*8,
            IF(LEFT($H47,3)="bit",_xlpm.可変bit数,"???"))
    )
)</f>
        <v>1</v>
      </c>
      <c r="J47" s="22"/>
      <c r="K47" s="22"/>
      <c r="L47" s="24"/>
      <c r="M47" s="22" t="str">
        <f>IF(K47="","",IF(L47="","参照先未定義",_xlfn.XLOOKUP(L47,B:B,C:C,"エラー")))</f>
        <v/>
      </c>
      <c r="N47" s="22" t="s">
        <v>52</v>
      </c>
      <c r="O47" s="22"/>
      <c r="P47" s="22" t="b">
        <v>0</v>
      </c>
      <c r="Q47" s="22"/>
      <c r="R47" s="24"/>
      <c r="S47" s="24"/>
      <c r="T47" s="24"/>
      <c r="U47" s="22"/>
    </row>
    <row r="48" spans="1:21" ht="18.75" customHeight="1" x14ac:dyDescent="0.25">
      <c r="A48" s="24" t="s">
        <v>47</v>
      </c>
      <c r="B48" s="24" t="str">
        <f t="shared" si="0"/>
        <v>badge_uuid</v>
      </c>
      <c r="C48" s="25">
        <f t="shared" si="1"/>
        <v>47</v>
      </c>
      <c r="D48" s="22" t="s">
        <v>144</v>
      </c>
      <c r="E48" s="22" t="s">
        <v>145</v>
      </c>
      <c r="F48" s="22" t="s">
        <v>50</v>
      </c>
      <c r="G48" s="22" t="s">
        <v>51</v>
      </c>
      <c r="H48" s="22" t="s">
        <v>50</v>
      </c>
      <c r="I48" s="22">
        <f>_xlfn.LET(
    _xlpm.可変bit数,--MID(H48,FIND("(",H48)+1,FIND(")",H48)-FIND("(",H48)-1),
    _xlfn.XLOOKUP(
        $H48,
        型とバイト数!$B$3:$B$53,
        型とバイト数!$E$3:$E$53,
        IF(LEFT($H48,7)="varchar",_xlpm.可変bit数*8,
            IF(LEFT($H48,3)="bit",_xlpm.可変bit数,"???"))
    )
)</f>
        <v>128</v>
      </c>
      <c r="J48" s="22" t="s">
        <v>52</v>
      </c>
      <c r="K48" s="22"/>
      <c r="L48" s="24"/>
      <c r="M48" s="22" t="str">
        <f>IF(K48="","",IF(L48="","参照先未定義",_xlfn.XLOOKUP(L48,B:B,C:C,"エラー")))</f>
        <v/>
      </c>
      <c r="N48" s="22" t="s">
        <v>52</v>
      </c>
      <c r="O48" s="22" t="s">
        <v>52</v>
      </c>
      <c r="P48" s="22" t="s">
        <v>53</v>
      </c>
      <c r="Q48" s="22"/>
      <c r="R48" s="24"/>
      <c r="S48" s="24"/>
      <c r="T48" s="24"/>
      <c r="U48" s="22"/>
    </row>
    <row r="49" spans="1:21" ht="18.75" customHeight="1" x14ac:dyDescent="0.25">
      <c r="A49" s="24" t="s">
        <v>47</v>
      </c>
      <c r="B49" s="24" t="str">
        <f t="shared" si="0"/>
        <v>badge_badge_physical_name</v>
      </c>
      <c r="C49" s="25">
        <f t="shared" si="1"/>
        <v>48</v>
      </c>
      <c r="D49" s="22" t="str">
        <f t="shared" ref="D49:E49" si="46">D48</f>
        <v>badge</v>
      </c>
      <c r="E49" s="22" t="str">
        <f t="shared" si="46"/>
        <v>バッジ</v>
      </c>
      <c r="F49" s="22" t="s">
        <v>146</v>
      </c>
      <c r="G49" s="22" t="s">
        <v>147</v>
      </c>
      <c r="H49" s="22" t="s">
        <v>148</v>
      </c>
      <c r="I49" s="22">
        <f>_xlfn.LET(
    _xlpm.可変bit数,--MID(H49,FIND("(",H49)+1,FIND(")",H49)-FIND("(",H49)-1),
    _xlfn.XLOOKUP(
        $H49,
        型とバイト数!$B$3:$B$53,
        型とバイト数!$E$3:$E$53,
        IF(LEFT($H49,7)="varchar",_xlpm.可変bit数*8,
            IF(LEFT($H49,3)="bit",_xlpm.可変bit数,"???"))
    )
)</f>
        <v>192</v>
      </c>
      <c r="J49" s="22" t="s">
        <v>52</v>
      </c>
      <c r="K49" s="22"/>
      <c r="L49" s="24"/>
      <c r="M49" s="22" t="str">
        <f>IF(K49="","",IF(L49="","参照先未定義",_xlfn.XLOOKUP(L49,B:B,C:C,"エラー")))</f>
        <v/>
      </c>
      <c r="N49" s="22"/>
      <c r="O49" s="22" t="s">
        <v>52</v>
      </c>
      <c r="P49" s="22"/>
      <c r="Q49" s="22"/>
      <c r="R49" s="24"/>
      <c r="S49" s="24"/>
      <c r="T49" s="24" t="s">
        <v>52</v>
      </c>
      <c r="U49" s="22"/>
    </row>
    <row r="50" spans="1:21" ht="18.75" customHeight="1" x14ac:dyDescent="0.25">
      <c r="A50" s="24" t="s">
        <v>47</v>
      </c>
      <c r="B50" s="24" t="str">
        <f t="shared" si="0"/>
        <v>badge_badge_logical_name</v>
      </c>
      <c r="C50" s="25">
        <f t="shared" si="1"/>
        <v>49</v>
      </c>
      <c r="D50" s="22" t="str">
        <f t="shared" ref="D50:E50" si="47">D49</f>
        <v>badge</v>
      </c>
      <c r="E50" s="22" t="str">
        <f t="shared" si="47"/>
        <v>バッジ</v>
      </c>
      <c r="F50" s="22" t="s">
        <v>149</v>
      </c>
      <c r="G50" s="22" t="s">
        <v>150</v>
      </c>
      <c r="H50" s="22" t="s">
        <v>148</v>
      </c>
      <c r="I50" s="22">
        <f>_xlfn.LET(
    _xlpm.可変bit数,--MID(H50,FIND("(",H50)+1,FIND(")",H50)-FIND("(",H50)-1),
    _xlfn.XLOOKUP(
        $H50,
        型とバイト数!$B$3:$B$53,
        型とバイト数!$E$3:$E$53,
        IF(LEFT($H50,7)="varchar",_xlpm.可変bit数*8,
            IF(LEFT($H50,3)="bit",_xlpm.可変bit数,"???"))
    )
)</f>
        <v>192</v>
      </c>
      <c r="J50" s="22"/>
      <c r="K50" s="22"/>
      <c r="L50" s="24"/>
      <c r="M50" s="22" t="str">
        <f>IF(K50="","",IF(L50="","参照先未定義",_xlfn.XLOOKUP(L50,B:B,C:C,"エラー")))</f>
        <v/>
      </c>
      <c r="N50" s="22"/>
      <c r="O50" s="22"/>
      <c r="P50" s="22"/>
      <c r="Q50" s="22"/>
      <c r="R50" s="24"/>
      <c r="S50" s="24"/>
      <c r="T50" s="24" t="s">
        <v>52</v>
      </c>
      <c r="U50" s="22" t="s">
        <v>151</v>
      </c>
    </row>
    <row r="51" spans="1:21" ht="18.75" customHeight="1" x14ac:dyDescent="0.25">
      <c r="A51" s="24" t="s">
        <v>47</v>
      </c>
      <c r="B51" s="24" t="str">
        <f t="shared" si="0"/>
        <v>badge_create_datetime</v>
      </c>
      <c r="C51" s="25">
        <f t="shared" si="1"/>
        <v>50</v>
      </c>
      <c r="D51" s="22" t="str">
        <f t="shared" ref="D51:E51" si="48">D50</f>
        <v>badge</v>
      </c>
      <c r="E51" s="22" t="str">
        <f t="shared" si="48"/>
        <v>バッジ</v>
      </c>
      <c r="F51" s="22" t="s">
        <v>120</v>
      </c>
      <c r="G51" s="22" t="s">
        <v>121</v>
      </c>
      <c r="H51" s="22" t="s">
        <v>78</v>
      </c>
      <c r="I51" s="22">
        <f>_xlfn.LET(
    _xlpm.可変bit数,--MID(H51,FIND("(",H51)+1,FIND(")",H51)-FIND("(",H51)-1),
    _xlfn.XLOOKUP(
        $H51,
        型とバイト数!$B$3:$B$53,
        型とバイト数!$E$3:$E$53,
        IF(LEFT($H51,7)="varchar",_xlpm.可変bit数*8,
            IF(LEFT($H51,3)="bit",_xlpm.可変bit数,"???"))
    )
)</f>
        <v>64</v>
      </c>
      <c r="J51" s="22"/>
      <c r="K51" s="22"/>
      <c r="L51" s="24"/>
      <c r="M51" s="22" t="str">
        <f>IF(K51="","",IF(L51="","参照先未定義",_xlfn.XLOOKUP(L51,B:B,C:C,"エラー")))</f>
        <v/>
      </c>
      <c r="N51" s="22" t="s">
        <v>52</v>
      </c>
      <c r="O51" s="22"/>
      <c r="P51" s="22" t="s">
        <v>122</v>
      </c>
      <c r="Q51" s="22"/>
      <c r="R51" s="24"/>
      <c r="S51" s="24"/>
      <c r="T51" s="24"/>
      <c r="U51" s="22"/>
    </row>
    <row r="52" spans="1:21" ht="18.75" customHeight="1" x14ac:dyDescent="0.25">
      <c r="A52" s="24" t="s">
        <v>47</v>
      </c>
      <c r="B52" s="24" t="str">
        <f t="shared" si="0"/>
        <v>badge_create_user</v>
      </c>
      <c r="C52" s="25">
        <f t="shared" si="1"/>
        <v>51</v>
      </c>
      <c r="D52" s="22" t="str">
        <f t="shared" ref="D52:E52" si="49">D51</f>
        <v>badge</v>
      </c>
      <c r="E52" s="22" t="str">
        <f t="shared" si="49"/>
        <v>バッジ</v>
      </c>
      <c r="F52" s="22" t="s">
        <v>123</v>
      </c>
      <c r="G52" s="22" t="s">
        <v>124</v>
      </c>
      <c r="H52" s="22" t="s">
        <v>75</v>
      </c>
      <c r="I52" s="22">
        <f>_xlfn.LET(
    _xlpm.可変bit数,--MID(H52,FIND("(",H52)+1,FIND(")",H52)-FIND("(",H52)-1),
    _xlfn.XLOOKUP(
        $H52,
        型とバイト数!$B$3:$B$53,
        型とバイト数!$E$3:$E$53,
        IF(LEFT($H52,7)="varchar",_xlpm.可変bit数*8,
            IF(LEFT($H52,3)="bit",_xlpm.可変bit数,"???"))
    )
)</f>
        <v>256</v>
      </c>
      <c r="J52" s="22"/>
      <c r="K52" s="22"/>
      <c r="L52" s="24"/>
      <c r="M52" s="22" t="str">
        <f>IF(K52="","",IF(L52="","参照先未定義",_xlfn.XLOOKUP(L52,B:B,C:C,"エラー")))</f>
        <v/>
      </c>
      <c r="N52" s="22" t="s">
        <v>52</v>
      </c>
      <c r="O52" s="22"/>
      <c r="P52" s="22" t="s">
        <v>125</v>
      </c>
      <c r="Q52" s="22"/>
      <c r="R52" s="24"/>
      <c r="S52" s="24"/>
      <c r="T52" s="24"/>
      <c r="U52" s="22" t="s">
        <v>126</v>
      </c>
    </row>
    <row r="53" spans="1:21" ht="18.75" customHeight="1" x14ac:dyDescent="0.25">
      <c r="A53" s="24" t="s">
        <v>47</v>
      </c>
      <c r="B53" s="24" t="str">
        <f t="shared" si="0"/>
        <v>badge_update_datetime</v>
      </c>
      <c r="C53" s="25">
        <f t="shared" si="1"/>
        <v>52</v>
      </c>
      <c r="D53" s="22" t="str">
        <f t="shared" ref="D53:E53" si="50">D52</f>
        <v>badge</v>
      </c>
      <c r="E53" s="22" t="str">
        <f t="shared" si="50"/>
        <v>バッジ</v>
      </c>
      <c r="F53" s="22" t="s">
        <v>127</v>
      </c>
      <c r="G53" s="22" t="s">
        <v>128</v>
      </c>
      <c r="H53" s="22" t="s">
        <v>78</v>
      </c>
      <c r="I53" s="22">
        <f>_xlfn.LET(
    _xlpm.可変bit数,--MID(H53,FIND("(",H53)+1,FIND(")",H53)-FIND("(",H53)-1),
    _xlfn.XLOOKUP(
        $H53,
        型とバイト数!$B$3:$B$53,
        型とバイト数!$E$3:$E$53,
        IF(LEFT($H53,7)="varchar",_xlpm.可変bit数*8,
            IF(LEFT($H53,3)="bit",_xlpm.可変bit数,"???"))
    )
)</f>
        <v>64</v>
      </c>
      <c r="J53" s="22"/>
      <c r="K53" s="22"/>
      <c r="L53" s="24"/>
      <c r="M53" s="22" t="str">
        <f>IF(K53="","",IF(L53="","参照先未定義",_xlfn.XLOOKUP(L53,B:B,C:C,"エラー")))</f>
        <v/>
      </c>
      <c r="N53" s="22" t="s">
        <v>52</v>
      </c>
      <c r="O53" s="22"/>
      <c r="P53" s="22" t="s">
        <v>122</v>
      </c>
      <c r="Q53" s="22"/>
      <c r="R53" s="24"/>
      <c r="S53" s="24"/>
      <c r="T53" s="24"/>
      <c r="U53" s="22"/>
    </row>
    <row r="54" spans="1:21" ht="18.75" customHeight="1" x14ac:dyDescent="0.25">
      <c r="A54" s="24" t="s">
        <v>47</v>
      </c>
      <c r="B54" s="24" t="str">
        <f t="shared" si="0"/>
        <v>badge_update_user</v>
      </c>
      <c r="C54" s="25">
        <f t="shared" si="1"/>
        <v>53</v>
      </c>
      <c r="D54" s="22" t="str">
        <f t="shared" ref="D54:E54" si="51">D53</f>
        <v>badge</v>
      </c>
      <c r="E54" s="22" t="str">
        <f t="shared" si="51"/>
        <v>バッジ</v>
      </c>
      <c r="F54" s="22" t="s">
        <v>129</v>
      </c>
      <c r="G54" s="22" t="s">
        <v>130</v>
      </c>
      <c r="H54" s="22" t="s">
        <v>75</v>
      </c>
      <c r="I54" s="22">
        <f>_xlfn.LET(
    _xlpm.可変bit数,--MID(H54,FIND("(",H54)+1,FIND(")",H54)-FIND("(",H54)-1),
    _xlfn.XLOOKUP(
        $H54,
        型とバイト数!$B$3:$B$53,
        型とバイト数!$E$3:$E$53,
        IF(LEFT($H54,7)="varchar",_xlpm.可変bit数*8,
            IF(LEFT($H54,3)="bit",_xlpm.可変bit数,"???"))
    )
)</f>
        <v>256</v>
      </c>
      <c r="J54" s="22"/>
      <c r="K54" s="22"/>
      <c r="L54" s="24"/>
      <c r="M54" s="22" t="str">
        <f>IF(K54="","",IF(L54="","参照先未定義",_xlfn.XLOOKUP(L54,B:B,C:C,"エラー")))</f>
        <v/>
      </c>
      <c r="N54" s="22" t="s">
        <v>52</v>
      </c>
      <c r="O54" s="22"/>
      <c r="P54" s="22" t="s">
        <v>125</v>
      </c>
      <c r="Q54" s="22"/>
      <c r="R54" s="24"/>
      <c r="S54" s="24"/>
      <c r="T54" s="24"/>
      <c r="U54" s="22" t="s">
        <v>126</v>
      </c>
    </row>
    <row r="55" spans="1:21" ht="18.75" customHeight="1" x14ac:dyDescent="0.25">
      <c r="A55" s="24" t="s">
        <v>47</v>
      </c>
      <c r="B55" s="24" t="str">
        <f t="shared" si="0"/>
        <v>badge_soft_delete_flag</v>
      </c>
      <c r="C55" s="25">
        <f t="shared" si="1"/>
        <v>54</v>
      </c>
      <c r="D55" s="22" t="str">
        <f t="shared" ref="D55:E55" si="52">D54</f>
        <v>badge</v>
      </c>
      <c r="E55" s="22" t="str">
        <f t="shared" si="52"/>
        <v>バッジ</v>
      </c>
      <c r="F55" s="22" t="s">
        <v>131</v>
      </c>
      <c r="G55" s="22" t="s">
        <v>132</v>
      </c>
      <c r="H55" s="22" t="s">
        <v>133</v>
      </c>
      <c r="I55" s="22">
        <f>_xlfn.LET(
    _xlpm.可変bit数,--MID(H55,FIND("(",H55)+1,FIND(")",H55)-FIND("(",H55)-1),
    _xlfn.XLOOKUP(
        $H55,
        型とバイト数!$B$3:$B$53,
        型とバイト数!$E$3:$E$53,
        IF(LEFT($H55,7)="varchar",_xlpm.可変bit数*8,
            IF(LEFT($H55,3)="bit",_xlpm.可変bit数,"???"))
    )
)</f>
        <v>1</v>
      </c>
      <c r="J55" s="22"/>
      <c r="K55" s="22"/>
      <c r="L55" s="24"/>
      <c r="M55" s="22" t="str">
        <f>IF(K55="","",IF(L55="","参照先未定義",_xlfn.XLOOKUP(L55,B:B,C:C,"エラー")))</f>
        <v/>
      </c>
      <c r="N55" s="22" t="s">
        <v>52</v>
      </c>
      <c r="O55" s="22"/>
      <c r="P55" s="22" t="b">
        <v>0</v>
      </c>
      <c r="Q55" s="22"/>
      <c r="R55" s="24"/>
      <c r="S55" s="24"/>
      <c r="T55" s="24"/>
      <c r="U55" s="22"/>
    </row>
    <row r="56" spans="1:21" ht="18.75" customHeight="1" x14ac:dyDescent="0.25">
      <c r="A56" s="24" t="s">
        <v>47</v>
      </c>
      <c r="B56" s="24" t="str">
        <f t="shared" si="0"/>
        <v>badge_hard_delete_flag</v>
      </c>
      <c r="C56" s="25">
        <f t="shared" si="1"/>
        <v>55</v>
      </c>
      <c r="D56" s="22" t="str">
        <f t="shared" ref="D56:E56" si="53">D55</f>
        <v>badge</v>
      </c>
      <c r="E56" s="22" t="str">
        <f t="shared" si="53"/>
        <v>バッジ</v>
      </c>
      <c r="F56" s="22" t="s">
        <v>134</v>
      </c>
      <c r="G56" s="22" t="s">
        <v>135</v>
      </c>
      <c r="H56" s="22" t="s">
        <v>133</v>
      </c>
      <c r="I56" s="22">
        <f>_xlfn.LET(
    _xlpm.可変bit数,--MID(H56,FIND("(",H56)+1,FIND(")",H56)-FIND("(",H56)-1),
    _xlfn.XLOOKUP(
        $H56,
        型とバイト数!$B$3:$B$53,
        型とバイト数!$E$3:$E$53,
        IF(LEFT($H56,7)="varchar",_xlpm.可変bit数*8,
            IF(LEFT($H56,3)="bit",_xlpm.可変bit数,"???"))
    )
)</f>
        <v>1</v>
      </c>
      <c r="J56" s="22"/>
      <c r="K56" s="22"/>
      <c r="L56" s="24"/>
      <c r="M56" s="22" t="str">
        <f>IF(K56="","",IF(L56="","参照先未定義",_xlfn.XLOOKUP(L56,B:B,C:C,"エラー")))</f>
        <v/>
      </c>
      <c r="N56" s="22" t="s">
        <v>52</v>
      </c>
      <c r="O56" s="22"/>
      <c r="P56" s="22" t="b">
        <v>0</v>
      </c>
      <c r="Q56" s="22"/>
      <c r="R56" s="24"/>
      <c r="S56" s="24"/>
      <c r="T56" s="24"/>
      <c r="U56" s="22"/>
    </row>
    <row r="57" spans="1:21" ht="18.75" customHeight="1" x14ac:dyDescent="0.25">
      <c r="A57" s="24" t="s">
        <v>47</v>
      </c>
      <c r="B57" s="24" t="str">
        <f t="shared" si="0"/>
        <v>activity_status_uuid</v>
      </c>
      <c r="C57" s="25">
        <f t="shared" si="1"/>
        <v>56</v>
      </c>
      <c r="D57" s="22" t="s">
        <v>114</v>
      </c>
      <c r="E57" s="22" t="s">
        <v>115</v>
      </c>
      <c r="F57" s="22" t="s">
        <v>50</v>
      </c>
      <c r="G57" s="22" t="s">
        <v>51</v>
      </c>
      <c r="H57" s="22" t="s">
        <v>50</v>
      </c>
      <c r="I57" s="22">
        <f>_xlfn.LET(
    _xlpm.可変bit数,--MID(H57,FIND("(",H57)+1,FIND(")",H57)-FIND("(",H57)-1),
    _xlfn.XLOOKUP(
        $H57,
        型とバイト数!$B$3:$B$53,
        型とバイト数!$E$3:$E$53,
        IF(LEFT($H57,7)="varchar",_xlpm.可変bit数*8,
            IF(LEFT($H57,3)="bit",_xlpm.可変bit数,"???"))
    )
)</f>
        <v>128</v>
      </c>
      <c r="J57" s="22" t="s">
        <v>52</v>
      </c>
      <c r="K57" s="22"/>
      <c r="L57" s="24"/>
      <c r="M57" s="22" t="str">
        <f>IF(K57="","",IF(L57="","参照先未定義",_xlfn.XLOOKUP(L57,B:B,C:C,"エラー")))</f>
        <v/>
      </c>
      <c r="N57" s="22" t="s">
        <v>52</v>
      </c>
      <c r="O57" s="22" t="s">
        <v>52</v>
      </c>
      <c r="P57" s="22" t="s">
        <v>53</v>
      </c>
      <c r="Q57" s="22"/>
      <c r="R57" s="24"/>
      <c r="S57" s="24"/>
      <c r="T57" s="24"/>
      <c r="U57" s="22"/>
    </row>
    <row r="58" spans="1:21" ht="18.75" customHeight="1" x14ac:dyDescent="0.25">
      <c r="A58" s="24" t="s">
        <v>47</v>
      </c>
      <c r="B58" s="24" t="str">
        <f t="shared" si="0"/>
        <v>activity_status_activity_status_physical_name</v>
      </c>
      <c r="C58" s="25">
        <f t="shared" si="1"/>
        <v>57</v>
      </c>
      <c r="D58" s="22" t="str">
        <f t="shared" ref="D58:E58" si="54">D57</f>
        <v>activity_status</v>
      </c>
      <c r="E58" s="22" t="str">
        <f t="shared" si="54"/>
        <v>活動状態</v>
      </c>
      <c r="F58" s="22" t="s">
        <v>152</v>
      </c>
      <c r="G58" s="22" t="s">
        <v>153</v>
      </c>
      <c r="H58" s="22" t="s">
        <v>56</v>
      </c>
      <c r="I58" s="22">
        <f>_xlfn.LET(
    _xlpm.可変bit数,--MID(H58,FIND("(",H58)+1,FIND(")",H58)-FIND("(",H58)-1),
    _xlfn.XLOOKUP(
        $H58,
        型とバイト数!$B$3:$B$53,
        型とバイト数!$E$3:$E$53,
        IF(LEFT($H58,7)="varchar",_xlpm.可変bit数*8,
            IF(LEFT($H58,3)="bit",_xlpm.可変bit数,"???"))
    )
)</f>
        <v>64</v>
      </c>
      <c r="J58" s="22" t="s">
        <v>52</v>
      </c>
      <c r="K58" s="22"/>
      <c r="L58" s="24"/>
      <c r="M58" s="22" t="str">
        <f>IF(K58="","",IF(L58="","参照先未定義",_xlfn.XLOOKUP(L58,B:B,C:C,"エラー")))</f>
        <v/>
      </c>
      <c r="N58" s="22"/>
      <c r="O58" s="22" t="s">
        <v>52</v>
      </c>
      <c r="P58" s="22"/>
      <c r="Q58" s="22"/>
      <c r="R58" s="24"/>
      <c r="S58" s="24"/>
      <c r="T58" s="24"/>
      <c r="U58" s="22"/>
    </row>
    <row r="59" spans="1:21" ht="18.75" customHeight="1" x14ac:dyDescent="0.25">
      <c r="A59" s="24" t="s">
        <v>47</v>
      </c>
      <c r="B59" s="24" t="str">
        <f t="shared" si="0"/>
        <v>activity_status_activity_status_logical_name</v>
      </c>
      <c r="C59" s="25">
        <f t="shared" si="1"/>
        <v>58</v>
      </c>
      <c r="D59" s="22" t="str">
        <f t="shared" ref="D59:E59" si="55">D58</f>
        <v>activity_status</v>
      </c>
      <c r="E59" s="22" t="str">
        <f t="shared" si="55"/>
        <v>活動状態</v>
      </c>
      <c r="F59" s="22" t="s">
        <v>154</v>
      </c>
      <c r="G59" s="22" t="s">
        <v>155</v>
      </c>
      <c r="H59" s="22" t="s">
        <v>56</v>
      </c>
      <c r="I59" s="22">
        <f>_xlfn.LET(
    _xlpm.可変bit数,--MID(H59,FIND("(",H59)+1,FIND(")",H59)-FIND("(",H59)-1),
    _xlfn.XLOOKUP(
        $H59,
        型とバイト数!$B$3:$B$53,
        型とバイト数!$E$3:$E$53,
        IF(LEFT($H59,7)="varchar",_xlpm.可変bit数*8,
            IF(LEFT($H59,3)="bit",_xlpm.可変bit数,"???"))
    )
)</f>
        <v>64</v>
      </c>
      <c r="J59" s="22"/>
      <c r="K59" s="22"/>
      <c r="L59" s="24"/>
      <c r="M59" s="22" t="str">
        <f>IF(K59="","",IF(L59="","参照先未定義",_xlfn.XLOOKUP(L59,B:B,C:C,"エラー")))</f>
        <v/>
      </c>
      <c r="N59" s="22"/>
      <c r="O59" s="22"/>
      <c r="P59" s="22"/>
      <c r="Q59" s="22"/>
      <c r="R59" s="24"/>
      <c r="S59" s="24"/>
      <c r="T59" s="24"/>
      <c r="U59" s="22" t="s">
        <v>156</v>
      </c>
    </row>
    <row r="60" spans="1:21" ht="18.75" customHeight="1" x14ac:dyDescent="0.25">
      <c r="A60" s="24" t="s">
        <v>47</v>
      </c>
      <c r="B60" s="24" t="str">
        <f t="shared" si="0"/>
        <v>activity_status_create_datetime</v>
      </c>
      <c r="C60" s="25">
        <f t="shared" si="1"/>
        <v>59</v>
      </c>
      <c r="D60" s="22" t="str">
        <f t="shared" ref="D60:E60" si="56">D59</f>
        <v>activity_status</v>
      </c>
      <c r="E60" s="22" t="str">
        <f t="shared" si="56"/>
        <v>活動状態</v>
      </c>
      <c r="F60" s="22" t="s">
        <v>120</v>
      </c>
      <c r="G60" s="22" t="s">
        <v>121</v>
      </c>
      <c r="H60" s="22" t="s">
        <v>78</v>
      </c>
      <c r="I60" s="22">
        <f>_xlfn.LET(
    _xlpm.可変bit数,--MID(H60,FIND("(",H60)+1,FIND(")",H60)-FIND("(",H60)-1),
    _xlfn.XLOOKUP(
        $H60,
        型とバイト数!$B$3:$B$53,
        型とバイト数!$E$3:$E$53,
        IF(LEFT($H60,7)="varchar",_xlpm.可変bit数*8,
            IF(LEFT($H60,3)="bit",_xlpm.可変bit数,"???"))
    )
)</f>
        <v>64</v>
      </c>
      <c r="J60" s="22"/>
      <c r="K60" s="22"/>
      <c r="L60" s="24"/>
      <c r="M60" s="22" t="str">
        <f>IF(K60="","",IF(L60="","参照先未定義",_xlfn.XLOOKUP(L60,B:B,C:C,"エラー")))</f>
        <v/>
      </c>
      <c r="N60" s="22" t="s">
        <v>52</v>
      </c>
      <c r="O60" s="22"/>
      <c r="P60" s="22" t="s">
        <v>122</v>
      </c>
      <c r="Q60" s="22"/>
      <c r="R60" s="24"/>
      <c r="S60" s="24"/>
      <c r="T60" s="24"/>
      <c r="U60" s="22"/>
    </row>
    <row r="61" spans="1:21" ht="18.75" customHeight="1" x14ac:dyDescent="0.25">
      <c r="A61" s="24" t="s">
        <v>47</v>
      </c>
      <c r="B61" s="24" t="str">
        <f t="shared" si="0"/>
        <v>activity_status_create_user</v>
      </c>
      <c r="C61" s="25">
        <f t="shared" si="1"/>
        <v>60</v>
      </c>
      <c r="D61" s="22" t="str">
        <f t="shared" ref="D61:E61" si="57">D60</f>
        <v>activity_status</v>
      </c>
      <c r="E61" s="22" t="str">
        <f t="shared" si="57"/>
        <v>活動状態</v>
      </c>
      <c r="F61" s="22" t="s">
        <v>123</v>
      </c>
      <c r="G61" s="22" t="s">
        <v>124</v>
      </c>
      <c r="H61" s="22" t="s">
        <v>75</v>
      </c>
      <c r="I61" s="22">
        <f>_xlfn.LET(
    _xlpm.可変bit数,--MID(H61,FIND("(",H61)+1,FIND(")",H61)-FIND("(",H61)-1),
    _xlfn.XLOOKUP(
        $H61,
        型とバイト数!$B$3:$B$53,
        型とバイト数!$E$3:$E$53,
        IF(LEFT($H61,7)="varchar",_xlpm.可変bit数*8,
            IF(LEFT($H61,3)="bit",_xlpm.可変bit数,"???"))
    )
)</f>
        <v>256</v>
      </c>
      <c r="J61" s="22"/>
      <c r="K61" s="22"/>
      <c r="L61" s="24"/>
      <c r="M61" s="22" t="str">
        <f>IF(K61="","",IF(L61="","参照先未定義",_xlfn.XLOOKUP(L61,B:B,C:C,"エラー")))</f>
        <v/>
      </c>
      <c r="N61" s="22" t="s">
        <v>52</v>
      </c>
      <c r="O61" s="22"/>
      <c r="P61" s="22" t="s">
        <v>125</v>
      </c>
      <c r="Q61" s="22"/>
      <c r="R61" s="24"/>
      <c r="S61" s="24"/>
      <c r="T61" s="24"/>
      <c r="U61" s="22" t="s">
        <v>126</v>
      </c>
    </row>
    <row r="62" spans="1:21" ht="18.75" customHeight="1" x14ac:dyDescent="0.25">
      <c r="A62" s="24" t="s">
        <v>47</v>
      </c>
      <c r="B62" s="24" t="str">
        <f t="shared" si="0"/>
        <v>activity_status_update_datetime</v>
      </c>
      <c r="C62" s="25">
        <f t="shared" si="1"/>
        <v>61</v>
      </c>
      <c r="D62" s="22" t="str">
        <f t="shared" ref="D62:E62" si="58">D61</f>
        <v>activity_status</v>
      </c>
      <c r="E62" s="22" t="str">
        <f t="shared" si="58"/>
        <v>活動状態</v>
      </c>
      <c r="F62" s="22" t="s">
        <v>127</v>
      </c>
      <c r="G62" s="22" t="s">
        <v>128</v>
      </c>
      <c r="H62" s="22" t="s">
        <v>78</v>
      </c>
      <c r="I62" s="22">
        <f>_xlfn.LET(
    _xlpm.可変bit数,--MID(H62,FIND("(",H62)+1,FIND(")",H62)-FIND("(",H62)-1),
    _xlfn.XLOOKUP(
        $H62,
        型とバイト数!$B$3:$B$53,
        型とバイト数!$E$3:$E$53,
        IF(LEFT($H62,7)="varchar",_xlpm.可変bit数*8,
            IF(LEFT($H62,3)="bit",_xlpm.可変bit数,"???"))
    )
)</f>
        <v>64</v>
      </c>
      <c r="J62" s="22"/>
      <c r="K62" s="22"/>
      <c r="L62" s="24"/>
      <c r="M62" s="22" t="str">
        <f>IF(K62="","",IF(L62="","参照先未定義",_xlfn.XLOOKUP(L62,B:B,C:C,"エラー")))</f>
        <v/>
      </c>
      <c r="N62" s="22" t="s">
        <v>52</v>
      </c>
      <c r="O62" s="22"/>
      <c r="P62" s="22" t="s">
        <v>122</v>
      </c>
      <c r="Q62" s="22"/>
      <c r="R62" s="24"/>
      <c r="S62" s="24"/>
      <c r="T62" s="24"/>
      <c r="U62" s="22"/>
    </row>
    <row r="63" spans="1:21" ht="18.75" customHeight="1" x14ac:dyDescent="0.25">
      <c r="A63" s="24" t="s">
        <v>47</v>
      </c>
      <c r="B63" s="24" t="str">
        <f t="shared" si="0"/>
        <v>activity_status_update_user</v>
      </c>
      <c r="C63" s="25">
        <f t="shared" si="1"/>
        <v>62</v>
      </c>
      <c r="D63" s="22" t="str">
        <f t="shared" ref="D63:E63" si="59">D62</f>
        <v>activity_status</v>
      </c>
      <c r="E63" s="22" t="str">
        <f t="shared" si="59"/>
        <v>活動状態</v>
      </c>
      <c r="F63" s="22" t="s">
        <v>129</v>
      </c>
      <c r="G63" s="22" t="s">
        <v>130</v>
      </c>
      <c r="H63" s="22" t="s">
        <v>75</v>
      </c>
      <c r="I63" s="22">
        <f>_xlfn.LET(
    _xlpm.可変bit数,--MID(H63,FIND("(",H63)+1,FIND(")",H63)-FIND("(",H63)-1),
    _xlfn.XLOOKUP(
        $H63,
        型とバイト数!$B$3:$B$53,
        型とバイト数!$E$3:$E$53,
        IF(LEFT($H63,7)="varchar",_xlpm.可変bit数*8,
            IF(LEFT($H63,3)="bit",_xlpm.可変bit数,"???"))
    )
)</f>
        <v>256</v>
      </c>
      <c r="J63" s="22"/>
      <c r="K63" s="22"/>
      <c r="L63" s="24"/>
      <c r="M63" s="22" t="str">
        <f>IF(K63="","",IF(L63="","参照先未定義",_xlfn.XLOOKUP(L63,B:B,C:C,"エラー")))</f>
        <v/>
      </c>
      <c r="N63" s="22" t="s">
        <v>52</v>
      </c>
      <c r="O63" s="22"/>
      <c r="P63" s="22" t="s">
        <v>125</v>
      </c>
      <c r="Q63" s="22"/>
      <c r="R63" s="24"/>
      <c r="S63" s="24"/>
      <c r="T63" s="24"/>
      <c r="U63" s="22" t="s">
        <v>126</v>
      </c>
    </row>
    <row r="64" spans="1:21" ht="18.75" customHeight="1" x14ac:dyDescent="0.25">
      <c r="A64" s="24" t="s">
        <v>47</v>
      </c>
      <c r="B64" s="24" t="str">
        <f t="shared" si="0"/>
        <v>activity_status_soft_delete_flag</v>
      </c>
      <c r="C64" s="25">
        <f t="shared" si="1"/>
        <v>63</v>
      </c>
      <c r="D64" s="22" t="str">
        <f t="shared" ref="D64:E64" si="60">D63</f>
        <v>activity_status</v>
      </c>
      <c r="E64" s="22" t="str">
        <f t="shared" si="60"/>
        <v>活動状態</v>
      </c>
      <c r="F64" s="22" t="s">
        <v>131</v>
      </c>
      <c r="G64" s="22" t="s">
        <v>132</v>
      </c>
      <c r="H64" s="22" t="s">
        <v>133</v>
      </c>
      <c r="I64" s="22">
        <f>_xlfn.LET(
    _xlpm.可変bit数,--MID(H64,FIND("(",H64)+1,FIND(")",H64)-FIND("(",H64)-1),
    _xlfn.XLOOKUP(
        $H64,
        型とバイト数!$B$3:$B$53,
        型とバイト数!$E$3:$E$53,
        IF(LEFT($H64,7)="varchar",_xlpm.可変bit数*8,
            IF(LEFT($H64,3)="bit",_xlpm.可変bit数,"???"))
    )
)</f>
        <v>1</v>
      </c>
      <c r="J64" s="22"/>
      <c r="K64" s="22"/>
      <c r="L64" s="24"/>
      <c r="M64" s="22" t="str">
        <f>IF(K64="","",IF(L64="","参照先未定義",_xlfn.XLOOKUP(L64,B:B,C:C,"エラー")))</f>
        <v/>
      </c>
      <c r="N64" s="22" t="s">
        <v>52</v>
      </c>
      <c r="O64" s="22"/>
      <c r="P64" s="22" t="b">
        <v>0</v>
      </c>
      <c r="Q64" s="22"/>
      <c r="R64" s="24"/>
      <c r="S64" s="24"/>
      <c r="T64" s="24"/>
      <c r="U64" s="22"/>
    </row>
    <row r="65" spans="1:21" ht="18.75" customHeight="1" x14ac:dyDescent="0.25">
      <c r="A65" s="24" t="s">
        <v>47</v>
      </c>
      <c r="B65" s="24" t="str">
        <f t="shared" si="0"/>
        <v>activity_status_hard_delete_flag</v>
      </c>
      <c r="C65" s="25">
        <f t="shared" si="1"/>
        <v>64</v>
      </c>
      <c r="D65" s="22" t="str">
        <f t="shared" ref="D65:E65" si="61">D64</f>
        <v>activity_status</v>
      </c>
      <c r="E65" s="22" t="str">
        <f t="shared" si="61"/>
        <v>活動状態</v>
      </c>
      <c r="F65" s="22" t="s">
        <v>134</v>
      </c>
      <c r="G65" s="22" t="s">
        <v>135</v>
      </c>
      <c r="H65" s="22" t="s">
        <v>133</v>
      </c>
      <c r="I65" s="22">
        <f>_xlfn.LET(
    _xlpm.可変bit数,--MID(H65,FIND("(",H65)+1,FIND(")",H65)-FIND("(",H65)-1),
    _xlfn.XLOOKUP(
        $H65,
        型とバイト数!$B$3:$B$53,
        型とバイト数!$E$3:$E$53,
        IF(LEFT($H65,7)="varchar",_xlpm.可変bit数*8,
            IF(LEFT($H65,3)="bit",_xlpm.可変bit数,"???"))
    )
)</f>
        <v>1</v>
      </c>
      <c r="J65" s="22"/>
      <c r="K65" s="22"/>
      <c r="L65" s="24"/>
      <c r="M65" s="22" t="str">
        <f>IF(K65="","",IF(L65="","参照先未定義",_xlfn.XLOOKUP(L65,B:B,C:C,"エラー")))</f>
        <v/>
      </c>
      <c r="N65" s="22" t="s">
        <v>52</v>
      </c>
      <c r="O65" s="22"/>
      <c r="P65" s="22" t="b">
        <v>0</v>
      </c>
      <c r="Q65" s="22"/>
      <c r="R65" s="24"/>
      <c r="S65" s="24"/>
      <c r="T65" s="24"/>
      <c r="U65" s="22"/>
    </row>
    <row r="66" spans="1:21" ht="18.75" customHeight="1" x14ac:dyDescent="0.25">
      <c r="A66" s="24" t="s">
        <v>47</v>
      </c>
      <c r="B66" s="24" t="str">
        <f t="shared" si="0"/>
        <v>sns_link_uuid</v>
      </c>
      <c r="C66" s="25">
        <f t="shared" si="1"/>
        <v>65</v>
      </c>
      <c r="D66" s="22" t="s">
        <v>157</v>
      </c>
      <c r="E66" s="22" t="s">
        <v>88</v>
      </c>
      <c r="F66" s="22" t="s">
        <v>50</v>
      </c>
      <c r="G66" s="22" t="s">
        <v>51</v>
      </c>
      <c r="H66" s="22" t="s">
        <v>50</v>
      </c>
      <c r="I66" s="22">
        <f>_xlfn.LET(
    _xlpm.可変bit数,--MID(H66,FIND("(",H66)+1,FIND(")",H66)-FIND("(",H66)-1),
    _xlfn.XLOOKUP(
        $H66,
        型とバイト数!$B$3:$B$53,
        型とバイト数!$E$3:$E$53,
        IF(LEFT($H66,7)="varchar",_xlpm.可変bit数*8,
            IF(LEFT($H66,3)="bit",_xlpm.可変bit数,"???"))
    )
)</f>
        <v>128</v>
      </c>
      <c r="J66" s="22" t="s">
        <v>52</v>
      </c>
      <c r="K66" s="22"/>
      <c r="L66" s="24"/>
      <c r="M66" s="22" t="str">
        <f>IF(K66="","",IF(L66="","参照先未定義",_xlfn.XLOOKUP(L66,B:B,C:C,"エラー")))</f>
        <v/>
      </c>
      <c r="N66" s="22" t="s">
        <v>52</v>
      </c>
      <c r="O66" s="22" t="s">
        <v>52</v>
      </c>
      <c r="P66" s="22" t="s">
        <v>53</v>
      </c>
      <c r="Q66" s="22"/>
      <c r="R66" s="24"/>
      <c r="S66" s="24"/>
      <c r="T66" s="24"/>
      <c r="U66" s="22"/>
    </row>
    <row r="67" spans="1:21" ht="18.75" customHeight="1" x14ac:dyDescent="0.25">
      <c r="A67" s="24" t="s">
        <v>47</v>
      </c>
      <c r="B67" s="24" t="str">
        <f t="shared" si="0"/>
        <v>sns_link_vtuber_profiles_id</v>
      </c>
      <c r="C67" s="25">
        <f t="shared" si="1"/>
        <v>66</v>
      </c>
      <c r="D67" s="22" t="str">
        <f t="shared" ref="D67:E67" si="62">D66</f>
        <v>sns_link</v>
      </c>
      <c r="E67" s="22" t="str">
        <f t="shared" si="62"/>
        <v>SNSリンク</v>
      </c>
      <c r="F67" s="22" t="s">
        <v>54</v>
      </c>
      <c r="G67" s="22" t="s">
        <v>55</v>
      </c>
      <c r="H67" s="22" t="s">
        <v>56</v>
      </c>
      <c r="I67" s="22">
        <f>_xlfn.LET(
    _xlpm.可変bit数,--MID(H67,FIND("(",H67)+1,FIND(")",H67)-FIND("(",H67)-1),
    _xlfn.XLOOKUP(
        $H67,
        型とバイト数!$B$3:$B$53,
        型とバイト数!$E$3:$E$53,
        IF(LEFT($H67,7)="varchar",_xlpm.可変bit数*8,
            IF(LEFT($H67,3)="bit",_xlpm.可変bit数,"???"))
    )
)</f>
        <v>64</v>
      </c>
      <c r="J67" s="22"/>
      <c r="K67" s="22" t="s">
        <v>52</v>
      </c>
      <c r="L67" s="24" t="s">
        <v>525</v>
      </c>
      <c r="M67" s="22">
        <f>IF(K67="","",IF(L67="","参照先未定義",_xlfn.XLOOKUP(L67,B:B,C:C,"エラー")))</f>
        <v>2</v>
      </c>
      <c r="N67" s="22" t="s">
        <v>52</v>
      </c>
      <c r="O67" s="22"/>
      <c r="P67" s="22"/>
      <c r="Q67" s="22"/>
      <c r="R67" s="24"/>
      <c r="S67" s="24"/>
      <c r="T67" s="24"/>
      <c r="U67" s="22"/>
    </row>
    <row r="68" spans="1:21" ht="18.75" customHeight="1" x14ac:dyDescent="0.25">
      <c r="A68" s="24" t="s">
        <v>47</v>
      </c>
      <c r="B68" s="24" t="str">
        <f t="shared" si="0"/>
        <v>sns_link_sns_icon</v>
      </c>
      <c r="C68" s="25">
        <f t="shared" si="1"/>
        <v>67</v>
      </c>
      <c r="D68" s="22" t="str">
        <f t="shared" ref="D68:E68" si="63">D67</f>
        <v>sns_link</v>
      </c>
      <c r="E68" s="22" t="str">
        <f t="shared" si="63"/>
        <v>SNSリンク</v>
      </c>
      <c r="F68" s="22" t="s">
        <v>159</v>
      </c>
      <c r="G68" s="22" t="s">
        <v>160</v>
      </c>
      <c r="H68" s="22" t="s">
        <v>161</v>
      </c>
      <c r="I68" s="22">
        <f>_xlfn.LET(
    _xlpm.可変bit数,--MID(H68,FIND("(",H68)+1,FIND(")",H68)-FIND("(",H68)-1),
    _xlfn.XLOOKUP(
        $H68,
        型とバイト数!$B$3:$B$53,
        型とバイト数!$E$3:$E$53,
        IF(LEFT($H68,7)="varchar",_xlpm.可変bit数*8,
            IF(LEFT($H68,3)="bit",_xlpm.可変bit数,"???"))
    )
)</f>
        <v>72</v>
      </c>
      <c r="J68" s="22"/>
      <c r="K68" s="22" t="s">
        <v>52</v>
      </c>
      <c r="L68" s="24" t="s">
        <v>162</v>
      </c>
      <c r="M68" s="22">
        <f>IF(K68="","",IF(L68="","参照先未定義",_xlfn.XLOOKUP(L68,B:B,C:C,"エラー")))</f>
        <v>153</v>
      </c>
      <c r="N68" s="22"/>
      <c r="O68" s="22"/>
      <c r="P68" s="22"/>
      <c r="Q68" s="22"/>
      <c r="R68" s="24"/>
      <c r="S68" s="24"/>
      <c r="T68" s="24"/>
      <c r="U68" s="22" t="s">
        <v>163</v>
      </c>
    </row>
    <row r="69" spans="1:21" ht="18.75" customHeight="1" x14ac:dyDescent="0.25">
      <c r="A69" s="24" t="s">
        <v>47</v>
      </c>
      <c r="B69" s="24" t="str">
        <f t="shared" si="0"/>
        <v>sns_link_sns_link_label</v>
      </c>
      <c r="C69" s="25">
        <f t="shared" si="1"/>
        <v>68</v>
      </c>
      <c r="D69" s="22" t="str">
        <f t="shared" ref="D69:E69" si="64">D68</f>
        <v>sns_link</v>
      </c>
      <c r="E69" s="22" t="str">
        <f t="shared" si="64"/>
        <v>SNSリンク</v>
      </c>
      <c r="F69" s="22" t="s">
        <v>164</v>
      </c>
      <c r="G69" s="22" t="s">
        <v>165</v>
      </c>
      <c r="H69" s="22" t="s">
        <v>75</v>
      </c>
      <c r="I69" s="22">
        <f>_xlfn.LET(
    _xlpm.可変bit数,--MID(H69,FIND("(",H69)+1,FIND(")",H69)-FIND("(",H69)-1),
    _xlfn.XLOOKUP(
        $H69,
        型とバイト数!$B$3:$B$53,
        型とバイト数!$E$3:$E$53,
        IF(LEFT($H69,7)="varchar",_xlpm.可変bit数*8,
            IF(LEFT($H69,3)="bit",_xlpm.可変bit数,"???"))
    )
)</f>
        <v>256</v>
      </c>
      <c r="J69" s="22"/>
      <c r="K69" s="22"/>
      <c r="L69" s="24"/>
      <c r="M69" s="22" t="str">
        <f>IF(K69="","",IF(L69="","参照先未定義",_xlfn.XLOOKUP(L69,B:B,C:C,"エラー")))</f>
        <v/>
      </c>
      <c r="N69" s="22"/>
      <c r="O69" s="22"/>
      <c r="P69" s="22" t="s">
        <v>166</v>
      </c>
      <c r="Q69" s="22"/>
      <c r="R69" s="24"/>
      <c r="S69" s="24"/>
      <c r="T69" s="24"/>
      <c r="U69" s="22"/>
    </row>
    <row r="70" spans="1:21" ht="18.75" customHeight="1" x14ac:dyDescent="0.25">
      <c r="A70" s="24" t="s">
        <v>47</v>
      </c>
      <c r="B70" s="24" t="str">
        <f t="shared" si="0"/>
        <v>sns_link_sns_url</v>
      </c>
      <c r="C70" s="25">
        <f t="shared" si="1"/>
        <v>69</v>
      </c>
      <c r="D70" s="22" t="str">
        <f t="shared" ref="D70:E70" si="65">D69</f>
        <v>sns_link</v>
      </c>
      <c r="E70" s="22" t="str">
        <f t="shared" si="65"/>
        <v>SNSリンク</v>
      </c>
      <c r="F70" s="22" t="s">
        <v>167</v>
      </c>
      <c r="G70" s="22" t="s">
        <v>91</v>
      </c>
      <c r="H70" s="22" t="s">
        <v>94</v>
      </c>
      <c r="I70" s="22" t="str">
        <f>_xlfn.LET(
    _xlpm.可変bit数,--MID(H70,FIND("(",H70)+1,FIND(")",H70)-FIND("(",H70)-1),
    _xlfn.XLOOKUP(
        $H70,
        型とバイト数!$B$3:$B$53,
        型とバイト数!$E$3:$E$53,
        IF(LEFT($H70,7)="varchar",_xlpm.可変bit数*8,
            IF(LEFT($H70,3)="bit",_xlpm.可変bit数,"???"))
    )
)</f>
        <v>-</v>
      </c>
      <c r="J70" s="22"/>
      <c r="K70" s="22"/>
      <c r="L70" s="24"/>
      <c r="M70" s="22" t="str">
        <f>IF(K70="","",IF(L70="","参照先未定義",_xlfn.XLOOKUP(L70,B:B,C:C,"エラー")))</f>
        <v/>
      </c>
      <c r="N70" s="22" t="s">
        <v>52</v>
      </c>
      <c r="O70" s="22"/>
      <c r="P70" s="22"/>
      <c r="Q70" s="22"/>
      <c r="R70" s="24"/>
      <c r="S70" s="24"/>
      <c r="T70" s="24"/>
      <c r="U70" s="22"/>
    </row>
    <row r="71" spans="1:21" ht="18.75" customHeight="1" x14ac:dyDescent="0.25">
      <c r="A71" s="24" t="s">
        <v>47</v>
      </c>
      <c r="B71" s="24" t="str">
        <f t="shared" si="0"/>
        <v>sns_link_create_datetime</v>
      </c>
      <c r="C71" s="25">
        <f t="shared" si="1"/>
        <v>70</v>
      </c>
      <c r="D71" s="22" t="str">
        <f t="shared" ref="D71:E71" si="66">D70</f>
        <v>sns_link</v>
      </c>
      <c r="E71" s="22" t="str">
        <f t="shared" si="66"/>
        <v>SNSリンク</v>
      </c>
      <c r="F71" s="22" t="s">
        <v>120</v>
      </c>
      <c r="G71" s="22" t="s">
        <v>121</v>
      </c>
      <c r="H71" s="22" t="s">
        <v>78</v>
      </c>
      <c r="I71" s="22">
        <f>_xlfn.LET(
    _xlpm.可変bit数,--MID(H71,FIND("(",H71)+1,FIND(")",H71)-FIND("(",H71)-1),
    _xlfn.XLOOKUP(
        $H71,
        型とバイト数!$B$3:$B$53,
        型とバイト数!$E$3:$E$53,
        IF(LEFT($H71,7)="varchar",_xlpm.可変bit数*8,
            IF(LEFT($H71,3)="bit",_xlpm.可変bit数,"???"))
    )
)</f>
        <v>64</v>
      </c>
      <c r="J71" s="22"/>
      <c r="K71" s="22"/>
      <c r="L71" s="24"/>
      <c r="M71" s="22" t="str">
        <f>IF(K71="","",IF(L71="","参照先未定義",_xlfn.XLOOKUP(L71,B:B,C:C,"エラー")))</f>
        <v/>
      </c>
      <c r="N71" s="22" t="s">
        <v>52</v>
      </c>
      <c r="O71" s="22"/>
      <c r="P71" s="22" t="s">
        <v>122</v>
      </c>
      <c r="Q71" s="22"/>
      <c r="R71" s="24"/>
      <c r="S71" s="24"/>
      <c r="T71" s="24"/>
      <c r="U71" s="22"/>
    </row>
    <row r="72" spans="1:21" ht="18.75" customHeight="1" x14ac:dyDescent="0.25">
      <c r="A72" s="24" t="s">
        <v>47</v>
      </c>
      <c r="B72" s="24" t="str">
        <f t="shared" si="0"/>
        <v>sns_link_create_user</v>
      </c>
      <c r="C72" s="25">
        <f t="shared" si="1"/>
        <v>71</v>
      </c>
      <c r="D72" s="22" t="str">
        <f t="shared" ref="D72:E72" si="67">D71</f>
        <v>sns_link</v>
      </c>
      <c r="E72" s="22" t="str">
        <f t="shared" si="67"/>
        <v>SNSリンク</v>
      </c>
      <c r="F72" s="22" t="s">
        <v>123</v>
      </c>
      <c r="G72" s="22" t="s">
        <v>124</v>
      </c>
      <c r="H72" s="22" t="s">
        <v>75</v>
      </c>
      <c r="I72" s="22">
        <f>_xlfn.LET(
    _xlpm.可変bit数,--MID(H72,FIND("(",H72)+1,FIND(")",H72)-FIND("(",H72)-1),
    _xlfn.XLOOKUP(
        $H72,
        型とバイト数!$B$3:$B$53,
        型とバイト数!$E$3:$E$53,
        IF(LEFT($H72,7)="varchar",_xlpm.可変bit数*8,
            IF(LEFT($H72,3)="bit",_xlpm.可変bit数,"???"))
    )
)</f>
        <v>256</v>
      </c>
      <c r="J72" s="22"/>
      <c r="K72" s="22"/>
      <c r="L72" s="24"/>
      <c r="M72" s="22" t="str">
        <f>IF(K72="","",IF(L72="","参照先未定義",_xlfn.XLOOKUP(L72,B:B,C:C,"エラー")))</f>
        <v/>
      </c>
      <c r="N72" s="22" t="s">
        <v>52</v>
      </c>
      <c r="O72" s="22"/>
      <c r="P72" s="22" t="s">
        <v>125</v>
      </c>
      <c r="Q72" s="22"/>
      <c r="R72" s="24"/>
      <c r="S72" s="24"/>
      <c r="T72" s="24"/>
      <c r="U72" s="22" t="s">
        <v>126</v>
      </c>
    </row>
    <row r="73" spans="1:21" ht="18.75" customHeight="1" x14ac:dyDescent="0.25">
      <c r="A73" s="24" t="s">
        <v>47</v>
      </c>
      <c r="B73" s="24" t="str">
        <f t="shared" si="0"/>
        <v>sns_link_update_datetime</v>
      </c>
      <c r="C73" s="25">
        <f t="shared" si="1"/>
        <v>72</v>
      </c>
      <c r="D73" s="22" t="str">
        <f t="shared" ref="D73:E73" si="68">D72</f>
        <v>sns_link</v>
      </c>
      <c r="E73" s="22" t="str">
        <f t="shared" si="68"/>
        <v>SNSリンク</v>
      </c>
      <c r="F73" s="22" t="s">
        <v>127</v>
      </c>
      <c r="G73" s="22" t="s">
        <v>128</v>
      </c>
      <c r="H73" s="22" t="s">
        <v>78</v>
      </c>
      <c r="I73" s="22">
        <f>_xlfn.LET(
    _xlpm.可変bit数,--MID(H73,FIND("(",H73)+1,FIND(")",H73)-FIND("(",H73)-1),
    _xlfn.XLOOKUP(
        $H73,
        型とバイト数!$B$3:$B$53,
        型とバイト数!$E$3:$E$53,
        IF(LEFT($H73,7)="varchar",_xlpm.可変bit数*8,
            IF(LEFT($H73,3)="bit",_xlpm.可変bit数,"???"))
    )
)</f>
        <v>64</v>
      </c>
      <c r="J73" s="22"/>
      <c r="K73" s="22"/>
      <c r="L73" s="24"/>
      <c r="M73" s="22" t="str">
        <f>IF(K73="","",IF(L73="","参照先未定義",_xlfn.XLOOKUP(L73,B:B,C:C,"エラー")))</f>
        <v/>
      </c>
      <c r="N73" s="22" t="s">
        <v>52</v>
      </c>
      <c r="O73" s="22"/>
      <c r="P73" s="22" t="s">
        <v>122</v>
      </c>
      <c r="Q73" s="22"/>
      <c r="R73" s="24"/>
      <c r="S73" s="24"/>
      <c r="T73" s="24"/>
      <c r="U73" s="22"/>
    </row>
    <row r="74" spans="1:21" ht="18.75" customHeight="1" x14ac:dyDescent="0.25">
      <c r="A74" s="24" t="s">
        <v>47</v>
      </c>
      <c r="B74" s="24" t="str">
        <f t="shared" si="0"/>
        <v>sns_link_update_user</v>
      </c>
      <c r="C74" s="25">
        <f t="shared" si="1"/>
        <v>73</v>
      </c>
      <c r="D74" s="22" t="str">
        <f t="shared" ref="D74:E74" si="69">D73</f>
        <v>sns_link</v>
      </c>
      <c r="E74" s="22" t="str">
        <f t="shared" si="69"/>
        <v>SNSリンク</v>
      </c>
      <c r="F74" s="22" t="s">
        <v>129</v>
      </c>
      <c r="G74" s="22" t="s">
        <v>130</v>
      </c>
      <c r="H74" s="22" t="s">
        <v>75</v>
      </c>
      <c r="I74" s="22">
        <f>_xlfn.LET(
    _xlpm.可変bit数,--MID(H74,FIND("(",H74)+1,FIND(")",H74)-FIND("(",H74)-1),
    _xlfn.XLOOKUP(
        $H74,
        型とバイト数!$B$3:$B$53,
        型とバイト数!$E$3:$E$53,
        IF(LEFT($H74,7)="varchar",_xlpm.可変bit数*8,
            IF(LEFT($H74,3)="bit",_xlpm.可変bit数,"???"))
    )
)</f>
        <v>256</v>
      </c>
      <c r="J74" s="22"/>
      <c r="K74" s="22"/>
      <c r="L74" s="24"/>
      <c r="M74" s="22" t="str">
        <f>IF(K74="","",IF(L74="","参照先未定義",_xlfn.XLOOKUP(L74,B:B,C:C,"エラー")))</f>
        <v/>
      </c>
      <c r="N74" s="22" t="s">
        <v>52</v>
      </c>
      <c r="O74" s="22"/>
      <c r="P74" s="22" t="s">
        <v>125</v>
      </c>
      <c r="Q74" s="22"/>
      <c r="R74" s="24"/>
      <c r="S74" s="24"/>
      <c r="T74" s="24"/>
      <c r="U74" s="22" t="s">
        <v>126</v>
      </c>
    </row>
    <row r="75" spans="1:21" ht="18.75" customHeight="1" x14ac:dyDescent="0.25">
      <c r="A75" s="24" t="s">
        <v>47</v>
      </c>
      <c r="B75" s="24" t="str">
        <f t="shared" si="0"/>
        <v>sns_link_soft_delete_flag</v>
      </c>
      <c r="C75" s="25">
        <f t="shared" si="1"/>
        <v>74</v>
      </c>
      <c r="D75" s="22" t="str">
        <f t="shared" ref="D75:E75" si="70">D74</f>
        <v>sns_link</v>
      </c>
      <c r="E75" s="22" t="str">
        <f t="shared" si="70"/>
        <v>SNSリンク</v>
      </c>
      <c r="F75" s="22" t="s">
        <v>131</v>
      </c>
      <c r="G75" s="22" t="s">
        <v>132</v>
      </c>
      <c r="H75" s="22" t="s">
        <v>133</v>
      </c>
      <c r="I75" s="22">
        <f>_xlfn.LET(
    _xlpm.可変bit数,--MID(H75,FIND("(",H75)+1,FIND(")",H75)-FIND("(",H75)-1),
    _xlfn.XLOOKUP(
        $H75,
        型とバイト数!$B$3:$B$53,
        型とバイト数!$E$3:$E$53,
        IF(LEFT($H75,7)="varchar",_xlpm.可変bit数*8,
            IF(LEFT($H75,3)="bit",_xlpm.可変bit数,"???"))
    )
)</f>
        <v>1</v>
      </c>
      <c r="J75" s="22"/>
      <c r="K75" s="22"/>
      <c r="L75" s="24"/>
      <c r="M75" s="22" t="str">
        <f>IF(K75="","",IF(L75="","参照先未定義",_xlfn.XLOOKUP(L75,B:B,C:C,"エラー")))</f>
        <v/>
      </c>
      <c r="N75" s="22" t="s">
        <v>52</v>
      </c>
      <c r="O75" s="22"/>
      <c r="P75" s="22" t="b">
        <v>0</v>
      </c>
      <c r="Q75" s="22"/>
      <c r="R75" s="24"/>
      <c r="S75" s="24"/>
      <c r="T75" s="24"/>
      <c r="U75" s="22"/>
    </row>
    <row r="76" spans="1:21" ht="18.75" customHeight="1" x14ac:dyDescent="0.25">
      <c r="A76" s="24" t="s">
        <v>47</v>
      </c>
      <c r="B76" s="24" t="str">
        <f t="shared" si="0"/>
        <v>sns_link_hard_delete_flag</v>
      </c>
      <c r="C76" s="25">
        <f t="shared" si="1"/>
        <v>75</v>
      </c>
      <c r="D76" s="22" t="str">
        <f t="shared" ref="D76:E76" si="71">D75</f>
        <v>sns_link</v>
      </c>
      <c r="E76" s="22" t="str">
        <f t="shared" si="71"/>
        <v>SNSリンク</v>
      </c>
      <c r="F76" s="22" t="s">
        <v>134</v>
      </c>
      <c r="G76" s="22" t="s">
        <v>135</v>
      </c>
      <c r="H76" s="22" t="s">
        <v>133</v>
      </c>
      <c r="I76" s="22">
        <f>_xlfn.LET(
    _xlpm.可変bit数,--MID(H76,FIND("(",H76)+1,FIND(")",H76)-FIND("(",H76)-1),
    _xlfn.XLOOKUP(
        $H76,
        型とバイト数!$B$3:$B$53,
        型とバイト数!$E$3:$E$53,
        IF(LEFT($H76,7)="varchar",_xlpm.可変bit数*8,
            IF(LEFT($H76,3)="bit",_xlpm.可変bit数,"???"))
    )
)</f>
        <v>1</v>
      </c>
      <c r="J76" s="22"/>
      <c r="K76" s="22"/>
      <c r="L76" s="24"/>
      <c r="M76" s="22" t="str">
        <f>IF(K76="","",IF(L76="","参照先未定義",_xlfn.XLOOKUP(L76,B:B,C:C,"エラー")))</f>
        <v/>
      </c>
      <c r="N76" s="22" t="s">
        <v>52</v>
      </c>
      <c r="O76" s="22"/>
      <c r="P76" s="22" t="b">
        <v>0</v>
      </c>
      <c r="Q76" s="22"/>
      <c r="R76" s="24"/>
      <c r="S76" s="24"/>
      <c r="T76" s="24"/>
      <c r="U76" s="22"/>
    </row>
    <row r="77" spans="1:21" ht="18.75" customHeight="1" x14ac:dyDescent="0.25">
      <c r="A77" s="24" t="s">
        <v>47</v>
      </c>
      <c r="B77" s="24" t="str">
        <f t="shared" si="0"/>
        <v>bbs_res_uuid</v>
      </c>
      <c r="C77" s="25">
        <f t="shared" si="1"/>
        <v>76</v>
      </c>
      <c r="D77" s="22" t="s">
        <v>168</v>
      </c>
      <c r="E77" s="22" t="s">
        <v>117</v>
      </c>
      <c r="F77" s="22" t="s">
        <v>50</v>
      </c>
      <c r="G77" s="22" t="s">
        <v>51</v>
      </c>
      <c r="H77" s="22" t="s">
        <v>50</v>
      </c>
      <c r="I77" s="22">
        <f>_xlfn.LET(
    _xlpm.可変bit数,--MID(H77,FIND("(",H77)+1,FIND(")",H77)-FIND("(",H77)-1),
    _xlfn.XLOOKUP(
        $H77,
        型とバイト数!$B$3:$B$53,
        型とバイト数!$E$3:$E$53,
        IF(LEFT($H77,7)="varchar",_xlpm.可変bit数*8,
            IF(LEFT($H77,3)="bit",_xlpm.可変bit数,"???"))
    )
)</f>
        <v>128</v>
      </c>
      <c r="J77" s="22" t="s">
        <v>52</v>
      </c>
      <c r="K77" s="22"/>
      <c r="L77" s="24"/>
      <c r="M77" s="22" t="str">
        <f>IF(K77="","",IF(L77="","参照先未定義",_xlfn.XLOOKUP(L77,B:B,C:C,"エラー")))</f>
        <v/>
      </c>
      <c r="N77" s="22" t="s">
        <v>52</v>
      </c>
      <c r="O77" s="22" t="s">
        <v>52</v>
      </c>
      <c r="P77" s="22" t="s">
        <v>53</v>
      </c>
      <c r="Q77" s="22"/>
      <c r="R77" s="24"/>
      <c r="S77" s="24"/>
      <c r="T77" s="24"/>
      <c r="U77" s="22"/>
    </row>
    <row r="78" spans="1:21" ht="18.75" customHeight="1" x14ac:dyDescent="0.25">
      <c r="A78" s="24" t="s">
        <v>47</v>
      </c>
      <c r="B78" s="24" t="str">
        <f t="shared" si="0"/>
        <v>bbs_res_vtuber_profiles_id</v>
      </c>
      <c r="C78" s="25">
        <f t="shared" si="1"/>
        <v>77</v>
      </c>
      <c r="D78" s="22" t="str">
        <f t="shared" ref="D78:E78" si="72">D77</f>
        <v>bbs_res</v>
      </c>
      <c r="E78" s="22" t="str">
        <f t="shared" si="72"/>
        <v>BBS</v>
      </c>
      <c r="F78" s="22" t="s">
        <v>54</v>
      </c>
      <c r="G78" s="22" t="s">
        <v>55</v>
      </c>
      <c r="H78" s="22" t="s">
        <v>56</v>
      </c>
      <c r="I78" s="22">
        <f>_xlfn.LET(
    _xlpm.可変bit数,--MID(H78,FIND("(",H78)+1,FIND(")",H78)-FIND("(",H78)-1),
    _xlfn.XLOOKUP(
        $H78,
        型とバイト数!$B$3:$B$53,
        型とバイト数!$E$3:$E$53,
        IF(LEFT($H78,7)="varchar",_xlpm.可変bit数*8,
            IF(LEFT($H78,3)="bit",_xlpm.可変bit数,"???"))
    )
)</f>
        <v>64</v>
      </c>
      <c r="J78" s="22"/>
      <c r="K78" s="22" t="s">
        <v>52</v>
      </c>
      <c r="L78" s="24" t="s">
        <v>525</v>
      </c>
      <c r="M78" s="22">
        <f>IF(K78="","",IF(L78="","参照先未定義",_xlfn.XLOOKUP(L78,B:B,C:C,"エラー")))</f>
        <v>2</v>
      </c>
      <c r="N78" s="22" t="s">
        <v>52</v>
      </c>
      <c r="O78" s="22"/>
      <c r="P78" s="22"/>
      <c r="Q78" s="22"/>
      <c r="R78" s="24"/>
      <c r="S78" s="24"/>
      <c r="T78" s="24"/>
      <c r="U78" s="22"/>
    </row>
    <row r="79" spans="1:21" ht="18.75" customHeight="1" x14ac:dyDescent="0.25">
      <c r="A79" s="24" t="s">
        <v>47</v>
      </c>
      <c r="B79" s="24" t="str">
        <f t="shared" si="0"/>
        <v>bbs_res_user_id</v>
      </c>
      <c r="C79" s="25">
        <f t="shared" si="1"/>
        <v>78</v>
      </c>
      <c r="D79" s="22" t="str">
        <f t="shared" ref="D79:E80" si="73">D78</f>
        <v>bbs_res</v>
      </c>
      <c r="E79" s="22" t="str">
        <f t="shared" si="73"/>
        <v>BBS</v>
      </c>
      <c r="F79" s="22" t="s">
        <v>59</v>
      </c>
      <c r="G79" s="22" t="s">
        <v>60</v>
      </c>
      <c r="H79" s="22" t="s">
        <v>56</v>
      </c>
      <c r="I79" s="22">
        <f>_xlfn.LET(
    _xlpm.可変bit数,--MID(H79,FIND("(",H79)+1,FIND(")",H79)-FIND("(",H79)-1),
    _xlfn.XLOOKUP(
        $H79,
        型とバイト数!$B$3:$B$53,
        型とバイト数!$E$3:$E$53,
        IF(LEFT($H79,7)="varchar",_xlpm.可変bit数*8,
            IF(LEFT($H79,3)="bit",_xlpm.可変bit数,"???"))
    )
)</f>
        <v>64</v>
      </c>
      <c r="J79" s="22"/>
      <c r="K79" s="22" t="s">
        <v>52</v>
      </c>
      <c r="L79" s="24" t="s">
        <v>61</v>
      </c>
      <c r="M79" s="22">
        <f>IF(K79="","",IF(L79="","参照先未定義",_xlfn.XLOOKUP(L79,B:B,C:C,"エラー")))</f>
        <v>186</v>
      </c>
      <c r="N79" s="22" t="s">
        <v>52</v>
      </c>
      <c r="O79" s="22"/>
      <c r="P79" s="22"/>
      <c r="Q79" s="22"/>
      <c r="R79" s="24"/>
      <c r="S79" s="24"/>
      <c r="T79" s="24"/>
      <c r="U79" s="22"/>
    </row>
    <row r="80" spans="1:21" ht="18.75" customHeight="1" x14ac:dyDescent="0.25">
      <c r="A80" s="24" t="s">
        <v>47</v>
      </c>
      <c r="B80" s="24" t="str">
        <f t="shared" si="0"/>
        <v>bbs_res_res_text</v>
      </c>
      <c r="C80" s="25">
        <f t="shared" si="1"/>
        <v>79</v>
      </c>
      <c r="D80" s="22" t="str">
        <f t="shared" si="73"/>
        <v>bbs_res</v>
      </c>
      <c r="E80" s="22" t="str">
        <f t="shared" si="73"/>
        <v>BBS</v>
      </c>
      <c r="F80" s="22" t="s">
        <v>171</v>
      </c>
      <c r="G80" s="22" t="s">
        <v>172</v>
      </c>
      <c r="H80" s="22" t="s">
        <v>94</v>
      </c>
      <c r="I80" s="22" t="str">
        <f>_xlfn.LET(
    _xlpm.可変bit数,--MID(H80,FIND("(",H80)+1,FIND(")",H80)-FIND("(",H80)-1),
    _xlfn.XLOOKUP(
        $H80,
        型とバイト数!$B$3:$B$53,
        型とバイト数!$E$3:$E$53,
        IF(LEFT($H80,7)="varchar",_xlpm.可変bit数*8,
            IF(LEFT($H80,3)="bit",_xlpm.可変bit数,"???"))
    )
)</f>
        <v>-</v>
      </c>
      <c r="J80" s="22"/>
      <c r="K80" s="22"/>
      <c r="L80" s="24"/>
      <c r="M80" s="22" t="str">
        <f>IF(K80="","",IF(L80="","参照先未定義",_xlfn.XLOOKUP(L80,B:B,C:C,"エラー")))</f>
        <v/>
      </c>
      <c r="N80" s="22" t="s">
        <v>52</v>
      </c>
      <c r="O80" s="22"/>
      <c r="P80" s="22"/>
      <c r="Q80" s="22"/>
      <c r="R80" s="24"/>
      <c r="S80" s="24"/>
      <c r="T80" s="24"/>
      <c r="U80" s="22"/>
    </row>
    <row r="81" spans="1:21" ht="18.75" customHeight="1" x14ac:dyDescent="0.25">
      <c r="A81" s="24" t="s">
        <v>47</v>
      </c>
      <c r="B81" s="24" t="str">
        <f t="shared" si="0"/>
        <v>bbs_res_res_datetime</v>
      </c>
      <c r="C81" s="25">
        <f t="shared" si="1"/>
        <v>80</v>
      </c>
      <c r="D81" s="22" t="str">
        <f t="shared" ref="D81:E81" si="74">D80</f>
        <v>bbs_res</v>
      </c>
      <c r="E81" s="22" t="str">
        <f t="shared" si="74"/>
        <v>BBS</v>
      </c>
      <c r="F81" s="22" t="s">
        <v>173</v>
      </c>
      <c r="G81" s="22" t="s">
        <v>174</v>
      </c>
      <c r="H81" s="22" t="s">
        <v>78</v>
      </c>
      <c r="I81" s="22">
        <f>_xlfn.LET(
    _xlpm.可変bit数,--MID(H81,FIND("(",H81)+1,FIND(")",H81)-FIND("(",H81)-1),
    _xlfn.XLOOKUP(
        $H81,
        型とバイト数!$B$3:$B$53,
        型とバイト数!$E$3:$E$53,
        IF(LEFT($H81,7)="varchar",_xlpm.可変bit数*8,
            IF(LEFT($H81,3)="bit",_xlpm.可変bit数,"???"))
    )
)</f>
        <v>64</v>
      </c>
      <c r="J81" s="22"/>
      <c r="K81" s="22"/>
      <c r="L81" s="24"/>
      <c r="M81" s="22" t="str">
        <f>IF(K81="","",IF(L81="","参照先未定義",_xlfn.XLOOKUP(L81,B:B,C:C,"エラー")))</f>
        <v/>
      </c>
      <c r="N81" s="22" t="s">
        <v>52</v>
      </c>
      <c r="O81" s="22"/>
      <c r="P81" s="22"/>
      <c r="Q81" s="22"/>
      <c r="R81" s="24"/>
      <c r="S81" s="24"/>
      <c r="T81" s="24"/>
      <c r="U81" s="22"/>
    </row>
    <row r="82" spans="1:21" ht="18.75" customHeight="1" x14ac:dyDescent="0.25">
      <c r="A82" s="24" t="s">
        <v>47</v>
      </c>
      <c r="B82" s="24" t="str">
        <f t="shared" si="0"/>
        <v>bbs_res_create_datetime</v>
      </c>
      <c r="C82" s="25">
        <f t="shared" si="1"/>
        <v>81</v>
      </c>
      <c r="D82" s="22" t="str">
        <f t="shared" ref="D82:E82" si="75">D81</f>
        <v>bbs_res</v>
      </c>
      <c r="E82" s="22" t="str">
        <f t="shared" si="75"/>
        <v>BBS</v>
      </c>
      <c r="F82" s="22" t="s">
        <v>120</v>
      </c>
      <c r="G82" s="22" t="s">
        <v>121</v>
      </c>
      <c r="H82" s="22" t="s">
        <v>78</v>
      </c>
      <c r="I82" s="22">
        <f>_xlfn.LET(
    _xlpm.可変bit数,--MID(H82,FIND("(",H82)+1,FIND(")",H82)-FIND("(",H82)-1),
    _xlfn.XLOOKUP(
        $H82,
        型とバイト数!$B$3:$B$53,
        型とバイト数!$E$3:$E$53,
        IF(LEFT($H82,7)="varchar",_xlpm.可変bit数*8,
            IF(LEFT($H82,3)="bit",_xlpm.可変bit数,"???"))
    )
)</f>
        <v>64</v>
      </c>
      <c r="J82" s="22"/>
      <c r="K82" s="22"/>
      <c r="L82" s="24"/>
      <c r="M82" s="22" t="str">
        <f>IF(K82="","",IF(L82="","参照先未定義",_xlfn.XLOOKUP(L82,B:B,C:C,"エラー")))</f>
        <v/>
      </c>
      <c r="N82" s="22" t="s">
        <v>52</v>
      </c>
      <c r="O82" s="22"/>
      <c r="P82" s="22" t="s">
        <v>122</v>
      </c>
      <c r="Q82" s="22"/>
      <c r="R82" s="24"/>
      <c r="S82" s="24"/>
      <c r="T82" s="24"/>
      <c r="U82" s="22"/>
    </row>
    <row r="83" spans="1:21" ht="18.75" customHeight="1" x14ac:dyDescent="0.25">
      <c r="A83" s="24" t="s">
        <v>47</v>
      </c>
      <c r="B83" s="24" t="str">
        <f t="shared" si="0"/>
        <v>bbs_res_create_user</v>
      </c>
      <c r="C83" s="25">
        <f t="shared" si="1"/>
        <v>82</v>
      </c>
      <c r="D83" s="22" t="str">
        <f t="shared" ref="D83:E83" si="76">D82</f>
        <v>bbs_res</v>
      </c>
      <c r="E83" s="22" t="str">
        <f t="shared" si="76"/>
        <v>BBS</v>
      </c>
      <c r="F83" s="22" t="s">
        <v>123</v>
      </c>
      <c r="G83" s="22" t="s">
        <v>124</v>
      </c>
      <c r="H83" s="22" t="s">
        <v>75</v>
      </c>
      <c r="I83" s="22">
        <f>_xlfn.LET(
    _xlpm.可変bit数,--MID(H83,FIND("(",H83)+1,FIND(")",H83)-FIND("(",H83)-1),
    _xlfn.XLOOKUP(
        $H83,
        型とバイト数!$B$3:$B$53,
        型とバイト数!$E$3:$E$53,
        IF(LEFT($H83,7)="varchar",_xlpm.可変bit数*8,
            IF(LEFT($H83,3)="bit",_xlpm.可変bit数,"???"))
    )
)</f>
        <v>256</v>
      </c>
      <c r="J83" s="22"/>
      <c r="K83" s="22"/>
      <c r="L83" s="24"/>
      <c r="M83" s="22" t="str">
        <f>IF(K83="","",IF(L83="","参照先未定義",_xlfn.XLOOKUP(L83,B:B,C:C,"エラー")))</f>
        <v/>
      </c>
      <c r="N83" s="22" t="s">
        <v>52</v>
      </c>
      <c r="O83" s="22"/>
      <c r="P83" s="22" t="s">
        <v>125</v>
      </c>
      <c r="Q83" s="22"/>
      <c r="R83" s="24"/>
      <c r="S83" s="24"/>
      <c r="T83" s="24"/>
      <c r="U83" s="22" t="s">
        <v>126</v>
      </c>
    </row>
    <row r="84" spans="1:21" ht="18.75" customHeight="1" x14ac:dyDescent="0.25">
      <c r="A84" s="24" t="s">
        <v>47</v>
      </c>
      <c r="B84" s="24" t="str">
        <f t="shared" si="0"/>
        <v>bbs_res_update_datetime</v>
      </c>
      <c r="C84" s="25">
        <f t="shared" si="1"/>
        <v>83</v>
      </c>
      <c r="D84" s="22" t="str">
        <f t="shared" ref="D84:E84" si="77">D83</f>
        <v>bbs_res</v>
      </c>
      <c r="E84" s="22" t="str">
        <f t="shared" si="77"/>
        <v>BBS</v>
      </c>
      <c r="F84" s="22" t="s">
        <v>127</v>
      </c>
      <c r="G84" s="22" t="s">
        <v>128</v>
      </c>
      <c r="H84" s="22" t="s">
        <v>78</v>
      </c>
      <c r="I84" s="22">
        <f>_xlfn.LET(
    _xlpm.可変bit数,--MID(H84,FIND("(",H84)+1,FIND(")",H84)-FIND("(",H84)-1),
    _xlfn.XLOOKUP(
        $H84,
        型とバイト数!$B$3:$B$53,
        型とバイト数!$E$3:$E$53,
        IF(LEFT($H84,7)="varchar",_xlpm.可変bit数*8,
            IF(LEFT($H84,3)="bit",_xlpm.可変bit数,"???"))
    )
)</f>
        <v>64</v>
      </c>
      <c r="J84" s="22"/>
      <c r="K84" s="22"/>
      <c r="L84" s="24"/>
      <c r="M84" s="22" t="str">
        <f>IF(K84="","",IF(L84="","参照先未定義",_xlfn.XLOOKUP(L84,B:B,C:C,"エラー")))</f>
        <v/>
      </c>
      <c r="N84" s="22" t="s">
        <v>52</v>
      </c>
      <c r="O84" s="22"/>
      <c r="P84" s="22" t="s">
        <v>122</v>
      </c>
      <c r="Q84" s="22"/>
      <c r="R84" s="24"/>
      <c r="S84" s="24"/>
      <c r="T84" s="24"/>
      <c r="U84" s="22"/>
    </row>
    <row r="85" spans="1:21" ht="18.75" customHeight="1" x14ac:dyDescent="0.25">
      <c r="A85" s="24" t="s">
        <v>47</v>
      </c>
      <c r="B85" s="24" t="str">
        <f t="shared" si="0"/>
        <v>bbs_res_update_user</v>
      </c>
      <c r="C85" s="25">
        <f t="shared" si="1"/>
        <v>84</v>
      </c>
      <c r="D85" s="22" t="str">
        <f t="shared" ref="D85:E85" si="78">D84</f>
        <v>bbs_res</v>
      </c>
      <c r="E85" s="22" t="str">
        <f t="shared" si="78"/>
        <v>BBS</v>
      </c>
      <c r="F85" s="22" t="s">
        <v>129</v>
      </c>
      <c r="G85" s="22" t="s">
        <v>130</v>
      </c>
      <c r="H85" s="22" t="s">
        <v>75</v>
      </c>
      <c r="I85" s="22">
        <f>_xlfn.LET(
    _xlpm.可変bit数,--MID(H85,FIND("(",H85)+1,FIND(")",H85)-FIND("(",H85)-1),
    _xlfn.XLOOKUP(
        $H85,
        型とバイト数!$B$3:$B$53,
        型とバイト数!$E$3:$E$53,
        IF(LEFT($H85,7)="varchar",_xlpm.可変bit数*8,
            IF(LEFT($H85,3)="bit",_xlpm.可変bit数,"???"))
    )
)</f>
        <v>256</v>
      </c>
      <c r="J85" s="22"/>
      <c r="K85" s="22"/>
      <c r="L85" s="24"/>
      <c r="M85" s="22" t="str">
        <f>IF(K85="","",IF(L85="","参照先未定義",_xlfn.XLOOKUP(L85,B:B,C:C,"エラー")))</f>
        <v/>
      </c>
      <c r="N85" s="22" t="s">
        <v>52</v>
      </c>
      <c r="O85" s="22"/>
      <c r="P85" s="22" t="s">
        <v>125</v>
      </c>
      <c r="Q85" s="22"/>
      <c r="R85" s="24"/>
      <c r="S85" s="24"/>
      <c r="T85" s="24"/>
      <c r="U85" s="22" t="s">
        <v>126</v>
      </c>
    </row>
    <row r="86" spans="1:21" ht="18.75" customHeight="1" x14ac:dyDescent="0.25">
      <c r="A86" s="24" t="s">
        <v>47</v>
      </c>
      <c r="B86" s="24" t="str">
        <f t="shared" si="0"/>
        <v>bbs_res_soft_delete_flag</v>
      </c>
      <c r="C86" s="25">
        <f t="shared" si="1"/>
        <v>85</v>
      </c>
      <c r="D86" s="22" t="str">
        <f t="shared" ref="D86:E86" si="79">D85</f>
        <v>bbs_res</v>
      </c>
      <c r="E86" s="22" t="str">
        <f t="shared" si="79"/>
        <v>BBS</v>
      </c>
      <c r="F86" s="22" t="s">
        <v>131</v>
      </c>
      <c r="G86" s="22" t="s">
        <v>132</v>
      </c>
      <c r="H86" s="22" t="s">
        <v>133</v>
      </c>
      <c r="I86" s="22">
        <f>_xlfn.LET(
    _xlpm.可変bit数,--MID(H86,FIND("(",H86)+1,FIND(")",H86)-FIND("(",H86)-1),
    _xlfn.XLOOKUP(
        $H86,
        型とバイト数!$B$3:$B$53,
        型とバイト数!$E$3:$E$53,
        IF(LEFT($H86,7)="varchar",_xlpm.可変bit数*8,
            IF(LEFT($H86,3)="bit",_xlpm.可変bit数,"???"))
    )
)</f>
        <v>1</v>
      </c>
      <c r="J86" s="22"/>
      <c r="K86" s="22"/>
      <c r="L86" s="24"/>
      <c r="M86" s="22" t="str">
        <f>IF(K86="","",IF(L86="","参照先未定義",_xlfn.XLOOKUP(L86,B:B,C:C,"エラー")))</f>
        <v/>
      </c>
      <c r="N86" s="22" t="s">
        <v>52</v>
      </c>
      <c r="O86" s="22"/>
      <c r="P86" s="22" t="b">
        <v>0</v>
      </c>
      <c r="Q86" s="22"/>
      <c r="R86" s="24"/>
      <c r="S86" s="24"/>
      <c r="T86" s="24"/>
      <c r="U86" s="22"/>
    </row>
    <row r="87" spans="1:21" ht="18.75" customHeight="1" x14ac:dyDescent="0.25">
      <c r="A87" s="24" t="s">
        <v>47</v>
      </c>
      <c r="B87" s="24" t="str">
        <f t="shared" si="0"/>
        <v>bbs_res_hard_delete_flag</v>
      </c>
      <c r="C87" s="25">
        <f t="shared" si="1"/>
        <v>86</v>
      </c>
      <c r="D87" s="22" t="str">
        <f t="shared" ref="D87:E87" si="80">D86</f>
        <v>bbs_res</v>
      </c>
      <c r="E87" s="22" t="str">
        <f t="shared" si="80"/>
        <v>BBS</v>
      </c>
      <c r="F87" s="22" t="s">
        <v>134</v>
      </c>
      <c r="G87" s="22" t="s">
        <v>135</v>
      </c>
      <c r="H87" s="22" t="s">
        <v>133</v>
      </c>
      <c r="I87" s="22">
        <f>_xlfn.LET(
    _xlpm.可変bit数,--MID(H87,FIND("(",H87)+1,FIND(")",H87)-FIND("(",H87)-1),
    _xlfn.XLOOKUP(
        $H87,
        型とバイト数!$B$3:$B$53,
        型とバイト数!$E$3:$E$53,
        IF(LEFT($H87,7)="varchar",_xlpm.可変bit数*8,
            IF(LEFT($H87,3)="bit",_xlpm.可変bit数,"???"))
    )
)</f>
        <v>1</v>
      </c>
      <c r="J87" s="22"/>
      <c r="K87" s="22"/>
      <c r="L87" s="24"/>
      <c r="M87" s="22" t="str">
        <f>IF(K87="","",IF(L87="","参照先未定義",_xlfn.XLOOKUP(L87,B:B,C:C,"エラー")))</f>
        <v/>
      </c>
      <c r="N87" s="22" t="s">
        <v>52</v>
      </c>
      <c r="O87" s="22"/>
      <c r="P87" s="22" t="b">
        <v>0</v>
      </c>
      <c r="Q87" s="22"/>
      <c r="R87" s="24"/>
      <c r="S87" s="24"/>
      <c r="T87" s="24"/>
      <c r="U87" s="22"/>
    </row>
    <row r="88" spans="1:21" ht="18.75" customHeight="1" x14ac:dyDescent="0.25">
      <c r="A88" s="24" t="s">
        <v>47</v>
      </c>
      <c r="B88" s="24" t="str">
        <f t="shared" si="0"/>
        <v>page_author_uuid</v>
      </c>
      <c r="C88" s="25">
        <f t="shared" si="1"/>
        <v>87</v>
      </c>
      <c r="D88" s="22" t="s">
        <v>175</v>
      </c>
      <c r="E88" s="22" t="s">
        <v>110</v>
      </c>
      <c r="F88" s="22" t="s">
        <v>50</v>
      </c>
      <c r="G88" s="22" t="s">
        <v>51</v>
      </c>
      <c r="H88" s="22" t="s">
        <v>50</v>
      </c>
      <c r="I88" s="22">
        <f>_xlfn.LET(
    _xlpm.可変bit数,--MID(H88,FIND("(",H88)+1,FIND(")",H88)-FIND("(",H88)-1),
    _xlfn.XLOOKUP(
        $H88,
        型とバイト数!$B$3:$B$53,
        型とバイト数!$E$3:$E$53,
        IF(LEFT($H88,7)="varchar",_xlpm.可変bit数*8,
            IF(LEFT($H88,3)="bit",_xlpm.可変bit数,"???"))
    )
)</f>
        <v>128</v>
      </c>
      <c r="J88" s="22" t="s">
        <v>52</v>
      </c>
      <c r="K88" s="22"/>
      <c r="L88" s="24"/>
      <c r="M88" s="22" t="str">
        <f>IF(K88="","",IF(L88="","参照先未定義",_xlfn.XLOOKUP(L88,B:B,C:C,"エラー")))</f>
        <v/>
      </c>
      <c r="N88" s="22" t="s">
        <v>52</v>
      </c>
      <c r="O88" s="22" t="s">
        <v>52</v>
      </c>
      <c r="P88" s="22" t="s">
        <v>53</v>
      </c>
      <c r="Q88" s="22"/>
      <c r="R88" s="24"/>
      <c r="S88" s="24"/>
      <c r="T88" s="24"/>
      <c r="U88" s="22"/>
    </row>
    <row r="89" spans="1:21" ht="18.75" customHeight="1" x14ac:dyDescent="0.25">
      <c r="A89" s="24" t="s">
        <v>47</v>
      </c>
      <c r="B89" s="24" t="str">
        <f t="shared" si="0"/>
        <v>page_author_user_id</v>
      </c>
      <c r="C89" s="25">
        <f t="shared" si="1"/>
        <v>88</v>
      </c>
      <c r="D89" s="22" t="str">
        <f t="shared" ref="D89:E89" si="81">D88</f>
        <v>page_author</v>
      </c>
      <c r="E89" s="22" t="str">
        <f t="shared" si="81"/>
        <v>ページ編集者</v>
      </c>
      <c r="F89" s="22" t="s">
        <v>59</v>
      </c>
      <c r="G89" s="22" t="s">
        <v>60</v>
      </c>
      <c r="H89" s="22" t="s">
        <v>56</v>
      </c>
      <c r="I89" s="22">
        <f>_xlfn.LET(
    _xlpm.可変bit数,--MID(H89,FIND("(",H89)+1,FIND(")",H89)-FIND("(",H89)-1),
    _xlfn.XLOOKUP(
        $H89,
        型とバイト数!$B$3:$B$53,
        型とバイト数!$E$3:$E$53,
        IF(LEFT($H89,7)="varchar",_xlpm.可変bit数*8,
            IF(LEFT($H89,3)="bit",_xlpm.可変bit数,"???"))
    )
)</f>
        <v>64</v>
      </c>
      <c r="J89" s="22"/>
      <c r="K89" s="22" t="s">
        <v>52</v>
      </c>
      <c r="L89" s="24" t="s">
        <v>61</v>
      </c>
      <c r="M89" s="22">
        <f>IF(K89="","",IF(L89="","参照先未定義",_xlfn.XLOOKUP(L89,B:B,C:C,"エラー")))</f>
        <v>186</v>
      </c>
      <c r="N89" s="22" t="s">
        <v>52</v>
      </c>
      <c r="O89" s="22"/>
      <c r="P89" s="22"/>
      <c r="Q89" s="22"/>
      <c r="R89" s="24"/>
      <c r="S89" s="24"/>
      <c r="T89" s="24"/>
      <c r="U89" s="22"/>
    </row>
    <row r="90" spans="1:21" ht="18.75" customHeight="1" x14ac:dyDescent="0.25">
      <c r="A90" s="24" t="s">
        <v>47</v>
      </c>
      <c r="B90" s="24" t="str">
        <f t="shared" si="0"/>
        <v>page_author_vtuber_profiles_id</v>
      </c>
      <c r="C90" s="25">
        <f t="shared" si="1"/>
        <v>89</v>
      </c>
      <c r="D90" s="22" t="str">
        <f t="shared" ref="D90:E90" si="82">D89</f>
        <v>page_author</v>
      </c>
      <c r="E90" s="22" t="str">
        <f t="shared" si="82"/>
        <v>ページ編集者</v>
      </c>
      <c r="F90" s="22" t="s">
        <v>54</v>
      </c>
      <c r="G90" s="22" t="s">
        <v>55</v>
      </c>
      <c r="H90" s="22" t="s">
        <v>56</v>
      </c>
      <c r="I90" s="22">
        <f>_xlfn.LET(
    _xlpm.可変bit数,--MID(H90,FIND("(",H90)+1,FIND(")",H90)-FIND("(",H90)-1),
    _xlfn.XLOOKUP(
        $H90,
        型とバイト数!$B$3:$B$53,
        型とバイト数!$E$3:$E$53,
        IF(LEFT($H90,7)="varchar",_xlpm.可変bit数*8,
            IF(LEFT($H90,3)="bit",_xlpm.可変bit数,"???"))
    )
)</f>
        <v>64</v>
      </c>
      <c r="J90" s="22"/>
      <c r="K90" s="22" t="s">
        <v>52</v>
      </c>
      <c r="L90" s="24" t="s">
        <v>158</v>
      </c>
      <c r="M90" s="22">
        <f>IF(K90="","",IF(L90="","参照先未定義",_xlfn.XLOOKUP(L90,B:B,C:C,"エラー")))</f>
        <v>2</v>
      </c>
      <c r="N90" s="22" t="s">
        <v>52</v>
      </c>
      <c r="O90" s="22"/>
      <c r="P90" s="22"/>
      <c r="Q90" s="22"/>
      <c r="R90" s="24"/>
      <c r="S90" s="24"/>
      <c r="T90" s="24"/>
      <c r="U90" s="22"/>
    </row>
    <row r="91" spans="1:21" ht="18.75" customHeight="1" x14ac:dyDescent="0.25">
      <c r="A91" s="24" t="s">
        <v>47</v>
      </c>
      <c r="B91" s="24" t="str">
        <f t="shared" si="0"/>
        <v>page_author_fix_item</v>
      </c>
      <c r="C91" s="25">
        <f t="shared" si="1"/>
        <v>90</v>
      </c>
      <c r="D91" s="22" t="str">
        <f t="shared" ref="D91:E91" si="83">D90</f>
        <v>page_author</v>
      </c>
      <c r="E91" s="22" t="str">
        <f t="shared" si="83"/>
        <v>ページ編集者</v>
      </c>
      <c r="F91" s="22" t="s">
        <v>176</v>
      </c>
      <c r="G91" s="22" t="s">
        <v>177</v>
      </c>
      <c r="H91" s="22" t="s">
        <v>84</v>
      </c>
      <c r="I91" s="22">
        <f>_xlfn.LET(
    _xlpm.可変bit数,--MID(H91,FIND("(",H91)+1,FIND(")",H91)-FIND("(",H91)-1),
    _xlfn.XLOOKUP(
        $H91,
        型とバイト数!$B$3:$B$53,
        型とバイト数!$E$3:$E$53,
        IF(LEFT($H91,7)="varchar",_xlpm.可変bit数*8,
            IF(LEFT($H91,3)="bit",_xlpm.可変bit数,"???"))
    )
)</f>
        <v>128</v>
      </c>
      <c r="J91" s="22"/>
      <c r="K91" s="22" t="s">
        <v>52</v>
      </c>
      <c r="L91" s="24" t="s">
        <v>178</v>
      </c>
      <c r="M91" s="22">
        <f>IF(K91="","",IF(L91="","参照先未定義",_xlfn.XLOOKUP(L91,B:B,C:C,"エラー")))</f>
        <v>144</v>
      </c>
      <c r="N91" s="22" t="s">
        <v>52</v>
      </c>
      <c r="O91" s="22"/>
      <c r="P91" s="22"/>
      <c r="Q91" s="22"/>
      <c r="R91" s="24"/>
      <c r="S91" s="24"/>
      <c r="T91" s="24"/>
      <c r="U91" s="22"/>
    </row>
    <row r="92" spans="1:21" ht="18.75" customHeight="1" x14ac:dyDescent="0.25">
      <c r="A92" s="24" t="s">
        <v>47</v>
      </c>
      <c r="B92" s="24" t="str">
        <f t="shared" si="0"/>
        <v>page_author_fix_before</v>
      </c>
      <c r="C92" s="25">
        <f t="shared" si="1"/>
        <v>91</v>
      </c>
      <c r="D92" s="22" t="str">
        <f t="shared" ref="D92:E92" si="84">D91</f>
        <v>page_author</v>
      </c>
      <c r="E92" s="22" t="str">
        <f t="shared" si="84"/>
        <v>ページ編集者</v>
      </c>
      <c r="F92" s="22" t="s">
        <v>179</v>
      </c>
      <c r="G92" s="22" t="s">
        <v>180</v>
      </c>
      <c r="H92" s="22" t="s">
        <v>94</v>
      </c>
      <c r="I92" s="22" t="str">
        <f>_xlfn.LET(
    _xlpm.可変bit数,--MID(H92,FIND("(",H92)+1,FIND(")",H92)-FIND("(",H92)-1),
    _xlfn.XLOOKUP(
        $H92,
        型とバイト数!$B$3:$B$53,
        型とバイト数!$E$3:$E$53,
        IF(LEFT($H92,7)="varchar",_xlpm.可変bit数*8,
            IF(LEFT($H92,3)="bit",_xlpm.可変bit数,"???"))
    )
)</f>
        <v>-</v>
      </c>
      <c r="J92" s="22"/>
      <c r="K92" s="22"/>
      <c r="L92" s="24"/>
      <c r="M92" s="22" t="str">
        <f>IF(K92="","",IF(L92="","参照先未定義",_xlfn.XLOOKUP(L92,B:B,C:C,"エラー")))</f>
        <v/>
      </c>
      <c r="N92" s="22" t="s">
        <v>52</v>
      </c>
      <c r="O92" s="22"/>
      <c r="P92" s="22"/>
      <c r="Q92" s="22"/>
      <c r="R92" s="24"/>
      <c r="S92" s="24"/>
      <c r="T92" s="24"/>
      <c r="U92" s="22"/>
    </row>
    <row r="93" spans="1:21" ht="18.75" customHeight="1" x14ac:dyDescent="0.25">
      <c r="A93" s="24" t="s">
        <v>47</v>
      </c>
      <c r="B93" s="24" t="str">
        <f t="shared" si="0"/>
        <v>page_author_fix_after</v>
      </c>
      <c r="C93" s="25">
        <f t="shared" si="1"/>
        <v>92</v>
      </c>
      <c r="D93" s="22" t="str">
        <f t="shared" ref="D93:E93" si="85">D92</f>
        <v>page_author</v>
      </c>
      <c r="E93" s="22" t="str">
        <f t="shared" si="85"/>
        <v>ページ編集者</v>
      </c>
      <c r="F93" s="22" t="s">
        <v>181</v>
      </c>
      <c r="G93" s="22" t="s">
        <v>182</v>
      </c>
      <c r="H93" s="22" t="s">
        <v>94</v>
      </c>
      <c r="I93" s="22" t="str">
        <f>_xlfn.LET(
    _xlpm.可変bit数,--MID(H93,FIND("(",H93)+1,FIND(")",H93)-FIND("(",H93)-1),
    _xlfn.XLOOKUP(
        $H93,
        型とバイト数!$B$3:$B$53,
        型とバイト数!$E$3:$E$53,
        IF(LEFT($H93,7)="varchar",_xlpm.可変bit数*8,
            IF(LEFT($H93,3)="bit",_xlpm.可変bit数,"???"))
    )
)</f>
        <v>-</v>
      </c>
      <c r="J93" s="22"/>
      <c r="K93" s="22"/>
      <c r="L93" s="24"/>
      <c r="M93" s="22" t="str">
        <f>IF(K93="","",IF(L93="","参照先未定義",_xlfn.XLOOKUP(L93,B:B,C:C,"エラー")))</f>
        <v/>
      </c>
      <c r="N93" s="22" t="s">
        <v>52</v>
      </c>
      <c r="O93" s="22"/>
      <c r="P93" s="22"/>
      <c r="Q93" s="22"/>
      <c r="R93" s="24"/>
      <c r="S93" s="24"/>
      <c r="T93" s="24"/>
      <c r="U93" s="22"/>
    </row>
    <row r="94" spans="1:21" ht="18.75" customHeight="1" x14ac:dyDescent="0.25">
      <c r="A94" s="24" t="s">
        <v>47</v>
      </c>
      <c r="B94" s="24" t="str">
        <f t="shared" si="0"/>
        <v>page_author_fix_datetime</v>
      </c>
      <c r="C94" s="25">
        <f t="shared" si="1"/>
        <v>93</v>
      </c>
      <c r="D94" s="22" t="str">
        <f t="shared" ref="D94:E94" si="86">D93</f>
        <v>page_author</v>
      </c>
      <c r="E94" s="22" t="str">
        <f t="shared" si="86"/>
        <v>ページ編集者</v>
      </c>
      <c r="F94" s="22" t="s">
        <v>183</v>
      </c>
      <c r="G94" s="22" t="s">
        <v>184</v>
      </c>
      <c r="H94" s="22" t="s">
        <v>78</v>
      </c>
      <c r="I94" s="22">
        <f>_xlfn.LET(
    _xlpm.可変bit数,--MID(H94,FIND("(",H94)+1,FIND(")",H94)-FIND("(",H94)-1),
    _xlfn.XLOOKUP(
        $H94,
        型とバイト数!$B$3:$B$53,
        型とバイト数!$E$3:$E$53,
        IF(LEFT($H94,7)="varchar",_xlpm.可変bit数*8,
            IF(LEFT($H94,3)="bit",_xlpm.可変bit数,"???"))
    )
)</f>
        <v>64</v>
      </c>
      <c r="J94" s="22"/>
      <c r="K94" s="22"/>
      <c r="L94" s="24"/>
      <c r="M94" s="22" t="str">
        <f>IF(K94="","",IF(L94="","参照先未定義",_xlfn.XLOOKUP(L94,B:B,C:C,"エラー")))</f>
        <v/>
      </c>
      <c r="N94" s="22" t="s">
        <v>52</v>
      </c>
      <c r="O94" s="22"/>
      <c r="P94" s="22" t="s">
        <v>122</v>
      </c>
      <c r="Q94" s="22"/>
      <c r="R94" s="24"/>
      <c r="S94" s="24"/>
      <c r="T94" s="24"/>
      <c r="U94" s="22"/>
    </row>
    <row r="95" spans="1:21" ht="18.75" customHeight="1" x14ac:dyDescent="0.25">
      <c r="A95" s="24" t="s">
        <v>47</v>
      </c>
      <c r="B95" s="24" t="str">
        <f t="shared" si="0"/>
        <v>page_author_report_count</v>
      </c>
      <c r="C95" s="25">
        <f t="shared" si="1"/>
        <v>94</v>
      </c>
      <c r="D95" s="22" t="str">
        <f t="shared" ref="D95:E95" si="87">D94</f>
        <v>page_author</v>
      </c>
      <c r="E95" s="22" t="str">
        <f t="shared" si="87"/>
        <v>ページ編集者</v>
      </c>
      <c r="F95" s="22" t="s">
        <v>118</v>
      </c>
      <c r="G95" s="22" t="s">
        <v>185</v>
      </c>
      <c r="H95" s="22" t="s">
        <v>186</v>
      </c>
      <c r="I95" s="22">
        <f>_xlfn.LET(
    _xlpm.可変bit数,--MID(H95,FIND("(",H95)+1,FIND(")",H95)-FIND("(",H95)-1),
    _xlfn.XLOOKUP(
        $H95,
        型とバイト数!$B$3:$B$53,
        型とバイト数!$E$3:$E$53,
        IF(LEFT($H95,7)="varchar",_xlpm.可変bit数*8,
            IF(LEFT($H95,3)="bit",_xlpm.可変bit数,"???"))
    )
)</f>
        <v>32</v>
      </c>
      <c r="J95" s="22"/>
      <c r="K95" s="22"/>
      <c r="L95" s="24"/>
      <c r="M95" s="22" t="str">
        <f>IF(K95="","",IF(L95="","参照先未定義",_xlfn.XLOOKUP(L95,B:B,C:C,"エラー")))</f>
        <v/>
      </c>
      <c r="N95" s="22" t="s">
        <v>52</v>
      </c>
      <c r="O95" s="22"/>
      <c r="P95" s="22">
        <v>0</v>
      </c>
      <c r="Q95" s="22"/>
      <c r="R95" s="24"/>
      <c r="S95" s="24"/>
      <c r="T95" s="24"/>
      <c r="U95" s="22"/>
    </row>
    <row r="96" spans="1:21" ht="18.75" customHeight="1" x14ac:dyDescent="0.25">
      <c r="A96" s="24" t="s">
        <v>47</v>
      </c>
      <c r="B96" s="24" t="str">
        <f t="shared" si="0"/>
        <v>page_author_create_datetime</v>
      </c>
      <c r="C96" s="25">
        <f t="shared" si="1"/>
        <v>95</v>
      </c>
      <c r="D96" s="22" t="str">
        <f t="shared" ref="D96:E96" si="88">D95</f>
        <v>page_author</v>
      </c>
      <c r="E96" s="22" t="str">
        <f t="shared" si="88"/>
        <v>ページ編集者</v>
      </c>
      <c r="F96" s="22" t="s">
        <v>120</v>
      </c>
      <c r="G96" s="22" t="s">
        <v>121</v>
      </c>
      <c r="H96" s="22" t="s">
        <v>78</v>
      </c>
      <c r="I96" s="22">
        <f>_xlfn.LET(
    _xlpm.可変bit数,--MID(H96,FIND("(",H96)+1,FIND(")",H96)-FIND("(",H96)-1),
    _xlfn.XLOOKUP(
        $H96,
        型とバイト数!$B$3:$B$53,
        型とバイト数!$E$3:$E$53,
        IF(LEFT($H96,7)="varchar",_xlpm.可変bit数*8,
            IF(LEFT($H96,3)="bit",_xlpm.可変bit数,"???"))
    )
)</f>
        <v>64</v>
      </c>
      <c r="J96" s="22"/>
      <c r="K96" s="22"/>
      <c r="L96" s="24"/>
      <c r="M96" s="22" t="str">
        <f>IF(K96="","",IF(L96="","参照先未定義",_xlfn.XLOOKUP(L96,B:B,C:C,"エラー")))</f>
        <v/>
      </c>
      <c r="N96" s="22" t="s">
        <v>52</v>
      </c>
      <c r="O96" s="22"/>
      <c r="P96" s="22" t="s">
        <v>122</v>
      </c>
      <c r="Q96" s="22"/>
      <c r="R96" s="24"/>
      <c r="S96" s="24"/>
      <c r="T96" s="24"/>
      <c r="U96" s="22"/>
    </row>
    <row r="97" spans="1:21" ht="18.75" customHeight="1" x14ac:dyDescent="0.25">
      <c r="A97" s="24" t="s">
        <v>47</v>
      </c>
      <c r="B97" s="24" t="str">
        <f t="shared" si="0"/>
        <v>page_author_create_user</v>
      </c>
      <c r="C97" s="25">
        <f t="shared" si="1"/>
        <v>96</v>
      </c>
      <c r="D97" s="22" t="str">
        <f t="shared" ref="D97:E97" si="89">D96</f>
        <v>page_author</v>
      </c>
      <c r="E97" s="22" t="str">
        <f t="shared" si="89"/>
        <v>ページ編集者</v>
      </c>
      <c r="F97" s="22" t="s">
        <v>123</v>
      </c>
      <c r="G97" s="22" t="s">
        <v>124</v>
      </c>
      <c r="H97" s="22" t="s">
        <v>75</v>
      </c>
      <c r="I97" s="22">
        <f>_xlfn.LET(
    _xlpm.可変bit数,--MID(H97,FIND("(",H97)+1,FIND(")",H97)-FIND("(",H97)-1),
    _xlfn.XLOOKUP(
        $H97,
        型とバイト数!$B$3:$B$53,
        型とバイト数!$E$3:$E$53,
        IF(LEFT($H97,7)="varchar",_xlpm.可変bit数*8,
            IF(LEFT($H97,3)="bit",_xlpm.可変bit数,"???"))
    )
)</f>
        <v>256</v>
      </c>
      <c r="J97" s="22"/>
      <c r="K97" s="22"/>
      <c r="L97" s="24"/>
      <c r="M97" s="22" t="str">
        <f>IF(K97="","",IF(L97="","参照先未定義",_xlfn.XLOOKUP(L97,B:B,C:C,"エラー")))</f>
        <v/>
      </c>
      <c r="N97" s="22" t="s">
        <v>52</v>
      </c>
      <c r="O97" s="22"/>
      <c r="P97" s="22" t="s">
        <v>125</v>
      </c>
      <c r="Q97" s="22"/>
      <c r="R97" s="24"/>
      <c r="S97" s="24"/>
      <c r="T97" s="24"/>
      <c r="U97" s="22" t="s">
        <v>126</v>
      </c>
    </row>
    <row r="98" spans="1:21" ht="18.75" customHeight="1" x14ac:dyDescent="0.25">
      <c r="A98" s="24" t="s">
        <v>47</v>
      </c>
      <c r="B98" s="24" t="str">
        <f t="shared" si="0"/>
        <v>page_author_update_datetime</v>
      </c>
      <c r="C98" s="25">
        <f t="shared" si="1"/>
        <v>97</v>
      </c>
      <c r="D98" s="22" t="str">
        <f t="shared" ref="D98:E98" si="90">D97</f>
        <v>page_author</v>
      </c>
      <c r="E98" s="22" t="str">
        <f t="shared" si="90"/>
        <v>ページ編集者</v>
      </c>
      <c r="F98" s="22" t="s">
        <v>127</v>
      </c>
      <c r="G98" s="22" t="s">
        <v>128</v>
      </c>
      <c r="H98" s="22" t="s">
        <v>78</v>
      </c>
      <c r="I98" s="22">
        <f>_xlfn.LET(
    _xlpm.可変bit数,--MID(H98,FIND("(",H98)+1,FIND(")",H98)-FIND("(",H98)-1),
    _xlfn.XLOOKUP(
        $H98,
        型とバイト数!$B$3:$B$53,
        型とバイト数!$E$3:$E$53,
        IF(LEFT($H98,7)="varchar",_xlpm.可変bit数*8,
            IF(LEFT($H98,3)="bit",_xlpm.可変bit数,"???"))
    )
)</f>
        <v>64</v>
      </c>
      <c r="J98" s="22"/>
      <c r="K98" s="22"/>
      <c r="L98" s="24"/>
      <c r="M98" s="22" t="str">
        <f>IF(K98="","",IF(L98="","参照先未定義",_xlfn.XLOOKUP(L98,B:B,C:C,"エラー")))</f>
        <v/>
      </c>
      <c r="N98" s="22" t="s">
        <v>52</v>
      </c>
      <c r="O98" s="22"/>
      <c r="P98" s="22" t="s">
        <v>122</v>
      </c>
      <c r="Q98" s="22"/>
      <c r="R98" s="24"/>
      <c r="S98" s="24"/>
      <c r="T98" s="24"/>
      <c r="U98" s="22"/>
    </row>
    <row r="99" spans="1:21" ht="18.75" customHeight="1" x14ac:dyDescent="0.25">
      <c r="A99" s="24" t="s">
        <v>47</v>
      </c>
      <c r="B99" s="24" t="str">
        <f t="shared" si="0"/>
        <v>page_author_update_user</v>
      </c>
      <c r="C99" s="25">
        <f t="shared" si="1"/>
        <v>98</v>
      </c>
      <c r="D99" s="22" t="str">
        <f t="shared" ref="D99:E99" si="91">D98</f>
        <v>page_author</v>
      </c>
      <c r="E99" s="22" t="str">
        <f t="shared" si="91"/>
        <v>ページ編集者</v>
      </c>
      <c r="F99" s="22" t="s">
        <v>129</v>
      </c>
      <c r="G99" s="22" t="s">
        <v>130</v>
      </c>
      <c r="H99" s="22" t="s">
        <v>75</v>
      </c>
      <c r="I99" s="22">
        <f>_xlfn.LET(
    _xlpm.可変bit数,--MID(H99,FIND("(",H99)+1,FIND(")",H99)-FIND("(",H99)-1),
    _xlfn.XLOOKUP(
        $H99,
        型とバイト数!$B$3:$B$53,
        型とバイト数!$E$3:$E$53,
        IF(LEFT($H99,7)="varchar",_xlpm.可変bit数*8,
            IF(LEFT($H99,3)="bit",_xlpm.可変bit数,"???"))
    )
)</f>
        <v>256</v>
      </c>
      <c r="J99" s="22"/>
      <c r="K99" s="22"/>
      <c r="L99" s="24"/>
      <c r="M99" s="22" t="str">
        <f>IF(K99="","",IF(L99="","参照先未定義",_xlfn.XLOOKUP(L99,B:B,C:C,"エラー")))</f>
        <v/>
      </c>
      <c r="N99" s="22" t="s">
        <v>52</v>
      </c>
      <c r="O99" s="22"/>
      <c r="P99" s="22" t="s">
        <v>125</v>
      </c>
      <c r="Q99" s="22"/>
      <c r="R99" s="24"/>
      <c r="S99" s="24"/>
      <c r="T99" s="24"/>
      <c r="U99" s="22" t="s">
        <v>126</v>
      </c>
    </row>
    <row r="100" spans="1:21" ht="18.75" customHeight="1" x14ac:dyDescent="0.25">
      <c r="A100" s="24" t="s">
        <v>47</v>
      </c>
      <c r="B100" s="24" t="str">
        <f t="shared" si="0"/>
        <v>page_author_soft_delete_flag</v>
      </c>
      <c r="C100" s="25">
        <f t="shared" si="1"/>
        <v>99</v>
      </c>
      <c r="D100" s="22" t="str">
        <f t="shared" ref="D100:E100" si="92">D99</f>
        <v>page_author</v>
      </c>
      <c r="E100" s="22" t="str">
        <f t="shared" si="92"/>
        <v>ページ編集者</v>
      </c>
      <c r="F100" s="22" t="s">
        <v>131</v>
      </c>
      <c r="G100" s="22" t="s">
        <v>132</v>
      </c>
      <c r="H100" s="22" t="s">
        <v>133</v>
      </c>
      <c r="I100" s="22">
        <f>_xlfn.LET(
    _xlpm.可変bit数,--MID(H100,FIND("(",H100)+1,FIND(")",H100)-FIND("(",H100)-1),
    _xlfn.XLOOKUP(
        $H100,
        型とバイト数!$B$3:$B$53,
        型とバイト数!$E$3:$E$53,
        IF(LEFT($H100,7)="varchar",_xlpm.可変bit数*8,
            IF(LEFT($H100,3)="bit",_xlpm.可変bit数,"???"))
    )
)</f>
        <v>1</v>
      </c>
      <c r="J100" s="22"/>
      <c r="K100" s="22"/>
      <c r="L100" s="24"/>
      <c r="M100" s="22" t="str">
        <f>IF(K100="","",IF(L100="","参照先未定義",_xlfn.XLOOKUP(L100,B:B,C:C,"エラー")))</f>
        <v/>
      </c>
      <c r="N100" s="22" t="s">
        <v>52</v>
      </c>
      <c r="O100" s="22"/>
      <c r="P100" s="22">
        <v>0</v>
      </c>
      <c r="Q100" s="22"/>
      <c r="R100" s="24"/>
      <c r="S100" s="24"/>
      <c r="T100" s="24"/>
      <c r="U100" s="22"/>
    </row>
    <row r="101" spans="1:21" ht="18.75" customHeight="1" x14ac:dyDescent="0.25">
      <c r="A101" s="24" t="s">
        <v>47</v>
      </c>
      <c r="B101" s="24" t="str">
        <f t="shared" si="0"/>
        <v>page_author_hard_delete_flag</v>
      </c>
      <c r="C101" s="25">
        <f t="shared" si="1"/>
        <v>100</v>
      </c>
      <c r="D101" s="22" t="str">
        <f t="shared" ref="D101:E101" si="93">D100</f>
        <v>page_author</v>
      </c>
      <c r="E101" s="22" t="str">
        <f t="shared" si="93"/>
        <v>ページ編集者</v>
      </c>
      <c r="F101" s="22" t="s">
        <v>134</v>
      </c>
      <c r="G101" s="22" t="s">
        <v>135</v>
      </c>
      <c r="H101" s="22" t="s">
        <v>133</v>
      </c>
      <c r="I101" s="22">
        <f>_xlfn.LET(
    _xlpm.可変bit数,--MID(H101,FIND("(",H101)+1,FIND(")",H101)-FIND("(",H101)-1),
    _xlfn.XLOOKUP(
        $H101,
        型とバイト数!$B$3:$B$53,
        型とバイト数!$E$3:$E$53,
        IF(LEFT($H101,7)="varchar",_xlpm.可変bit数*8,
            IF(LEFT($H101,3)="bit",_xlpm.可変bit数,"???"))
    )
)</f>
        <v>1</v>
      </c>
      <c r="J101" s="22"/>
      <c r="K101" s="22"/>
      <c r="L101" s="24"/>
      <c r="M101" s="22" t="str">
        <f>IF(K101="","",IF(L101="","参照先未定義",_xlfn.XLOOKUP(L101,B:B,C:C,"エラー")))</f>
        <v/>
      </c>
      <c r="N101" s="22" t="s">
        <v>52</v>
      </c>
      <c r="O101" s="22"/>
      <c r="P101" s="22">
        <v>0</v>
      </c>
      <c r="Q101" s="22"/>
      <c r="R101" s="24"/>
      <c r="S101" s="24"/>
      <c r="T101" s="24"/>
      <c r="U101" s="22"/>
    </row>
    <row r="102" spans="1:21" ht="18.75" customHeight="1" x14ac:dyDescent="0.25">
      <c r="A102" s="24" t="s">
        <v>47</v>
      </c>
      <c r="B102" s="24" t="str">
        <f t="shared" si="0"/>
        <v>contact_uuid</v>
      </c>
      <c r="C102" s="25">
        <f t="shared" si="1"/>
        <v>101</v>
      </c>
      <c r="D102" s="22" t="s">
        <v>187</v>
      </c>
      <c r="E102" s="22" t="s">
        <v>188</v>
      </c>
      <c r="F102" s="22" t="s">
        <v>50</v>
      </c>
      <c r="G102" s="22" t="s">
        <v>51</v>
      </c>
      <c r="H102" s="22" t="s">
        <v>50</v>
      </c>
      <c r="I102" s="22">
        <f>_xlfn.LET(
    _xlpm.可変bit数,--MID(H102,FIND("(",H102)+1,FIND(")",H102)-FIND("(",H102)-1),
    _xlfn.XLOOKUP(
        $H102,
        型とバイト数!$B$3:$B$53,
        型とバイト数!$E$3:$E$53,
        IF(LEFT($H102,7)="varchar",_xlpm.可変bit数*8,
            IF(LEFT($H102,3)="bit",_xlpm.可変bit数,"???"))
    )
)</f>
        <v>128</v>
      </c>
      <c r="J102" s="22" t="s">
        <v>52</v>
      </c>
      <c r="K102" s="22"/>
      <c r="L102" s="24"/>
      <c r="M102" s="22" t="str">
        <f>IF(K102="","",IF(L102="","参照先未定義",_xlfn.XLOOKUP(L102,B:B,C:C,"エラー")))</f>
        <v/>
      </c>
      <c r="N102" s="22" t="s">
        <v>52</v>
      </c>
      <c r="O102" s="22" t="s">
        <v>52</v>
      </c>
      <c r="P102" s="22" t="s">
        <v>53</v>
      </c>
      <c r="Q102" s="22"/>
      <c r="R102" s="24"/>
      <c r="S102" s="24"/>
      <c r="T102" s="24"/>
      <c r="U102" s="22"/>
    </row>
    <row r="103" spans="1:21" ht="18.75" customHeight="1" x14ac:dyDescent="0.25">
      <c r="A103" s="24" t="s">
        <v>47</v>
      </c>
      <c r="B103" s="24" t="str">
        <f t="shared" si="0"/>
        <v>contact_mail_address</v>
      </c>
      <c r="C103" s="25">
        <f t="shared" si="1"/>
        <v>102</v>
      </c>
      <c r="D103" s="22" t="str">
        <f t="shared" ref="D103:E103" si="94">D102</f>
        <v>contact</v>
      </c>
      <c r="E103" s="22" t="str">
        <f t="shared" si="94"/>
        <v>問い合わせ</v>
      </c>
      <c r="F103" s="22" t="s">
        <v>189</v>
      </c>
      <c r="G103" s="22" t="s">
        <v>190</v>
      </c>
      <c r="H103" s="22" t="s">
        <v>191</v>
      </c>
      <c r="I103" s="22">
        <f>_xlfn.LET(
    _xlpm.可変bit数,--MID(H103,FIND("(",H103)+1,FIND(")",H103)-FIND("(",H103)-1),
    _xlfn.XLOOKUP(
        $H103,
        型とバイト数!$B$3:$B$53,
        型とバイト数!$E$3:$E$53,
        IF(LEFT($H103,7)="varchar",_xlpm.可変bit数*8,
            IF(LEFT($H103,3)="bit",_xlpm.可変bit数,"???"))
    )
)</f>
        <v>2040</v>
      </c>
      <c r="J103" s="22"/>
      <c r="K103" s="22"/>
      <c r="L103" s="24"/>
      <c r="M103" s="22" t="str">
        <f>IF(K103="","",IF(L103="","参照先未定義",_xlfn.XLOOKUP(L103,B:B,C:C,"エラー")))</f>
        <v/>
      </c>
      <c r="N103" s="22" t="s">
        <v>52</v>
      </c>
      <c r="O103" s="22"/>
      <c r="P103" s="22"/>
      <c r="Q103" s="22"/>
      <c r="R103" s="24" t="s">
        <v>52</v>
      </c>
      <c r="S103" s="24"/>
      <c r="T103" s="24"/>
      <c r="U103" s="22"/>
    </row>
    <row r="104" spans="1:21" ht="18.75" customHeight="1" x14ac:dyDescent="0.25">
      <c r="A104" s="24" t="s">
        <v>47</v>
      </c>
      <c r="B104" s="24" t="str">
        <f t="shared" si="0"/>
        <v>contact_subject</v>
      </c>
      <c r="C104" s="25">
        <f t="shared" si="1"/>
        <v>103</v>
      </c>
      <c r="D104" s="22" t="str">
        <f t="shared" ref="D104:E104" si="95">D103</f>
        <v>contact</v>
      </c>
      <c r="E104" s="22" t="str">
        <f t="shared" si="95"/>
        <v>問い合わせ</v>
      </c>
      <c r="F104" s="22" t="s">
        <v>192</v>
      </c>
      <c r="G104" s="22" t="s">
        <v>193</v>
      </c>
      <c r="H104" s="22" t="s">
        <v>191</v>
      </c>
      <c r="I104" s="22">
        <f>_xlfn.LET(
    _xlpm.可変bit数,--MID(H104,FIND("(",H104)+1,FIND(")",H104)-FIND("(",H104)-1),
    _xlfn.XLOOKUP(
        $H104,
        型とバイト数!$B$3:$B$53,
        型とバイト数!$E$3:$E$53,
        IF(LEFT($H104,7)="varchar",_xlpm.可変bit数*8,
            IF(LEFT($H104,3)="bit",_xlpm.可変bit数,"???"))
    )
)</f>
        <v>2040</v>
      </c>
      <c r="J104" s="22"/>
      <c r="K104" s="22"/>
      <c r="L104" s="24"/>
      <c r="M104" s="22" t="str">
        <f>IF(K104="","",IF(L104="","参照先未定義",_xlfn.XLOOKUP(L104,B:B,C:C,"エラー")))</f>
        <v/>
      </c>
      <c r="N104" s="22" t="s">
        <v>52</v>
      </c>
      <c r="O104" s="22"/>
      <c r="P104" s="22"/>
      <c r="Q104" s="22"/>
      <c r="R104" s="24" t="s">
        <v>52</v>
      </c>
      <c r="S104" s="24"/>
      <c r="T104" s="24"/>
      <c r="U104" s="22"/>
    </row>
    <row r="105" spans="1:21" ht="18.75" customHeight="1" x14ac:dyDescent="0.25">
      <c r="A105" s="24" t="s">
        <v>47</v>
      </c>
      <c r="B105" s="24" t="str">
        <f t="shared" si="0"/>
        <v>contact_contact_detail</v>
      </c>
      <c r="C105" s="25">
        <f t="shared" si="1"/>
        <v>104</v>
      </c>
      <c r="D105" s="22" t="str">
        <f t="shared" ref="D105:E105" si="96">D104</f>
        <v>contact</v>
      </c>
      <c r="E105" s="22" t="str">
        <f t="shared" si="96"/>
        <v>問い合わせ</v>
      </c>
      <c r="F105" s="22" t="s">
        <v>194</v>
      </c>
      <c r="G105" s="22" t="s">
        <v>195</v>
      </c>
      <c r="H105" s="22" t="s">
        <v>94</v>
      </c>
      <c r="I105" s="22" t="str">
        <f>_xlfn.LET(
    _xlpm.可変bit数,--MID(H105,FIND("(",H105)+1,FIND(")",H105)-FIND("(",H105)-1),
    _xlfn.XLOOKUP(
        $H105,
        型とバイト数!$B$3:$B$53,
        型とバイト数!$E$3:$E$53,
        IF(LEFT($H105,7)="varchar",_xlpm.可変bit数*8,
            IF(LEFT($H105,3)="bit",_xlpm.可変bit数,"???"))
    )
)</f>
        <v>-</v>
      </c>
      <c r="J105" s="22"/>
      <c r="K105" s="22"/>
      <c r="L105" s="24"/>
      <c r="M105" s="22" t="str">
        <f>IF(K105="","",IF(L105="","参照先未定義",_xlfn.XLOOKUP(L105,B:B,C:C,"エラー")))</f>
        <v/>
      </c>
      <c r="N105" s="22" t="s">
        <v>52</v>
      </c>
      <c r="O105" s="22"/>
      <c r="P105" s="22"/>
      <c r="Q105" s="22"/>
      <c r="R105" s="24" t="s">
        <v>52</v>
      </c>
      <c r="S105" s="24"/>
      <c r="T105" s="24"/>
      <c r="U105" s="22"/>
    </row>
    <row r="106" spans="1:21" ht="18.75" customHeight="1" x14ac:dyDescent="0.25">
      <c r="A106" s="24" t="s">
        <v>47</v>
      </c>
      <c r="B106" s="24" t="str">
        <f t="shared" si="0"/>
        <v>contact_priority_physical_name</v>
      </c>
      <c r="C106" s="25">
        <f t="shared" si="1"/>
        <v>105</v>
      </c>
      <c r="D106" s="22" t="str">
        <f t="shared" ref="D106:E106" si="97">D105</f>
        <v>contact</v>
      </c>
      <c r="E106" s="22" t="str">
        <f t="shared" si="97"/>
        <v>問い合わせ</v>
      </c>
      <c r="F106" s="22" t="s">
        <v>196</v>
      </c>
      <c r="G106" s="22" t="s">
        <v>197</v>
      </c>
      <c r="H106" s="22" t="s">
        <v>56</v>
      </c>
      <c r="I106" s="22">
        <f>_xlfn.LET(
    _xlpm.可変bit数,--MID(H106,FIND("(",H106)+1,FIND(")",H106)-FIND("(",H106)-1),
    _xlfn.XLOOKUP(
        $H106,
        型とバイト数!$B$3:$B$53,
        型とバイト数!$E$3:$E$53,
        IF(LEFT($H106,7)="varchar",_xlpm.可変bit数*8,
            IF(LEFT($H106,3)="bit",_xlpm.可変bit数,"???"))
    )
)</f>
        <v>64</v>
      </c>
      <c r="J106" s="22"/>
      <c r="K106" s="22" t="s">
        <v>52</v>
      </c>
      <c r="L106" s="24" t="s">
        <v>529</v>
      </c>
      <c r="M106" s="22">
        <f>IF(K106="","",IF(L106="","参照先未定義",_xlfn.XLOOKUP(L106,B:B,C:C,"エラー")))</f>
        <v>114</v>
      </c>
      <c r="N106" s="22"/>
      <c r="O106" s="22"/>
      <c r="P106" s="22"/>
      <c r="Q106" s="22"/>
      <c r="R106" s="24"/>
      <c r="S106" s="24"/>
      <c r="T106" s="24"/>
      <c r="U106" s="22"/>
    </row>
    <row r="107" spans="1:21" ht="18.75" customHeight="1" x14ac:dyDescent="0.25">
      <c r="A107" s="24" t="s">
        <v>47</v>
      </c>
      <c r="B107" s="24" t="str">
        <f t="shared" si="0"/>
        <v>contact_response_status_physical_name</v>
      </c>
      <c r="C107" s="25">
        <f t="shared" si="1"/>
        <v>106</v>
      </c>
      <c r="D107" s="22" t="str">
        <f t="shared" ref="D107:E107" si="98">D106</f>
        <v>contact</v>
      </c>
      <c r="E107" s="22" t="str">
        <f t="shared" si="98"/>
        <v>問い合わせ</v>
      </c>
      <c r="F107" s="22" t="s">
        <v>198</v>
      </c>
      <c r="G107" s="22" t="s">
        <v>199</v>
      </c>
      <c r="H107" s="22" t="s">
        <v>56</v>
      </c>
      <c r="I107" s="22">
        <f>_xlfn.LET(
    _xlpm.可変bit数,--MID(H107,FIND("(",H107)+1,FIND(")",H107)-FIND("(",H107)-1),
    _xlfn.XLOOKUP(
        $H107,
        型とバイト数!$B$3:$B$53,
        型とバイト数!$E$3:$E$53,
        IF(LEFT($H107,7)="varchar",_xlpm.可変bit数*8,
            IF(LEFT($H107,3)="bit",_xlpm.可変bit数,"???"))
    )
)</f>
        <v>64</v>
      </c>
      <c r="J107" s="22"/>
      <c r="K107" s="22" t="s">
        <v>52</v>
      </c>
      <c r="L107" s="24" t="s">
        <v>526</v>
      </c>
      <c r="M107" s="22">
        <f>IF(K107="","",IF(L107="","参照先未定義",_xlfn.XLOOKUP(L107,B:B,C:C,"エラー")))</f>
        <v>123</v>
      </c>
      <c r="N107" s="22"/>
      <c r="O107" s="22"/>
      <c r="P107" s="22"/>
      <c r="Q107" s="22"/>
      <c r="R107" s="24"/>
      <c r="S107" s="24"/>
      <c r="T107" s="24"/>
      <c r="U107" s="22"/>
    </row>
    <row r="108" spans="1:21" ht="18.75" customHeight="1" x14ac:dyDescent="0.25">
      <c r="A108" s="24" t="s">
        <v>47</v>
      </c>
      <c r="B108" s="24" t="str">
        <f t="shared" si="0"/>
        <v>contact_create_datetime</v>
      </c>
      <c r="C108" s="25">
        <f t="shared" si="1"/>
        <v>107</v>
      </c>
      <c r="D108" s="22" t="str">
        <f t="shared" ref="D108:E108" si="99">D107</f>
        <v>contact</v>
      </c>
      <c r="E108" s="22" t="str">
        <f t="shared" si="99"/>
        <v>問い合わせ</v>
      </c>
      <c r="F108" s="22" t="s">
        <v>120</v>
      </c>
      <c r="G108" s="22" t="s">
        <v>121</v>
      </c>
      <c r="H108" s="22" t="s">
        <v>78</v>
      </c>
      <c r="I108" s="22">
        <f>_xlfn.LET(
    _xlpm.可変bit数,--MID(H108,FIND("(",H108)+1,FIND(")",H108)-FIND("(",H108)-1),
    _xlfn.XLOOKUP(
        $H108,
        型とバイト数!$B$3:$B$53,
        型とバイト数!$E$3:$E$53,
        IF(LEFT($H108,7)="varchar",_xlpm.可変bit数*8,
            IF(LEFT($H108,3)="bit",_xlpm.可変bit数,"???"))
    )
)</f>
        <v>64</v>
      </c>
      <c r="J108" s="22"/>
      <c r="K108" s="22"/>
      <c r="L108" s="24"/>
      <c r="M108" s="22" t="str">
        <f>IF(K108="","",IF(L108="","参照先未定義",_xlfn.XLOOKUP(L108,B:B,C:C,"エラー")))</f>
        <v/>
      </c>
      <c r="N108" s="22" t="s">
        <v>52</v>
      </c>
      <c r="O108" s="22"/>
      <c r="P108" s="22" t="s">
        <v>122</v>
      </c>
      <c r="Q108" s="22"/>
      <c r="R108" s="24"/>
      <c r="S108" s="24"/>
      <c r="T108" s="24"/>
      <c r="U108" s="22"/>
    </row>
    <row r="109" spans="1:21" ht="18.75" customHeight="1" x14ac:dyDescent="0.25">
      <c r="A109" s="24" t="s">
        <v>47</v>
      </c>
      <c r="B109" s="24" t="str">
        <f t="shared" si="0"/>
        <v>contact_create_user</v>
      </c>
      <c r="C109" s="25">
        <f t="shared" si="1"/>
        <v>108</v>
      </c>
      <c r="D109" s="22" t="str">
        <f t="shared" ref="D109:E109" si="100">D108</f>
        <v>contact</v>
      </c>
      <c r="E109" s="22" t="str">
        <f t="shared" si="100"/>
        <v>問い合わせ</v>
      </c>
      <c r="F109" s="22" t="s">
        <v>123</v>
      </c>
      <c r="G109" s="22" t="s">
        <v>124</v>
      </c>
      <c r="H109" s="22" t="s">
        <v>75</v>
      </c>
      <c r="I109" s="22">
        <f>_xlfn.LET(
    _xlpm.可変bit数,--MID(H109,FIND("(",H109)+1,FIND(")",H109)-FIND("(",H109)-1),
    _xlfn.XLOOKUP(
        $H109,
        型とバイト数!$B$3:$B$53,
        型とバイト数!$E$3:$E$53,
        IF(LEFT($H109,7)="varchar",_xlpm.可変bit数*8,
            IF(LEFT($H109,3)="bit",_xlpm.可変bit数,"???"))
    )
)</f>
        <v>256</v>
      </c>
      <c r="J109" s="22"/>
      <c r="K109" s="22"/>
      <c r="L109" s="24"/>
      <c r="M109" s="22" t="str">
        <f>IF(K109="","",IF(L109="","参照先未定義",_xlfn.XLOOKUP(L109,B:B,C:C,"エラー")))</f>
        <v/>
      </c>
      <c r="N109" s="22" t="s">
        <v>52</v>
      </c>
      <c r="O109" s="22"/>
      <c r="P109" s="22" t="s">
        <v>125</v>
      </c>
      <c r="Q109" s="22"/>
      <c r="R109" s="24"/>
      <c r="S109" s="24"/>
      <c r="T109" s="24"/>
      <c r="U109" s="22" t="s">
        <v>126</v>
      </c>
    </row>
    <row r="110" spans="1:21" ht="18.75" customHeight="1" x14ac:dyDescent="0.25">
      <c r="A110" s="24" t="s">
        <v>47</v>
      </c>
      <c r="B110" s="24" t="str">
        <f t="shared" si="0"/>
        <v>contact_update_datetime</v>
      </c>
      <c r="C110" s="25">
        <f t="shared" si="1"/>
        <v>109</v>
      </c>
      <c r="D110" s="22" t="str">
        <f t="shared" ref="D110:E110" si="101">D109</f>
        <v>contact</v>
      </c>
      <c r="E110" s="22" t="str">
        <f t="shared" si="101"/>
        <v>問い合わせ</v>
      </c>
      <c r="F110" s="22" t="s">
        <v>127</v>
      </c>
      <c r="G110" s="22" t="s">
        <v>128</v>
      </c>
      <c r="H110" s="22" t="s">
        <v>78</v>
      </c>
      <c r="I110" s="22">
        <f>_xlfn.LET(
    _xlpm.可変bit数,--MID(H110,FIND("(",H110)+1,FIND(")",H110)-FIND("(",H110)-1),
    _xlfn.XLOOKUP(
        $H110,
        型とバイト数!$B$3:$B$53,
        型とバイト数!$E$3:$E$53,
        IF(LEFT($H110,7)="varchar",_xlpm.可変bit数*8,
            IF(LEFT($H110,3)="bit",_xlpm.可変bit数,"???"))
    )
)</f>
        <v>64</v>
      </c>
      <c r="J110" s="22"/>
      <c r="K110" s="22"/>
      <c r="L110" s="24"/>
      <c r="M110" s="22" t="str">
        <f>IF(K110="","",IF(L110="","参照先未定義",_xlfn.XLOOKUP(L110,B:B,C:C,"エラー")))</f>
        <v/>
      </c>
      <c r="N110" s="22" t="s">
        <v>52</v>
      </c>
      <c r="O110" s="22"/>
      <c r="P110" s="22" t="s">
        <v>122</v>
      </c>
      <c r="Q110" s="22"/>
      <c r="R110" s="24"/>
      <c r="S110" s="24"/>
      <c r="T110" s="24"/>
      <c r="U110" s="22"/>
    </row>
    <row r="111" spans="1:21" ht="18.75" customHeight="1" x14ac:dyDescent="0.25">
      <c r="A111" s="24" t="s">
        <v>47</v>
      </c>
      <c r="B111" s="24" t="str">
        <f t="shared" si="0"/>
        <v>contact_update_user</v>
      </c>
      <c r="C111" s="25">
        <f t="shared" si="1"/>
        <v>110</v>
      </c>
      <c r="D111" s="22" t="str">
        <f t="shared" ref="D111:E111" si="102">D110</f>
        <v>contact</v>
      </c>
      <c r="E111" s="22" t="str">
        <f t="shared" si="102"/>
        <v>問い合わせ</v>
      </c>
      <c r="F111" s="22" t="s">
        <v>129</v>
      </c>
      <c r="G111" s="22" t="s">
        <v>130</v>
      </c>
      <c r="H111" s="22" t="s">
        <v>75</v>
      </c>
      <c r="I111" s="22">
        <f>_xlfn.LET(
    _xlpm.可変bit数,--MID(H111,FIND("(",H111)+1,FIND(")",H111)-FIND("(",H111)-1),
    _xlfn.XLOOKUP(
        $H111,
        型とバイト数!$B$3:$B$53,
        型とバイト数!$E$3:$E$53,
        IF(LEFT($H111,7)="varchar",_xlpm.可変bit数*8,
            IF(LEFT($H111,3)="bit",_xlpm.可変bit数,"???"))
    )
)</f>
        <v>256</v>
      </c>
      <c r="J111" s="22"/>
      <c r="K111" s="22"/>
      <c r="L111" s="24"/>
      <c r="M111" s="22" t="str">
        <f>IF(K111="","",IF(L111="","参照先未定義",_xlfn.XLOOKUP(L111,B:B,C:C,"エラー")))</f>
        <v/>
      </c>
      <c r="N111" s="22" t="s">
        <v>52</v>
      </c>
      <c r="O111" s="22"/>
      <c r="P111" s="22" t="s">
        <v>125</v>
      </c>
      <c r="Q111" s="22"/>
      <c r="R111" s="24"/>
      <c r="S111" s="24"/>
      <c r="T111" s="24"/>
      <c r="U111" s="22" t="s">
        <v>126</v>
      </c>
    </row>
    <row r="112" spans="1:21" ht="18.75" customHeight="1" x14ac:dyDescent="0.25">
      <c r="A112" s="24" t="s">
        <v>47</v>
      </c>
      <c r="B112" s="24" t="str">
        <f t="shared" si="0"/>
        <v>contact_soft_delete_flag</v>
      </c>
      <c r="C112" s="25">
        <f t="shared" si="1"/>
        <v>111</v>
      </c>
      <c r="D112" s="22" t="str">
        <f t="shared" ref="D112:E112" si="103">D111</f>
        <v>contact</v>
      </c>
      <c r="E112" s="22" t="str">
        <f t="shared" si="103"/>
        <v>問い合わせ</v>
      </c>
      <c r="F112" s="22" t="s">
        <v>131</v>
      </c>
      <c r="G112" s="22" t="s">
        <v>132</v>
      </c>
      <c r="H112" s="22" t="s">
        <v>133</v>
      </c>
      <c r="I112" s="22">
        <f>_xlfn.LET(
    _xlpm.可変bit数,--MID(H112,FIND("(",H112)+1,FIND(")",H112)-FIND("(",H112)-1),
    _xlfn.XLOOKUP(
        $H112,
        型とバイト数!$B$3:$B$53,
        型とバイト数!$E$3:$E$53,
        IF(LEFT($H112,7)="varchar",_xlpm.可変bit数*8,
            IF(LEFT($H112,3)="bit",_xlpm.可変bit数,"???"))
    )
)</f>
        <v>1</v>
      </c>
      <c r="J112" s="22"/>
      <c r="K112" s="22"/>
      <c r="L112" s="24"/>
      <c r="M112" s="22" t="str">
        <f>IF(K112="","",IF(L112="","参照先未定義",_xlfn.XLOOKUP(L112,B:B,C:C,"エラー")))</f>
        <v/>
      </c>
      <c r="N112" s="22" t="s">
        <v>52</v>
      </c>
      <c r="O112" s="22"/>
      <c r="P112" s="22">
        <v>0</v>
      </c>
      <c r="Q112" s="22"/>
      <c r="R112" s="24"/>
      <c r="S112" s="24"/>
      <c r="T112" s="24"/>
      <c r="U112" s="22"/>
    </row>
    <row r="113" spans="1:21" ht="18.75" customHeight="1" x14ac:dyDescent="0.25">
      <c r="A113" s="24" t="s">
        <v>47</v>
      </c>
      <c r="B113" s="24" t="str">
        <f t="shared" si="0"/>
        <v>contact_hard_delete_flag</v>
      </c>
      <c r="C113" s="25">
        <f t="shared" si="1"/>
        <v>112</v>
      </c>
      <c r="D113" s="22" t="str">
        <f t="shared" ref="D113:E113" si="104">D112</f>
        <v>contact</v>
      </c>
      <c r="E113" s="22" t="str">
        <f t="shared" si="104"/>
        <v>問い合わせ</v>
      </c>
      <c r="F113" s="22" t="s">
        <v>134</v>
      </c>
      <c r="G113" s="22" t="s">
        <v>135</v>
      </c>
      <c r="H113" s="22" t="s">
        <v>133</v>
      </c>
      <c r="I113" s="22">
        <f>_xlfn.LET(
    _xlpm.可変bit数,--MID(H113,FIND("(",H113)+1,FIND(")",H113)-FIND("(",H113)-1),
    _xlfn.XLOOKUP(
        $H113,
        型とバイト数!$B$3:$B$53,
        型とバイト数!$E$3:$E$53,
        IF(LEFT($H113,7)="varchar",_xlpm.可変bit数*8,
            IF(LEFT($H113,3)="bit",_xlpm.可変bit数,"???"))
    )
)</f>
        <v>1</v>
      </c>
      <c r="J113" s="22"/>
      <c r="K113" s="22"/>
      <c r="L113" s="24"/>
      <c r="M113" s="22" t="str">
        <f>IF(K113="","",IF(L113="","参照先未定義",_xlfn.XLOOKUP(L113,B:B,C:C,"エラー")))</f>
        <v/>
      </c>
      <c r="N113" s="22" t="s">
        <v>52</v>
      </c>
      <c r="O113" s="22"/>
      <c r="P113" s="22">
        <v>0</v>
      </c>
      <c r="Q113" s="22"/>
      <c r="R113" s="24"/>
      <c r="S113" s="24"/>
      <c r="T113" s="24"/>
      <c r="U113" s="22"/>
    </row>
    <row r="114" spans="1:21" ht="18.75" customHeight="1" x14ac:dyDescent="0.25">
      <c r="A114" s="24" t="s">
        <v>47</v>
      </c>
      <c r="B114" s="24" t="str">
        <f t="shared" si="0"/>
        <v>priority_uuid</v>
      </c>
      <c r="C114" s="25">
        <f t="shared" si="1"/>
        <v>113</v>
      </c>
      <c r="D114" s="22" t="s">
        <v>200</v>
      </c>
      <c r="E114" s="22" t="s">
        <v>201</v>
      </c>
      <c r="F114" s="22" t="s">
        <v>50</v>
      </c>
      <c r="G114" s="22" t="s">
        <v>51</v>
      </c>
      <c r="H114" s="22" t="s">
        <v>50</v>
      </c>
      <c r="I114" s="22">
        <f>_xlfn.LET(
    _xlpm.可変bit数,--MID(H114,FIND("(",H114)+1,FIND(")",H114)-FIND("(",H114)-1),
    _xlfn.XLOOKUP(
        $H114,
        型とバイト数!$B$3:$B$53,
        型とバイト数!$E$3:$E$53,
        IF(LEFT($H114,7)="varchar",_xlpm.可変bit数*8,
            IF(LEFT($H114,3)="bit",_xlpm.可変bit数,"???"))
    )
)</f>
        <v>128</v>
      </c>
      <c r="J114" s="22" t="s">
        <v>52</v>
      </c>
      <c r="K114" s="22"/>
      <c r="L114" s="24"/>
      <c r="M114" s="22" t="str">
        <f>IF(K114="","",IF(L114="","参照先未定義",_xlfn.XLOOKUP(L114,B:B,C:C,"エラー")))</f>
        <v/>
      </c>
      <c r="N114" s="22" t="s">
        <v>52</v>
      </c>
      <c r="O114" s="22" t="s">
        <v>52</v>
      </c>
      <c r="P114" s="22" t="s">
        <v>53</v>
      </c>
      <c r="Q114" s="22"/>
      <c r="R114" s="24"/>
      <c r="S114" s="24"/>
      <c r="T114" s="24"/>
      <c r="U114" s="22"/>
    </row>
    <row r="115" spans="1:21" ht="18.75" customHeight="1" x14ac:dyDescent="0.25">
      <c r="A115" s="24" t="s">
        <v>47</v>
      </c>
      <c r="B115" s="24" t="str">
        <f t="shared" si="0"/>
        <v>priority_priority_physical_name</v>
      </c>
      <c r="C115" s="25">
        <f t="shared" si="1"/>
        <v>114</v>
      </c>
      <c r="D115" s="22" t="str">
        <f t="shared" ref="D115:E115" si="105">D114</f>
        <v>priority</v>
      </c>
      <c r="E115" s="22" t="str">
        <f t="shared" si="105"/>
        <v>優先度</v>
      </c>
      <c r="F115" s="22" t="s">
        <v>196</v>
      </c>
      <c r="G115" s="22" t="s">
        <v>197</v>
      </c>
      <c r="H115" s="22" t="s">
        <v>56</v>
      </c>
      <c r="I115" s="22">
        <f>_xlfn.LET(
    _xlpm.可変bit数,--MID(H115,FIND("(",H115)+1,FIND(")",H115)-FIND("(",H115)-1),
    _xlfn.XLOOKUP(
        $H115,
        型とバイト数!$B$3:$B$53,
        型とバイト数!$E$3:$E$53,
        IF(LEFT($H115,7)="varchar",_xlpm.可変bit数*8,
            IF(LEFT($H115,3)="bit",_xlpm.可変bit数,"???"))
    )
)</f>
        <v>64</v>
      </c>
      <c r="J115" s="22" t="s">
        <v>52</v>
      </c>
      <c r="K115" s="22"/>
      <c r="L115" s="24"/>
      <c r="M115" s="22" t="str">
        <f>IF(K115="","",IF(L115="","参照先未定義",_xlfn.XLOOKUP(L115,B:B,C:C,"エラー")))</f>
        <v/>
      </c>
      <c r="N115" s="22"/>
      <c r="O115" s="22" t="s">
        <v>52</v>
      </c>
      <c r="P115" s="22"/>
      <c r="Q115" s="22"/>
      <c r="R115" s="24"/>
      <c r="S115" s="24"/>
      <c r="T115" s="24"/>
      <c r="U115" s="22"/>
    </row>
    <row r="116" spans="1:21" ht="18.75" customHeight="1" x14ac:dyDescent="0.25">
      <c r="A116" s="24" t="s">
        <v>47</v>
      </c>
      <c r="B116" s="24" t="str">
        <f t="shared" si="0"/>
        <v>priority_priority_logical_name</v>
      </c>
      <c r="C116" s="25">
        <f t="shared" si="1"/>
        <v>115</v>
      </c>
      <c r="D116" s="22" t="str">
        <f t="shared" ref="D116:E116" si="106">D115</f>
        <v>priority</v>
      </c>
      <c r="E116" s="22" t="str">
        <f t="shared" si="106"/>
        <v>優先度</v>
      </c>
      <c r="F116" s="22" t="s">
        <v>202</v>
      </c>
      <c r="G116" s="22" t="s">
        <v>203</v>
      </c>
      <c r="H116" s="22" t="s">
        <v>56</v>
      </c>
      <c r="I116" s="22">
        <f>_xlfn.LET(
    _xlpm.可変bit数,--MID(H116,FIND("(",H116)+1,FIND(")",H116)-FIND("(",H116)-1),
    _xlfn.XLOOKUP(
        $H116,
        型とバイト数!$B$3:$B$53,
        型とバイト数!$E$3:$E$53,
        IF(LEFT($H116,7)="varchar",_xlpm.可変bit数*8,
            IF(LEFT($H116,3)="bit",_xlpm.可変bit数,"???"))
    )
)</f>
        <v>64</v>
      </c>
      <c r="J116" s="22"/>
      <c r="K116" s="22"/>
      <c r="L116" s="24"/>
      <c r="M116" s="22" t="str">
        <f>IF(K116="","",IF(L116="","参照先未定義",_xlfn.XLOOKUP(L116,B:B,C:C,"エラー")))</f>
        <v/>
      </c>
      <c r="N116" s="22"/>
      <c r="O116" s="22"/>
      <c r="P116" s="22"/>
      <c r="Q116" s="22"/>
      <c r="R116" s="24"/>
      <c r="S116" s="24"/>
      <c r="T116" s="24"/>
      <c r="U116" s="22" t="s">
        <v>204</v>
      </c>
    </row>
    <row r="117" spans="1:21" ht="18.75" customHeight="1" x14ac:dyDescent="0.25">
      <c r="A117" s="24" t="s">
        <v>47</v>
      </c>
      <c r="B117" s="24" t="str">
        <f t="shared" si="0"/>
        <v>priority_create_datetime</v>
      </c>
      <c r="C117" s="25">
        <f t="shared" si="1"/>
        <v>116</v>
      </c>
      <c r="D117" s="22" t="str">
        <f t="shared" ref="D117:E117" si="107">D116</f>
        <v>priority</v>
      </c>
      <c r="E117" s="22" t="str">
        <f t="shared" si="107"/>
        <v>優先度</v>
      </c>
      <c r="F117" s="22" t="s">
        <v>120</v>
      </c>
      <c r="G117" s="22" t="s">
        <v>121</v>
      </c>
      <c r="H117" s="22" t="s">
        <v>78</v>
      </c>
      <c r="I117" s="22">
        <f>_xlfn.LET(
    _xlpm.可変bit数,--MID(H117,FIND("(",H117)+1,FIND(")",H117)-FIND("(",H117)-1),
    _xlfn.XLOOKUP(
        $H117,
        型とバイト数!$B$3:$B$53,
        型とバイト数!$E$3:$E$53,
        IF(LEFT($H117,7)="varchar",_xlpm.可変bit数*8,
            IF(LEFT($H117,3)="bit",_xlpm.可変bit数,"???"))
    )
)</f>
        <v>64</v>
      </c>
      <c r="J117" s="22"/>
      <c r="K117" s="22"/>
      <c r="L117" s="24"/>
      <c r="M117" s="22" t="str">
        <f>IF(K117="","",IF(L117="","参照先未定義",_xlfn.XLOOKUP(L117,B:B,C:C,"エラー")))</f>
        <v/>
      </c>
      <c r="N117" s="22" t="s">
        <v>52</v>
      </c>
      <c r="O117" s="22"/>
      <c r="P117" s="22" t="s">
        <v>122</v>
      </c>
      <c r="Q117" s="22"/>
      <c r="R117" s="24"/>
      <c r="S117" s="24"/>
      <c r="T117" s="24"/>
      <c r="U117" s="22"/>
    </row>
    <row r="118" spans="1:21" ht="18.75" customHeight="1" x14ac:dyDescent="0.25">
      <c r="A118" s="24" t="s">
        <v>47</v>
      </c>
      <c r="B118" s="24" t="str">
        <f t="shared" si="0"/>
        <v>priority_create_user</v>
      </c>
      <c r="C118" s="25">
        <f t="shared" si="1"/>
        <v>117</v>
      </c>
      <c r="D118" s="22" t="str">
        <f t="shared" ref="D118:E118" si="108">D117</f>
        <v>priority</v>
      </c>
      <c r="E118" s="22" t="str">
        <f t="shared" si="108"/>
        <v>優先度</v>
      </c>
      <c r="F118" s="22" t="s">
        <v>123</v>
      </c>
      <c r="G118" s="22" t="s">
        <v>124</v>
      </c>
      <c r="H118" s="22" t="s">
        <v>75</v>
      </c>
      <c r="I118" s="22">
        <f>_xlfn.LET(
    _xlpm.可変bit数,--MID(H118,FIND("(",H118)+1,FIND(")",H118)-FIND("(",H118)-1),
    _xlfn.XLOOKUP(
        $H118,
        型とバイト数!$B$3:$B$53,
        型とバイト数!$E$3:$E$53,
        IF(LEFT($H118,7)="varchar",_xlpm.可変bit数*8,
            IF(LEFT($H118,3)="bit",_xlpm.可変bit数,"???"))
    )
)</f>
        <v>256</v>
      </c>
      <c r="J118" s="22"/>
      <c r="K118" s="22"/>
      <c r="L118" s="24"/>
      <c r="M118" s="22" t="str">
        <f>IF(K118="","",IF(L118="","参照先未定義",_xlfn.XLOOKUP(L118,B:B,C:C,"エラー")))</f>
        <v/>
      </c>
      <c r="N118" s="22" t="s">
        <v>52</v>
      </c>
      <c r="O118" s="22"/>
      <c r="P118" s="22" t="s">
        <v>125</v>
      </c>
      <c r="Q118" s="22"/>
      <c r="R118" s="24"/>
      <c r="S118" s="24"/>
      <c r="T118" s="24"/>
      <c r="U118" s="22" t="s">
        <v>126</v>
      </c>
    </row>
    <row r="119" spans="1:21" ht="18.75" customHeight="1" x14ac:dyDescent="0.25">
      <c r="A119" s="24" t="s">
        <v>47</v>
      </c>
      <c r="B119" s="24" t="str">
        <f t="shared" si="0"/>
        <v>priority_update_datetime</v>
      </c>
      <c r="C119" s="25">
        <f t="shared" si="1"/>
        <v>118</v>
      </c>
      <c r="D119" s="22" t="str">
        <f t="shared" ref="D119:E119" si="109">D118</f>
        <v>priority</v>
      </c>
      <c r="E119" s="22" t="str">
        <f t="shared" si="109"/>
        <v>優先度</v>
      </c>
      <c r="F119" s="22" t="s">
        <v>127</v>
      </c>
      <c r="G119" s="22" t="s">
        <v>128</v>
      </c>
      <c r="H119" s="22" t="s">
        <v>78</v>
      </c>
      <c r="I119" s="22">
        <f>_xlfn.LET(
    _xlpm.可変bit数,--MID(H119,FIND("(",H119)+1,FIND(")",H119)-FIND("(",H119)-1),
    _xlfn.XLOOKUP(
        $H119,
        型とバイト数!$B$3:$B$53,
        型とバイト数!$E$3:$E$53,
        IF(LEFT($H119,7)="varchar",_xlpm.可変bit数*8,
            IF(LEFT($H119,3)="bit",_xlpm.可変bit数,"???"))
    )
)</f>
        <v>64</v>
      </c>
      <c r="J119" s="22"/>
      <c r="K119" s="22"/>
      <c r="L119" s="24"/>
      <c r="M119" s="22" t="str">
        <f>IF(K119="","",IF(L119="","参照先未定義",_xlfn.XLOOKUP(L119,B:B,C:C,"エラー")))</f>
        <v/>
      </c>
      <c r="N119" s="22" t="s">
        <v>52</v>
      </c>
      <c r="O119" s="22"/>
      <c r="P119" s="22" t="s">
        <v>122</v>
      </c>
      <c r="Q119" s="22"/>
      <c r="R119" s="24"/>
      <c r="S119" s="24"/>
      <c r="T119" s="24"/>
      <c r="U119" s="22"/>
    </row>
    <row r="120" spans="1:21" ht="18.75" customHeight="1" x14ac:dyDescent="0.25">
      <c r="A120" s="24" t="s">
        <v>47</v>
      </c>
      <c r="B120" s="24" t="str">
        <f t="shared" si="0"/>
        <v>priority_update_user</v>
      </c>
      <c r="C120" s="25">
        <f t="shared" si="1"/>
        <v>119</v>
      </c>
      <c r="D120" s="22" t="str">
        <f t="shared" ref="D120:E120" si="110">D119</f>
        <v>priority</v>
      </c>
      <c r="E120" s="22" t="str">
        <f t="shared" si="110"/>
        <v>優先度</v>
      </c>
      <c r="F120" s="22" t="s">
        <v>129</v>
      </c>
      <c r="G120" s="22" t="s">
        <v>130</v>
      </c>
      <c r="H120" s="22" t="s">
        <v>75</v>
      </c>
      <c r="I120" s="22">
        <f>_xlfn.LET(
    _xlpm.可変bit数,--MID(H120,FIND("(",H120)+1,FIND(")",H120)-FIND("(",H120)-1),
    _xlfn.XLOOKUP(
        $H120,
        型とバイト数!$B$3:$B$53,
        型とバイト数!$E$3:$E$53,
        IF(LEFT($H120,7)="varchar",_xlpm.可変bit数*8,
            IF(LEFT($H120,3)="bit",_xlpm.可変bit数,"???"))
    )
)</f>
        <v>256</v>
      </c>
      <c r="J120" s="22"/>
      <c r="K120" s="22"/>
      <c r="L120" s="24"/>
      <c r="M120" s="22" t="str">
        <f>IF(K120="","",IF(L120="","参照先未定義",_xlfn.XLOOKUP(L120,B:B,C:C,"エラー")))</f>
        <v/>
      </c>
      <c r="N120" s="22" t="s">
        <v>52</v>
      </c>
      <c r="O120" s="22"/>
      <c r="P120" s="22" t="s">
        <v>125</v>
      </c>
      <c r="Q120" s="22"/>
      <c r="R120" s="24"/>
      <c r="S120" s="24"/>
      <c r="T120" s="24"/>
      <c r="U120" s="22" t="s">
        <v>126</v>
      </c>
    </row>
    <row r="121" spans="1:21" ht="18.75" customHeight="1" x14ac:dyDescent="0.25">
      <c r="A121" s="24" t="s">
        <v>47</v>
      </c>
      <c r="B121" s="24" t="str">
        <f t="shared" si="0"/>
        <v>priority_soft_delete_flag</v>
      </c>
      <c r="C121" s="25">
        <f t="shared" si="1"/>
        <v>120</v>
      </c>
      <c r="D121" s="22" t="str">
        <f t="shared" ref="D121:E121" si="111">D120</f>
        <v>priority</v>
      </c>
      <c r="E121" s="22" t="str">
        <f t="shared" si="111"/>
        <v>優先度</v>
      </c>
      <c r="F121" s="22" t="s">
        <v>131</v>
      </c>
      <c r="G121" s="22" t="s">
        <v>132</v>
      </c>
      <c r="H121" s="22" t="s">
        <v>133</v>
      </c>
      <c r="I121" s="22">
        <f>_xlfn.LET(
    _xlpm.可変bit数,--MID(H121,FIND("(",H121)+1,FIND(")",H121)-FIND("(",H121)-1),
    _xlfn.XLOOKUP(
        $H121,
        型とバイト数!$B$3:$B$53,
        型とバイト数!$E$3:$E$53,
        IF(LEFT($H121,7)="varchar",_xlpm.可変bit数*8,
            IF(LEFT($H121,3)="bit",_xlpm.可変bit数,"???"))
    )
)</f>
        <v>1</v>
      </c>
      <c r="J121" s="22"/>
      <c r="K121" s="22"/>
      <c r="L121" s="24"/>
      <c r="M121" s="22" t="str">
        <f>IF(K121="","",IF(L121="","参照先未定義",_xlfn.XLOOKUP(L121,B:B,C:C,"エラー")))</f>
        <v/>
      </c>
      <c r="N121" s="22" t="s">
        <v>52</v>
      </c>
      <c r="O121" s="22"/>
      <c r="P121" s="22">
        <v>0</v>
      </c>
      <c r="Q121" s="22"/>
      <c r="R121" s="24"/>
      <c r="S121" s="24"/>
      <c r="T121" s="24"/>
      <c r="U121" s="22"/>
    </row>
    <row r="122" spans="1:21" ht="18.75" customHeight="1" x14ac:dyDescent="0.25">
      <c r="A122" s="24" t="s">
        <v>47</v>
      </c>
      <c r="B122" s="24" t="str">
        <f t="shared" si="0"/>
        <v>priority_hard_delete_flag</v>
      </c>
      <c r="C122" s="25">
        <f t="shared" si="1"/>
        <v>121</v>
      </c>
      <c r="D122" s="22" t="str">
        <f t="shared" ref="D122:E122" si="112">D121</f>
        <v>priority</v>
      </c>
      <c r="E122" s="22" t="str">
        <f t="shared" si="112"/>
        <v>優先度</v>
      </c>
      <c r="F122" s="22" t="s">
        <v>134</v>
      </c>
      <c r="G122" s="22" t="s">
        <v>135</v>
      </c>
      <c r="H122" s="22" t="s">
        <v>133</v>
      </c>
      <c r="I122" s="22">
        <f>_xlfn.LET(
    _xlpm.可変bit数,--MID(H122,FIND("(",H122)+1,FIND(")",H122)-FIND("(",H122)-1),
    _xlfn.XLOOKUP(
        $H122,
        型とバイト数!$B$3:$B$53,
        型とバイト数!$E$3:$E$53,
        IF(LEFT($H122,7)="varchar",_xlpm.可変bit数*8,
            IF(LEFT($H122,3)="bit",_xlpm.可変bit数,"???"))
    )
)</f>
        <v>1</v>
      </c>
      <c r="J122" s="22"/>
      <c r="K122" s="22"/>
      <c r="L122" s="24"/>
      <c r="M122" s="22" t="str">
        <f>IF(K122="","",IF(L122="","参照先未定義",_xlfn.XLOOKUP(L122,B:B,C:C,"エラー")))</f>
        <v/>
      </c>
      <c r="N122" s="22" t="s">
        <v>52</v>
      </c>
      <c r="O122" s="22"/>
      <c r="P122" s="22">
        <v>0</v>
      </c>
      <c r="Q122" s="22"/>
      <c r="R122" s="24"/>
      <c r="S122" s="24"/>
      <c r="T122" s="24"/>
      <c r="U122" s="22"/>
    </row>
    <row r="123" spans="1:21" ht="18.75" customHeight="1" x14ac:dyDescent="0.25">
      <c r="A123" s="24" t="s">
        <v>47</v>
      </c>
      <c r="B123" s="24" t="str">
        <f t="shared" si="0"/>
        <v>response_status_uuid</v>
      </c>
      <c r="C123" s="25">
        <f t="shared" si="1"/>
        <v>122</v>
      </c>
      <c r="D123" s="22" t="s">
        <v>205</v>
      </c>
      <c r="E123" s="22" t="s">
        <v>206</v>
      </c>
      <c r="F123" s="22" t="s">
        <v>50</v>
      </c>
      <c r="G123" s="22" t="s">
        <v>51</v>
      </c>
      <c r="H123" s="22" t="s">
        <v>50</v>
      </c>
      <c r="I123" s="22">
        <f>_xlfn.LET(
    _xlpm.可変bit数,--MID(H123,FIND("(",H123)+1,FIND(")",H123)-FIND("(",H123)-1),
    _xlfn.XLOOKUP(
        $H123,
        型とバイト数!$B$3:$B$53,
        型とバイト数!$E$3:$E$53,
        IF(LEFT($H123,7)="varchar",_xlpm.可変bit数*8,
            IF(LEFT($H123,3)="bit",_xlpm.可変bit数,"???"))
    )
)</f>
        <v>128</v>
      </c>
      <c r="J123" s="22" t="s">
        <v>52</v>
      </c>
      <c r="K123" s="22"/>
      <c r="L123" s="24"/>
      <c r="M123" s="22" t="str">
        <f>IF(K123="","",IF(L123="","参照先未定義",_xlfn.XLOOKUP(L123,B:B,C:C,"エラー")))</f>
        <v/>
      </c>
      <c r="N123" s="22" t="s">
        <v>52</v>
      </c>
      <c r="O123" s="22" t="s">
        <v>52</v>
      </c>
      <c r="P123" s="22" t="s">
        <v>53</v>
      </c>
      <c r="Q123" s="22"/>
      <c r="R123" s="24"/>
      <c r="S123" s="24"/>
      <c r="T123" s="24"/>
      <c r="U123" s="22"/>
    </row>
    <row r="124" spans="1:21" ht="18.75" customHeight="1" x14ac:dyDescent="0.25">
      <c r="A124" s="24" t="s">
        <v>47</v>
      </c>
      <c r="B124" s="24" t="str">
        <f t="shared" si="0"/>
        <v>response_status_response_status_physical_name</v>
      </c>
      <c r="C124" s="25">
        <f t="shared" si="1"/>
        <v>123</v>
      </c>
      <c r="D124" s="22" t="str">
        <f t="shared" ref="D124:E124" si="113">D123</f>
        <v>response_status</v>
      </c>
      <c r="E124" s="22" t="str">
        <f t="shared" si="113"/>
        <v>対応状況</v>
      </c>
      <c r="F124" s="22" t="s">
        <v>198</v>
      </c>
      <c r="G124" s="22" t="s">
        <v>199</v>
      </c>
      <c r="H124" s="22" t="s">
        <v>56</v>
      </c>
      <c r="I124" s="22">
        <f>_xlfn.LET(
    _xlpm.可変bit数,--MID(H124,FIND("(",H124)+1,FIND(")",H124)-FIND("(",H124)-1),
    _xlfn.XLOOKUP(
        $H124,
        型とバイト数!$B$3:$B$53,
        型とバイト数!$E$3:$E$53,
        IF(LEFT($H124,7)="varchar",_xlpm.可変bit数*8,
            IF(LEFT($H124,3)="bit",_xlpm.可変bit数,"???"))
    )
)</f>
        <v>64</v>
      </c>
      <c r="J124" s="22" t="s">
        <v>52</v>
      </c>
      <c r="K124" s="22"/>
      <c r="L124" s="24"/>
      <c r="M124" s="22" t="str">
        <f>IF(K124="","",IF(L124="","参照先未定義",_xlfn.XLOOKUP(L124,B:B,C:C,"エラー")))</f>
        <v/>
      </c>
      <c r="N124" s="22"/>
      <c r="O124" s="22" t="s">
        <v>52</v>
      </c>
      <c r="P124" s="22"/>
      <c r="Q124" s="22"/>
      <c r="R124" s="24"/>
      <c r="S124" s="24"/>
      <c r="T124" s="24"/>
      <c r="U124" s="22"/>
    </row>
    <row r="125" spans="1:21" ht="18.75" customHeight="1" x14ac:dyDescent="0.25">
      <c r="A125" s="24" t="s">
        <v>47</v>
      </c>
      <c r="B125" s="24" t="str">
        <f t="shared" si="0"/>
        <v>response_status_response_status_logical_name</v>
      </c>
      <c r="C125" s="25">
        <f t="shared" si="1"/>
        <v>124</v>
      </c>
      <c r="D125" s="22" t="str">
        <f t="shared" ref="D125:E125" si="114">D124</f>
        <v>response_status</v>
      </c>
      <c r="E125" s="22" t="str">
        <f t="shared" si="114"/>
        <v>対応状況</v>
      </c>
      <c r="F125" s="22" t="s">
        <v>207</v>
      </c>
      <c r="G125" s="22" t="s">
        <v>208</v>
      </c>
      <c r="H125" s="22" t="s">
        <v>56</v>
      </c>
      <c r="I125" s="22">
        <f>_xlfn.LET(
    _xlpm.可変bit数,--MID(H125,FIND("(",H125)+1,FIND(")",H125)-FIND("(",H125)-1),
    _xlfn.XLOOKUP(
        $H125,
        型とバイト数!$B$3:$B$53,
        型とバイト数!$E$3:$E$53,
        IF(LEFT($H125,7)="varchar",_xlpm.可変bit数*8,
            IF(LEFT($H125,3)="bit",_xlpm.可変bit数,"???"))
    )
)</f>
        <v>64</v>
      </c>
      <c r="J125" s="22"/>
      <c r="K125" s="22"/>
      <c r="L125" s="24"/>
      <c r="M125" s="22" t="str">
        <f>IF(K125="","",IF(L125="","参照先未定義",_xlfn.XLOOKUP(L125,B:B,C:C,"エラー")))</f>
        <v/>
      </c>
      <c r="N125" s="22"/>
      <c r="O125" s="22"/>
      <c r="P125" s="22"/>
      <c r="Q125" s="22"/>
      <c r="R125" s="24"/>
      <c r="S125" s="24"/>
      <c r="T125" s="24"/>
      <c r="U125" s="22" t="s">
        <v>204</v>
      </c>
    </row>
    <row r="126" spans="1:21" ht="18.75" customHeight="1" x14ac:dyDescent="0.25">
      <c r="A126" s="24" t="s">
        <v>47</v>
      </c>
      <c r="B126" s="24" t="str">
        <f t="shared" si="0"/>
        <v>response_status_create_datetime</v>
      </c>
      <c r="C126" s="25">
        <f t="shared" si="1"/>
        <v>125</v>
      </c>
      <c r="D126" s="22" t="str">
        <f t="shared" ref="D126:E126" si="115">D125</f>
        <v>response_status</v>
      </c>
      <c r="E126" s="22" t="str">
        <f t="shared" si="115"/>
        <v>対応状況</v>
      </c>
      <c r="F126" s="22" t="s">
        <v>120</v>
      </c>
      <c r="G126" s="22" t="s">
        <v>121</v>
      </c>
      <c r="H126" s="22" t="s">
        <v>78</v>
      </c>
      <c r="I126" s="22">
        <f>_xlfn.LET(
    _xlpm.可変bit数,--MID(H126,FIND("(",H126)+1,FIND(")",H126)-FIND("(",H126)-1),
    _xlfn.XLOOKUP(
        $H126,
        型とバイト数!$B$3:$B$53,
        型とバイト数!$E$3:$E$53,
        IF(LEFT($H126,7)="varchar",_xlpm.可変bit数*8,
            IF(LEFT($H126,3)="bit",_xlpm.可変bit数,"???"))
    )
)</f>
        <v>64</v>
      </c>
      <c r="J126" s="22"/>
      <c r="K126" s="22"/>
      <c r="L126" s="24"/>
      <c r="M126" s="22" t="str">
        <f>IF(K126="","",IF(L126="","参照先未定義",_xlfn.XLOOKUP(L126,B:B,C:C,"エラー")))</f>
        <v/>
      </c>
      <c r="N126" s="22" t="s">
        <v>52</v>
      </c>
      <c r="O126" s="22"/>
      <c r="P126" s="22" t="s">
        <v>122</v>
      </c>
      <c r="Q126" s="22"/>
      <c r="R126" s="24"/>
      <c r="S126" s="24"/>
      <c r="T126" s="24"/>
      <c r="U126" s="22"/>
    </row>
    <row r="127" spans="1:21" ht="18.75" customHeight="1" x14ac:dyDescent="0.25">
      <c r="A127" s="24" t="s">
        <v>47</v>
      </c>
      <c r="B127" s="24" t="str">
        <f t="shared" si="0"/>
        <v>response_status_create_user</v>
      </c>
      <c r="C127" s="25">
        <f t="shared" si="1"/>
        <v>126</v>
      </c>
      <c r="D127" s="22" t="str">
        <f t="shared" ref="D127:E127" si="116">D126</f>
        <v>response_status</v>
      </c>
      <c r="E127" s="22" t="str">
        <f t="shared" si="116"/>
        <v>対応状況</v>
      </c>
      <c r="F127" s="22" t="s">
        <v>123</v>
      </c>
      <c r="G127" s="22" t="s">
        <v>124</v>
      </c>
      <c r="H127" s="22" t="s">
        <v>75</v>
      </c>
      <c r="I127" s="22">
        <f>_xlfn.LET(
    _xlpm.可変bit数,--MID(H127,FIND("(",H127)+1,FIND(")",H127)-FIND("(",H127)-1),
    _xlfn.XLOOKUP(
        $H127,
        型とバイト数!$B$3:$B$53,
        型とバイト数!$E$3:$E$53,
        IF(LEFT($H127,7)="varchar",_xlpm.可変bit数*8,
            IF(LEFT($H127,3)="bit",_xlpm.可変bit数,"???"))
    )
)</f>
        <v>256</v>
      </c>
      <c r="J127" s="22"/>
      <c r="K127" s="22"/>
      <c r="L127" s="24"/>
      <c r="M127" s="22" t="str">
        <f>IF(K127="","",IF(L127="","参照先未定義",_xlfn.XLOOKUP(L127,B:B,C:C,"エラー")))</f>
        <v/>
      </c>
      <c r="N127" s="22" t="s">
        <v>52</v>
      </c>
      <c r="O127" s="22"/>
      <c r="P127" s="22" t="s">
        <v>125</v>
      </c>
      <c r="Q127" s="22"/>
      <c r="R127" s="24"/>
      <c r="S127" s="24"/>
      <c r="T127" s="24"/>
      <c r="U127" s="22" t="s">
        <v>126</v>
      </c>
    </row>
    <row r="128" spans="1:21" ht="18.75" customHeight="1" x14ac:dyDescent="0.25">
      <c r="A128" s="24" t="s">
        <v>47</v>
      </c>
      <c r="B128" s="24" t="str">
        <f t="shared" si="0"/>
        <v>response_status_update_datetime</v>
      </c>
      <c r="C128" s="25">
        <f t="shared" si="1"/>
        <v>127</v>
      </c>
      <c r="D128" s="22" t="str">
        <f t="shared" ref="D128:E128" si="117">D127</f>
        <v>response_status</v>
      </c>
      <c r="E128" s="22" t="str">
        <f t="shared" si="117"/>
        <v>対応状況</v>
      </c>
      <c r="F128" s="22" t="s">
        <v>127</v>
      </c>
      <c r="G128" s="22" t="s">
        <v>128</v>
      </c>
      <c r="H128" s="22" t="s">
        <v>78</v>
      </c>
      <c r="I128" s="22">
        <f>_xlfn.LET(
    _xlpm.可変bit数,--MID(H128,FIND("(",H128)+1,FIND(")",H128)-FIND("(",H128)-1),
    _xlfn.XLOOKUP(
        $H128,
        型とバイト数!$B$3:$B$53,
        型とバイト数!$E$3:$E$53,
        IF(LEFT($H128,7)="varchar",_xlpm.可変bit数*8,
            IF(LEFT($H128,3)="bit",_xlpm.可変bit数,"???"))
    )
)</f>
        <v>64</v>
      </c>
      <c r="J128" s="22"/>
      <c r="K128" s="22"/>
      <c r="L128" s="24"/>
      <c r="M128" s="22" t="str">
        <f>IF(K128="","",IF(L128="","参照先未定義",_xlfn.XLOOKUP(L128,B:B,C:C,"エラー")))</f>
        <v/>
      </c>
      <c r="N128" s="22" t="s">
        <v>52</v>
      </c>
      <c r="O128" s="22"/>
      <c r="P128" s="22" t="s">
        <v>122</v>
      </c>
      <c r="Q128" s="22"/>
      <c r="R128" s="24"/>
      <c r="S128" s="24"/>
      <c r="T128" s="24"/>
      <c r="U128" s="22"/>
    </row>
    <row r="129" spans="1:21" ht="18.75" customHeight="1" x14ac:dyDescent="0.25">
      <c r="A129" s="24" t="s">
        <v>47</v>
      </c>
      <c r="B129" s="24" t="str">
        <f t="shared" si="0"/>
        <v>response_status_update_user</v>
      </c>
      <c r="C129" s="25">
        <f t="shared" si="1"/>
        <v>128</v>
      </c>
      <c r="D129" s="22" t="str">
        <f t="shared" ref="D129:E129" si="118">D128</f>
        <v>response_status</v>
      </c>
      <c r="E129" s="22" t="str">
        <f t="shared" si="118"/>
        <v>対応状況</v>
      </c>
      <c r="F129" s="22" t="s">
        <v>129</v>
      </c>
      <c r="G129" s="22" t="s">
        <v>130</v>
      </c>
      <c r="H129" s="22" t="s">
        <v>75</v>
      </c>
      <c r="I129" s="22">
        <f>_xlfn.LET(
    _xlpm.可変bit数,--MID(H129,FIND("(",H129)+1,FIND(")",H129)-FIND("(",H129)-1),
    _xlfn.XLOOKUP(
        $H129,
        型とバイト数!$B$3:$B$53,
        型とバイト数!$E$3:$E$53,
        IF(LEFT($H129,7)="varchar",_xlpm.可変bit数*8,
            IF(LEFT($H129,3)="bit",_xlpm.可変bit数,"???"))
    )
)</f>
        <v>256</v>
      </c>
      <c r="J129" s="22"/>
      <c r="K129" s="22"/>
      <c r="L129" s="24"/>
      <c r="M129" s="22" t="str">
        <f>IF(K129="","",IF(L129="","参照先未定義",_xlfn.XLOOKUP(L129,B:B,C:C,"エラー")))</f>
        <v/>
      </c>
      <c r="N129" s="22" t="s">
        <v>52</v>
      </c>
      <c r="O129" s="22"/>
      <c r="P129" s="22" t="s">
        <v>125</v>
      </c>
      <c r="Q129" s="22"/>
      <c r="R129" s="24"/>
      <c r="S129" s="24"/>
      <c r="T129" s="24"/>
      <c r="U129" s="22" t="s">
        <v>126</v>
      </c>
    </row>
    <row r="130" spans="1:21" ht="18.75" customHeight="1" x14ac:dyDescent="0.25">
      <c r="A130" s="24" t="s">
        <v>47</v>
      </c>
      <c r="B130" s="24" t="str">
        <f t="shared" si="0"/>
        <v>response_status_soft_delete_flag</v>
      </c>
      <c r="C130" s="25">
        <f t="shared" si="1"/>
        <v>129</v>
      </c>
      <c r="D130" s="22" t="str">
        <f t="shared" ref="D130:E130" si="119">D129</f>
        <v>response_status</v>
      </c>
      <c r="E130" s="22" t="str">
        <f t="shared" si="119"/>
        <v>対応状況</v>
      </c>
      <c r="F130" s="22" t="s">
        <v>131</v>
      </c>
      <c r="G130" s="22" t="s">
        <v>132</v>
      </c>
      <c r="H130" s="22" t="s">
        <v>133</v>
      </c>
      <c r="I130" s="22">
        <f>_xlfn.LET(
    _xlpm.可変bit数,--MID(H130,FIND("(",H130)+1,FIND(")",H130)-FIND("(",H130)-1),
    _xlfn.XLOOKUP(
        $H130,
        型とバイト数!$B$3:$B$53,
        型とバイト数!$E$3:$E$53,
        IF(LEFT($H130,7)="varchar",_xlpm.可変bit数*8,
            IF(LEFT($H130,3)="bit",_xlpm.可変bit数,"???"))
    )
)</f>
        <v>1</v>
      </c>
      <c r="J130" s="22"/>
      <c r="K130" s="22"/>
      <c r="L130" s="24"/>
      <c r="M130" s="22" t="str">
        <f>IF(K130="","",IF(L130="","参照先未定義",_xlfn.XLOOKUP(L130,B:B,C:C,"エラー")))</f>
        <v/>
      </c>
      <c r="N130" s="22" t="s">
        <v>52</v>
      </c>
      <c r="O130" s="22"/>
      <c r="P130" s="22">
        <v>0</v>
      </c>
      <c r="Q130" s="22"/>
      <c r="R130" s="24"/>
      <c r="S130" s="24"/>
      <c r="T130" s="24"/>
      <c r="U130" s="22"/>
    </row>
    <row r="131" spans="1:21" ht="18.75" customHeight="1" x14ac:dyDescent="0.25">
      <c r="A131" s="24" t="s">
        <v>47</v>
      </c>
      <c r="B131" s="24" t="str">
        <f t="shared" si="0"/>
        <v>response_status_hard_delete_flag</v>
      </c>
      <c r="C131" s="25">
        <f t="shared" si="1"/>
        <v>130</v>
      </c>
      <c r="D131" s="22" t="str">
        <f t="shared" ref="D131:E131" si="120">D130</f>
        <v>response_status</v>
      </c>
      <c r="E131" s="22" t="str">
        <f t="shared" si="120"/>
        <v>対応状況</v>
      </c>
      <c r="F131" s="22" t="s">
        <v>134</v>
      </c>
      <c r="G131" s="22" t="s">
        <v>135</v>
      </c>
      <c r="H131" s="22" t="s">
        <v>133</v>
      </c>
      <c r="I131" s="22">
        <f>_xlfn.LET(
    _xlpm.可変bit数,--MID(H131,FIND("(",H131)+1,FIND(")",H131)-FIND("(",H131)-1),
    _xlfn.XLOOKUP(
        $H131,
        型とバイト数!$B$3:$B$53,
        型とバイト数!$E$3:$E$53,
        IF(LEFT($H131,7)="varchar",_xlpm.可変bit数*8,
            IF(LEFT($H131,3)="bit",_xlpm.可変bit数,"???"))
    )
)</f>
        <v>1</v>
      </c>
      <c r="J131" s="22"/>
      <c r="K131" s="22"/>
      <c r="L131" s="24"/>
      <c r="M131" s="22" t="str">
        <f>IF(K131="","",IF(L131="","参照先未定義",_xlfn.XLOOKUP(L131,B:B,C:C,"エラー")))</f>
        <v/>
      </c>
      <c r="N131" s="22" t="s">
        <v>52</v>
      </c>
      <c r="O131" s="22"/>
      <c r="P131" s="22">
        <v>0</v>
      </c>
      <c r="Q131" s="22"/>
      <c r="R131" s="24"/>
      <c r="S131" s="24"/>
      <c r="T131" s="24"/>
      <c r="U131" s="22"/>
    </row>
    <row r="132" spans="1:21" ht="18.75" customHeight="1" x14ac:dyDescent="0.25">
      <c r="A132" s="24" t="s">
        <v>47</v>
      </c>
      <c r="B132" s="24" t="str">
        <f t="shared" si="0"/>
        <v>language_uuid</v>
      </c>
      <c r="C132" s="25">
        <f t="shared" si="1"/>
        <v>131</v>
      </c>
      <c r="D132" s="22" t="s">
        <v>209</v>
      </c>
      <c r="E132" s="22" t="s">
        <v>210</v>
      </c>
      <c r="F132" s="22" t="s">
        <v>50</v>
      </c>
      <c r="G132" s="22" t="s">
        <v>51</v>
      </c>
      <c r="H132" s="22" t="s">
        <v>50</v>
      </c>
      <c r="I132" s="22">
        <f>_xlfn.LET(
    _xlpm.可変bit数,--MID(H132,FIND("(",H132)+1,FIND(")",H132)-FIND("(",H132)-1),
    _xlfn.XLOOKUP(
        $H132,
        型とバイト数!$B$3:$B$53,
        型とバイト数!$E$3:$E$53,
        IF(LEFT($H132,7)="varchar",_xlpm.可変bit数*8,
            IF(LEFT($H132,3)="bit",_xlpm.可変bit数,"???"))
    )
)</f>
        <v>128</v>
      </c>
      <c r="J132" s="22" t="s">
        <v>52</v>
      </c>
      <c r="K132" s="22"/>
      <c r="L132" s="24"/>
      <c r="M132" s="22" t="str">
        <f>IF(K132="","",IF(L132="","参照先未定義",_xlfn.XLOOKUP(L132,B:B,C:C,"エラー")))</f>
        <v/>
      </c>
      <c r="N132" s="22" t="s">
        <v>52</v>
      </c>
      <c r="O132" s="22" t="s">
        <v>52</v>
      </c>
      <c r="P132" s="22" t="s">
        <v>53</v>
      </c>
      <c r="Q132" s="22"/>
      <c r="R132" s="24"/>
      <c r="S132" s="24"/>
      <c r="T132" s="24"/>
      <c r="U132" s="22"/>
    </row>
    <row r="133" spans="1:21" ht="18.75" customHeight="1" x14ac:dyDescent="0.25">
      <c r="A133" s="24" t="s">
        <v>47</v>
      </c>
      <c r="B133" s="24" t="str">
        <f t="shared" si="0"/>
        <v>language_language_physical_name</v>
      </c>
      <c r="C133" s="25">
        <f t="shared" si="1"/>
        <v>132</v>
      </c>
      <c r="D133" s="22" t="str">
        <f t="shared" ref="D133:E133" si="121">D132</f>
        <v>language</v>
      </c>
      <c r="E133" s="22" t="str">
        <f t="shared" si="121"/>
        <v>表示言語</v>
      </c>
      <c r="F133" s="22" t="s">
        <v>211</v>
      </c>
      <c r="G133" s="22" t="s">
        <v>212</v>
      </c>
      <c r="H133" s="22" t="s">
        <v>84</v>
      </c>
      <c r="I133" s="22">
        <f>_xlfn.LET(
    _xlpm.可変bit数,--MID(H133,FIND("(",H133)+1,FIND(")",H133)-FIND("(",H133)-1),
    _xlfn.XLOOKUP(
        $H133,
        型とバイト数!$B$3:$B$53,
        型とバイト数!$E$3:$E$53,
        IF(LEFT($H133,7)="varchar",_xlpm.可変bit数*8,
            IF(LEFT($H133,3)="bit",_xlpm.可変bit数,"???"))
    )
)</f>
        <v>128</v>
      </c>
      <c r="J133" s="22" t="s">
        <v>52</v>
      </c>
      <c r="K133" s="22"/>
      <c r="L133" s="24"/>
      <c r="M133" s="22" t="str">
        <f>IF(K133="","",IF(L133="","参照先未定義",_xlfn.XLOOKUP(L133,B:B,C:C,"エラー")))</f>
        <v/>
      </c>
      <c r="N133" s="22"/>
      <c r="O133" s="22"/>
      <c r="P133" s="22"/>
      <c r="Q133" s="22"/>
      <c r="R133" s="24"/>
      <c r="S133" s="24"/>
      <c r="T133" s="24"/>
      <c r="U133" s="22"/>
    </row>
    <row r="134" spans="1:21" ht="18.75" customHeight="1" x14ac:dyDescent="0.25">
      <c r="A134" s="24" t="s">
        <v>47</v>
      </c>
      <c r="B134" s="24" t="str">
        <f t="shared" si="0"/>
        <v>language_language_logical_name</v>
      </c>
      <c r="C134" s="25">
        <f t="shared" si="1"/>
        <v>133</v>
      </c>
      <c r="D134" s="22" t="str">
        <f t="shared" ref="D134:E134" si="122">D133</f>
        <v>language</v>
      </c>
      <c r="E134" s="22" t="str">
        <f t="shared" si="122"/>
        <v>表示言語</v>
      </c>
      <c r="F134" s="22" t="s">
        <v>213</v>
      </c>
      <c r="G134" s="22" t="s">
        <v>214</v>
      </c>
      <c r="H134" s="22" t="s">
        <v>71</v>
      </c>
      <c r="I134" s="22">
        <f>_xlfn.LET(
    _xlpm.可変bit数,--MID(H134,FIND("(",H134)+1,FIND(")",H134)-FIND("(",H134)-1),
    _xlfn.XLOOKUP(
        $H134,
        型とバイト数!$B$3:$B$53,
        型とバイト数!$E$3:$E$53,
        IF(LEFT($H134,7)="varchar",_xlpm.可変bit数*8,
            IF(LEFT($H134,3)="bit",_xlpm.可変bit数,"???"))
    )
)</f>
        <v>512</v>
      </c>
      <c r="J134" s="22"/>
      <c r="K134" s="22"/>
      <c r="L134" s="24"/>
      <c r="M134" s="22" t="str">
        <f>IF(K134="","",IF(L134="","参照先未定義",_xlfn.XLOOKUP(L134,B:B,C:C,"エラー")))</f>
        <v/>
      </c>
      <c r="N134" s="22"/>
      <c r="O134" s="22"/>
      <c r="P134" s="22"/>
      <c r="Q134" s="22"/>
      <c r="R134" s="24"/>
      <c r="S134" s="24"/>
      <c r="T134" s="24"/>
      <c r="U134" s="22" t="s">
        <v>215</v>
      </c>
    </row>
    <row r="135" spans="1:21" ht="18.75" customHeight="1" x14ac:dyDescent="0.25">
      <c r="A135" s="24" t="s">
        <v>47</v>
      </c>
      <c r="B135" s="24" t="str">
        <f t="shared" si="0"/>
        <v>language_language_image</v>
      </c>
      <c r="C135" s="25">
        <f t="shared" si="1"/>
        <v>134</v>
      </c>
      <c r="D135" s="22" t="str">
        <f t="shared" ref="D135:E135" si="123">D134</f>
        <v>language</v>
      </c>
      <c r="E135" s="22" t="str">
        <f t="shared" si="123"/>
        <v>表示言語</v>
      </c>
      <c r="F135" s="22" t="s">
        <v>216</v>
      </c>
      <c r="G135" s="22" t="s">
        <v>217</v>
      </c>
      <c r="H135" s="22" t="s">
        <v>63</v>
      </c>
      <c r="I135" s="22">
        <f>_xlfn.LET(
    _xlpm.可変bit数,--MID(H135,FIND("(",H135)+1,FIND(")",H135)-FIND("(",H135)-1),
    _xlfn.XLOOKUP(
        $H135,
        型とバイト数!$B$3:$B$53,
        型とバイト数!$E$3:$E$53,
        IF(LEFT($H135,7)="varchar",_xlpm.可変bit数*8,
            IF(LEFT($H135,3)="bit",_xlpm.可変bit数,"???"))
    )
)</f>
        <v>64</v>
      </c>
      <c r="J135" s="22"/>
      <c r="K135" s="22"/>
      <c r="L135" s="24"/>
      <c r="M135" s="22" t="str">
        <f>IF(K135="","",IF(L135="","参照先未定義",_xlfn.XLOOKUP(L135,B:B,C:C,"エラー")))</f>
        <v/>
      </c>
      <c r="N135" s="22"/>
      <c r="O135" s="22"/>
      <c r="P135" s="22"/>
      <c r="Q135" s="22"/>
      <c r="R135" s="24"/>
      <c r="S135" s="24"/>
      <c r="T135" s="24"/>
      <c r="U135" s="22" t="s">
        <v>218</v>
      </c>
    </row>
    <row r="136" spans="1:21" ht="18.75" customHeight="1" x14ac:dyDescent="0.25">
      <c r="A136" s="24" t="s">
        <v>47</v>
      </c>
      <c r="B136" s="24" t="str">
        <f t="shared" si="0"/>
        <v>language_enable</v>
      </c>
      <c r="C136" s="25">
        <f t="shared" si="1"/>
        <v>135</v>
      </c>
      <c r="D136" s="22" t="str">
        <f t="shared" ref="D136:E136" si="124">D135</f>
        <v>language</v>
      </c>
      <c r="E136" s="22" t="str">
        <f t="shared" si="124"/>
        <v>表示言語</v>
      </c>
      <c r="F136" s="22" t="s">
        <v>219</v>
      </c>
      <c r="G136" s="22" t="s">
        <v>220</v>
      </c>
      <c r="H136" s="22" t="s">
        <v>63</v>
      </c>
      <c r="I136" s="22">
        <f>_xlfn.LET(
    _xlpm.可変bit数,--MID(H136,FIND("(",H136)+1,FIND(")",H136)-FIND("(",H136)-1),
    _xlfn.XLOOKUP(
        $H136,
        型とバイト数!$B$3:$B$53,
        型とバイト数!$E$3:$E$53,
        IF(LEFT($H136,7)="varchar",_xlpm.可変bit数*8,
            IF(LEFT($H136,3)="bit",_xlpm.可変bit数,"???"))
    )
)</f>
        <v>64</v>
      </c>
      <c r="J136" s="22"/>
      <c r="K136" s="22"/>
      <c r="L136" s="24"/>
      <c r="M136" s="22" t="str">
        <f>IF(K136="","",IF(L136="","参照先未定義",_xlfn.XLOOKUP(L136,B:B,C:C,"エラー")))</f>
        <v/>
      </c>
      <c r="N136" s="22"/>
      <c r="O136" s="22"/>
      <c r="P136" s="22">
        <v>0</v>
      </c>
      <c r="Q136" s="22"/>
      <c r="R136" s="24"/>
      <c r="S136" s="24"/>
      <c r="T136" s="24"/>
      <c r="U136" s="22"/>
    </row>
    <row r="137" spans="1:21" ht="18.75" customHeight="1" x14ac:dyDescent="0.25">
      <c r="A137" s="24" t="s">
        <v>47</v>
      </c>
      <c r="B137" s="24" t="str">
        <f t="shared" si="0"/>
        <v>language_create_datetime</v>
      </c>
      <c r="C137" s="25">
        <f t="shared" si="1"/>
        <v>136</v>
      </c>
      <c r="D137" s="22" t="str">
        <f t="shared" ref="D137:E137" si="125">D136</f>
        <v>language</v>
      </c>
      <c r="E137" s="22" t="str">
        <f t="shared" si="125"/>
        <v>表示言語</v>
      </c>
      <c r="F137" s="22" t="s">
        <v>120</v>
      </c>
      <c r="G137" s="22" t="s">
        <v>121</v>
      </c>
      <c r="H137" s="22" t="s">
        <v>78</v>
      </c>
      <c r="I137" s="22">
        <f>_xlfn.LET(
    _xlpm.可変bit数,--MID(H137,FIND("(",H137)+1,FIND(")",H137)-FIND("(",H137)-1),
    _xlfn.XLOOKUP(
        $H137,
        型とバイト数!$B$3:$B$53,
        型とバイト数!$E$3:$E$53,
        IF(LEFT($H137,7)="varchar",_xlpm.可変bit数*8,
            IF(LEFT($H137,3)="bit",_xlpm.可変bit数,"???"))
    )
)</f>
        <v>64</v>
      </c>
      <c r="J137" s="22"/>
      <c r="K137" s="22"/>
      <c r="L137" s="24"/>
      <c r="M137" s="22" t="str">
        <f>IF(K137="","",IF(L137="","参照先未定義",_xlfn.XLOOKUP(L137,B:B,C:C,"エラー")))</f>
        <v/>
      </c>
      <c r="N137" s="22" t="s">
        <v>52</v>
      </c>
      <c r="O137" s="22"/>
      <c r="P137" s="22" t="s">
        <v>122</v>
      </c>
      <c r="Q137" s="22"/>
      <c r="R137" s="24"/>
      <c r="S137" s="24"/>
      <c r="T137" s="24"/>
      <c r="U137" s="22"/>
    </row>
    <row r="138" spans="1:21" ht="18.75" customHeight="1" x14ac:dyDescent="0.25">
      <c r="A138" s="24" t="s">
        <v>47</v>
      </c>
      <c r="B138" s="24" t="str">
        <f t="shared" si="0"/>
        <v>language_create_user</v>
      </c>
      <c r="C138" s="25">
        <f t="shared" si="1"/>
        <v>137</v>
      </c>
      <c r="D138" s="22" t="str">
        <f t="shared" ref="D138:E138" si="126">D137</f>
        <v>language</v>
      </c>
      <c r="E138" s="22" t="str">
        <f t="shared" si="126"/>
        <v>表示言語</v>
      </c>
      <c r="F138" s="22" t="s">
        <v>123</v>
      </c>
      <c r="G138" s="22" t="s">
        <v>124</v>
      </c>
      <c r="H138" s="22" t="s">
        <v>75</v>
      </c>
      <c r="I138" s="22">
        <f>_xlfn.LET(
    _xlpm.可変bit数,--MID(H138,FIND("(",H138)+1,FIND(")",H138)-FIND("(",H138)-1),
    _xlfn.XLOOKUP(
        $H138,
        型とバイト数!$B$3:$B$53,
        型とバイト数!$E$3:$E$53,
        IF(LEFT($H138,7)="varchar",_xlpm.可変bit数*8,
            IF(LEFT($H138,3)="bit",_xlpm.可変bit数,"???"))
    )
)</f>
        <v>256</v>
      </c>
      <c r="J138" s="22"/>
      <c r="K138" s="22"/>
      <c r="L138" s="24"/>
      <c r="M138" s="22" t="str">
        <f>IF(K138="","",IF(L138="","参照先未定義",_xlfn.XLOOKUP(L138,B:B,C:C,"エラー")))</f>
        <v/>
      </c>
      <c r="N138" s="22" t="s">
        <v>52</v>
      </c>
      <c r="O138" s="22"/>
      <c r="P138" s="22" t="s">
        <v>125</v>
      </c>
      <c r="Q138" s="22"/>
      <c r="R138" s="24"/>
      <c r="S138" s="24"/>
      <c r="T138" s="24"/>
      <c r="U138" s="22" t="s">
        <v>126</v>
      </c>
    </row>
    <row r="139" spans="1:21" ht="18.75" customHeight="1" x14ac:dyDescent="0.25">
      <c r="A139" s="24" t="s">
        <v>47</v>
      </c>
      <c r="B139" s="24" t="str">
        <f t="shared" si="0"/>
        <v>language_update_datetime</v>
      </c>
      <c r="C139" s="25">
        <f t="shared" si="1"/>
        <v>138</v>
      </c>
      <c r="D139" s="22" t="str">
        <f t="shared" ref="D139:E139" si="127">D138</f>
        <v>language</v>
      </c>
      <c r="E139" s="22" t="str">
        <f t="shared" si="127"/>
        <v>表示言語</v>
      </c>
      <c r="F139" s="22" t="s">
        <v>127</v>
      </c>
      <c r="G139" s="22" t="s">
        <v>128</v>
      </c>
      <c r="H139" s="22" t="s">
        <v>78</v>
      </c>
      <c r="I139" s="22">
        <f>_xlfn.LET(
    _xlpm.可変bit数,--MID(H139,FIND("(",H139)+1,FIND(")",H139)-FIND("(",H139)-1),
    _xlfn.XLOOKUP(
        $H139,
        型とバイト数!$B$3:$B$53,
        型とバイト数!$E$3:$E$53,
        IF(LEFT($H139,7)="varchar",_xlpm.可変bit数*8,
            IF(LEFT($H139,3)="bit",_xlpm.可変bit数,"???"))
    )
)</f>
        <v>64</v>
      </c>
      <c r="J139" s="22"/>
      <c r="K139" s="22"/>
      <c r="L139" s="24"/>
      <c r="M139" s="22" t="str">
        <f>IF(K139="","",IF(L139="","参照先未定義",_xlfn.XLOOKUP(L139,B:B,C:C,"エラー")))</f>
        <v/>
      </c>
      <c r="N139" s="22" t="s">
        <v>52</v>
      </c>
      <c r="O139" s="22"/>
      <c r="P139" s="22" t="s">
        <v>122</v>
      </c>
      <c r="Q139" s="22"/>
      <c r="R139" s="24"/>
      <c r="S139" s="24"/>
      <c r="T139" s="24"/>
      <c r="U139" s="22"/>
    </row>
    <row r="140" spans="1:21" ht="18.75" customHeight="1" x14ac:dyDescent="0.25">
      <c r="A140" s="24" t="s">
        <v>47</v>
      </c>
      <c r="B140" s="24" t="str">
        <f t="shared" si="0"/>
        <v>language_update_user</v>
      </c>
      <c r="C140" s="25">
        <f t="shared" si="1"/>
        <v>139</v>
      </c>
      <c r="D140" s="22" t="str">
        <f t="shared" ref="D140:E140" si="128">D139</f>
        <v>language</v>
      </c>
      <c r="E140" s="22" t="str">
        <f t="shared" si="128"/>
        <v>表示言語</v>
      </c>
      <c r="F140" s="22" t="s">
        <v>129</v>
      </c>
      <c r="G140" s="22" t="s">
        <v>130</v>
      </c>
      <c r="H140" s="22" t="s">
        <v>75</v>
      </c>
      <c r="I140" s="22">
        <f>_xlfn.LET(
    _xlpm.可変bit数,--MID(H140,FIND("(",H140)+1,FIND(")",H140)-FIND("(",H140)-1),
    _xlfn.XLOOKUP(
        $H140,
        型とバイト数!$B$3:$B$53,
        型とバイト数!$E$3:$E$53,
        IF(LEFT($H140,7)="varchar",_xlpm.可変bit数*8,
            IF(LEFT($H140,3)="bit",_xlpm.可変bit数,"???"))
    )
)</f>
        <v>256</v>
      </c>
      <c r="J140" s="22"/>
      <c r="K140" s="22"/>
      <c r="L140" s="24"/>
      <c r="M140" s="22" t="str">
        <f>IF(K140="","",IF(L140="","参照先未定義",_xlfn.XLOOKUP(L140,B:B,C:C,"エラー")))</f>
        <v/>
      </c>
      <c r="N140" s="22" t="s">
        <v>52</v>
      </c>
      <c r="O140" s="22"/>
      <c r="P140" s="22" t="s">
        <v>125</v>
      </c>
      <c r="Q140" s="22"/>
      <c r="R140" s="24"/>
      <c r="S140" s="24"/>
      <c r="T140" s="24"/>
      <c r="U140" s="22" t="s">
        <v>126</v>
      </c>
    </row>
    <row r="141" spans="1:21" ht="18.75" customHeight="1" x14ac:dyDescent="0.25">
      <c r="A141" s="24" t="s">
        <v>47</v>
      </c>
      <c r="B141" s="24" t="str">
        <f t="shared" si="0"/>
        <v>language_soft_delete_flag</v>
      </c>
      <c r="C141" s="25">
        <f t="shared" si="1"/>
        <v>140</v>
      </c>
      <c r="D141" s="22" t="str">
        <f t="shared" ref="D141:E141" si="129">D140</f>
        <v>language</v>
      </c>
      <c r="E141" s="22" t="str">
        <f t="shared" si="129"/>
        <v>表示言語</v>
      </c>
      <c r="F141" s="22" t="s">
        <v>131</v>
      </c>
      <c r="G141" s="22" t="s">
        <v>132</v>
      </c>
      <c r="H141" s="22" t="s">
        <v>133</v>
      </c>
      <c r="I141" s="22">
        <f>_xlfn.LET(
    _xlpm.可変bit数,--MID(H141,FIND("(",H141)+1,FIND(")",H141)-FIND("(",H141)-1),
    _xlfn.XLOOKUP(
        $H141,
        型とバイト数!$B$3:$B$53,
        型とバイト数!$E$3:$E$53,
        IF(LEFT($H141,7)="varchar",_xlpm.可変bit数*8,
            IF(LEFT($H141,3)="bit",_xlpm.可変bit数,"???"))
    )
)</f>
        <v>1</v>
      </c>
      <c r="J141" s="22"/>
      <c r="K141" s="22"/>
      <c r="L141" s="24"/>
      <c r="M141" s="22" t="str">
        <f>IF(K141="","",IF(L141="","参照先未定義",_xlfn.XLOOKUP(L141,B:B,C:C,"エラー")))</f>
        <v/>
      </c>
      <c r="N141" s="22" t="s">
        <v>52</v>
      </c>
      <c r="O141" s="22"/>
      <c r="P141" s="22">
        <v>0</v>
      </c>
      <c r="Q141" s="22"/>
      <c r="R141" s="24"/>
      <c r="S141" s="24"/>
      <c r="T141" s="24"/>
      <c r="U141" s="22"/>
    </row>
    <row r="142" spans="1:21" ht="18.75" customHeight="1" x14ac:dyDescent="0.25">
      <c r="A142" s="24" t="s">
        <v>47</v>
      </c>
      <c r="B142" s="24" t="str">
        <f t="shared" si="0"/>
        <v>language_hard_delete_flag</v>
      </c>
      <c r="C142" s="25">
        <f t="shared" si="1"/>
        <v>141</v>
      </c>
      <c r="D142" s="22" t="str">
        <f t="shared" ref="D142:E142" si="130">D141</f>
        <v>language</v>
      </c>
      <c r="E142" s="22" t="str">
        <f t="shared" si="130"/>
        <v>表示言語</v>
      </c>
      <c r="F142" s="22" t="s">
        <v>134</v>
      </c>
      <c r="G142" s="22" t="s">
        <v>135</v>
      </c>
      <c r="H142" s="22" t="s">
        <v>133</v>
      </c>
      <c r="I142" s="22">
        <f>_xlfn.LET(
    _xlpm.可変bit数,--MID(H142,FIND("(",H142)+1,FIND(")",H142)-FIND("(",H142)-1),
    _xlfn.XLOOKUP(
        $H142,
        型とバイト数!$B$3:$B$53,
        型とバイト数!$E$3:$E$53,
        IF(LEFT($H142,7)="varchar",_xlpm.可変bit数*8,
            IF(LEFT($H142,3)="bit",_xlpm.可変bit数,"???"))
    )
)</f>
        <v>1</v>
      </c>
      <c r="J142" s="22"/>
      <c r="K142" s="22"/>
      <c r="L142" s="24"/>
      <c r="M142" s="22" t="str">
        <f>IF(K142="","",IF(L142="","参照先未定義",_xlfn.XLOOKUP(L142,B:B,C:C,"エラー")))</f>
        <v/>
      </c>
      <c r="N142" s="22" t="s">
        <v>52</v>
      </c>
      <c r="O142" s="22"/>
      <c r="P142" s="22">
        <v>0</v>
      </c>
      <c r="Q142" s="22"/>
      <c r="R142" s="24"/>
      <c r="S142" s="24"/>
      <c r="T142" s="24"/>
      <c r="U142" s="22"/>
    </row>
    <row r="143" spans="1:21" ht="18.75" customHeight="1" x14ac:dyDescent="0.25">
      <c r="A143" s="24" t="s">
        <v>47</v>
      </c>
      <c r="B143" s="24" t="str">
        <f t="shared" si="0"/>
        <v>screen_word_uuid</v>
      </c>
      <c r="C143" s="25">
        <f t="shared" si="1"/>
        <v>142</v>
      </c>
      <c r="D143" s="22" t="s">
        <v>221</v>
      </c>
      <c r="E143" s="22" t="s">
        <v>222</v>
      </c>
      <c r="F143" s="22" t="s">
        <v>50</v>
      </c>
      <c r="G143" s="22" t="s">
        <v>51</v>
      </c>
      <c r="H143" s="22" t="s">
        <v>50</v>
      </c>
      <c r="I143" s="22">
        <f>_xlfn.LET(
    _xlpm.可変bit数,--MID(H143,FIND("(",H143)+1,FIND(")",H143)-FIND("(",H143)-1),
    _xlfn.XLOOKUP(
        $H143,
        型とバイト数!$B$3:$B$53,
        型とバイト数!$E$3:$E$53,
        IF(LEFT($H143,7)="varchar",_xlpm.可変bit数*8,
            IF(LEFT($H143,3)="bit",_xlpm.可変bit数,"???"))
    )
)</f>
        <v>128</v>
      </c>
      <c r="J143" s="22" t="s">
        <v>52</v>
      </c>
      <c r="K143" s="22"/>
      <c r="L143" s="24"/>
      <c r="M143" s="22" t="str">
        <f>IF(K143="","",IF(L143="","参照先未定義",_xlfn.XLOOKUP(L143,B:B,C:C,"エラー")))</f>
        <v/>
      </c>
      <c r="N143" s="22" t="s">
        <v>52</v>
      </c>
      <c r="O143" s="22" t="s">
        <v>52</v>
      </c>
      <c r="P143" s="22" t="s">
        <v>53</v>
      </c>
      <c r="Q143" s="22"/>
      <c r="R143" s="24"/>
      <c r="S143" s="24"/>
      <c r="T143" s="24"/>
      <c r="U143" s="22"/>
    </row>
    <row r="144" spans="1:21" ht="18.75" customHeight="1" x14ac:dyDescent="0.25">
      <c r="A144" s="24" t="s">
        <v>47</v>
      </c>
      <c r="B144" s="24" t="str">
        <f t="shared" si="0"/>
        <v>screen_word_language_physical_name</v>
      </c>
      <c r="C144" s="25">
        <f t="shared" si="1"/>
        <v>143</v>
      </c>
      <c r="D144" s="22" t="str">
        <f t="shared" ref="D144:E144" si="131">D143</f>
        <v>screen_word</v>
      </c>
      <c r="E144" s="22" t="str">
        <f t="shared" si="131"/>
        <v>画面文言</v>
      </c>
      <c r="F144" s="22" t="s">
        <v>211</v>
      </c>
      <c r="G144" s="22" t="s">
        <v>212</v>
      </c>
      <c r="H144" s="22" t="s">
        <v>84</v>
      </c>
      <c r="I144" s="22">
        <f>_xlfn.LET(
    _xlpm.可変bit数,--MID(H144,FIND("(",H144)+1,FIND(")",H144)-FIND("(",H144)-1),
    _xlfn.XLOOKUP(
        $H144,
        型とバイト数!$B$3:$B$53,
        型とバイト数!$E$3:$E$53,
        IF(LEFT($H144,7)="varchar",_xlpm.可変bit数*8,
            IF(LEFT($H144,3)="bit",_xlpm.可変bit数,"???"))
    )
)</f>
        <v>128</v>
      </c>
      <c r="J144" s="22"/>
      <c r="K144" s="22" t="s">
        <v>52</v>
      </c>
      <c r="L144" s="24" t="s">
        <v>223</v>
      </c>
      <c r="M144" s="22">
        <f>IF(K144="","",IF(L144="","参照先未定義",_xlfn.XLOOKUP(L144,B:B,C:C,"エラー")))</f>
        <v>132</v>
      </c>
      <c r="N144" s="22"/>
      <c r="O144" s="22"/>
      <c r="P144" s="22"/>
      <c r="Q144" s="22"/>
      <c r="R144" s="24"/>
      <c r="S144" s="24"/>
      <c r="T144" s="24"/>
      <c r="U144" s="22"/>
    </row>
    <row r="145" spans="1:21" ht="18.75" customHeight="1" x14ac:dyDescent="0.25">
      <c r="A145" s="24" t="s">
        <v>47</v>
      </c>
      <c r="B145" s="24" t="str">
        <f t="shared" si="0"/>
        <v>screen_word_message_id</v>
      </c>
      <c r="C145" s="25">
        <f t="shared" si="1"/>
        <v>144</v>
      </c>
      <c r="D145" s="22" t="str">
        <f t="shared" ref="D145:E145" si="132">D144</f>
        <v>screen_word</v>
      </c>
      <c r="E145" s="22" t="str">
        <f t="shared" si="132"/>
        <v>画面文言</v>
      </c>
      <c r="F145" s="22" t="s">
        <v>224</v>
      </c>
      <c r="G145" s="22" t="s">
        <v>225</v>
      </c>
      <c r="H145" s="22" t="s">
        <v>84</v>
      </c>
      <c r="I145" s="22">
        <f>_xlfn.LET(
    _xlpm.可変bit数,--MID(H145,FIND("(",H145)+1,FIND(")",H145)-FIND("(",H145)-1),
    _xlfn.XLOOKUP(
        $H145,
        型とバイト数!$B$3:$B$53,
        型とバイト数!$E$3:$E$53,
        IF(LEFT($H145,7)="varchar",_xlpm.可変bit数*8,
            IF(LEFT($H145,3)="bit",_xlpm.可変bit数,"???"))
    )
)</f>
        <v>128</v>
      </c>
      <c r="J145" s="22"/>
      <c r="K145" s="22" t="s">
        <v>52</v>
      </c>
      <c r="L145" s="24" t="s">
        <v>226</v>
      </c>
      <c r="M145" s="22">
        <f>IF(K145="","",IF(L145="","参照先未定義",_xlfn.XLOOKUP(L145,B:B,C:C,"エラー")))</f>
        <v>256</v>
      </c>
      <c r="N145" s="22"/>
      <c r="O145" s="22"/>
      <c r="P145" s="22"/>
      <c r="Q145" s="22" t="s">
        <v>227</v>
      </c>
      <c r="R145" s="24"/>
      <c r="S145" s="24"/>
      <c r="T145" s="24"/>
      <c r="U145" s="22"/>
    </row>
    <row r="146" spans="1:21" ht="18.75" customHeight="1" x14ac:dyDescent="0.25">
      <c r="A146" s="24" t="s">
        <v>47</v>
      </c>
      <c r="B146" s="24" t="str">
        <f t="shared" si="0"/>
        <v>screen_word_display_message</v>
      </c>
      <c r="C146" s="25">
        <f t="shared" si="1"/>
        <v>145</v>
      </c>
      <c r="D146" s="22" t="str">
        <f t="shared" ref="D146:E146" si="133">D145</f>
        <v>screen_word</v>
      </c>
      <c r="E146" s="22" t="str">
        <f t="shared" si="133"/>
        <v>画面文言</v>
      </c>
      <c r="F146" s="22" t="s">
        <v>228</v>
      </c>
      <c r="G146" s="22" t="s">
        <v>229</v>
      </c>
      <c r="H146" s="22" t="s">
        <v>94</v>
      </c>
      <c r="I146" s="22" t="str">
        <f>_xlfn.LET(
    _xlpm.可変bit数,--MID(H146,FIND("(",H146)+1,FIND(")",H146)-FIND("(",H146)-1),
    _xlfn.XLOOKUP(
        $H146,
        型とバイト数!$B$3:$B$53,
        型とバイト数!$E$3:$E$53,
        IF(LEFT($H146,7)="varchar",_xlpm.可変bit数*8,
            IF(LEFT($H146,3)="bit",_xlpm.可変bit数,"???"))
    )
)</f>
        <v>-</v>
      </c>
      <c r="J146" s="22"/>
      <c r="K146" s="22"/>
      <c r="L146" s="24"/>
      <c r="M146" s="22" t="str">
        <f>IF(K146="","",IF(L146="","参照先未定義",_xlfn.XLOOKUP(L146,B:B,C:C,"エラー")))</f>
        <v/>
      </c>
      <c r="N146" s="22"/>
      <c r="O146" s="22"/>
      <c r="P146" s="22"/>
      <c r="Q146" s="22" t="s">
        <v>230</v>
      </c>
      <c r="R146" s="24"/>
      <c r="S146" s="24"/>
      <c r="T146" s="24"/>
      <c r="U146" s="22"/>
    </row>
    <row r="147" spans="1:21" ht="18.75" customHeight="1" x14ac:dyDescent="0.25">
      <c r="A147" s="24" t="s">
        <v>47</v>
      </c>
      <c r="B147" s="24" t="str">
        <f t="shared" si="0"/>
        <v>screen_word_create_datetime</v>
      </c>
      <c r="C147" s="25">
        <f t="shared" si="1"/>
        <v>146</v>
      </c>
      <c r="D147" s="22" t="str">
        <f t="shared" ref="D147:E147" si="134">D146</f>
        <v>screen_word</v>
      </c>
      <c r="E147" s="22" t="str">
        <f t="shared" si="134"/>
        <v>画面文言</v>
      </c>
      <c r="F147" s="22" t="s">
        <v>120</v>
      </c>
      <c r="G147" s="22" t="s">
        <v>121</v>
      </c>
      <c r="H147" s="22" t="s">
        <v>78</v>
      </c>
      <c r="I147" s="22">
        <f>_xlfn.LET(
    _xlpm.可変bit数,--MID(H147,FIND("(",H147)+1,FIND(")",H147)-FIND("(",H147)-1),
    _xlfn.XLOOKUP(
        $H147,
        型とバイト数!$B$3:$B$53,
        型とバイト数!$E$3:$E$53,
        IF(LEFT($H147,7)="varchar",_xlpm.可変bit数*8,
            IF(LEFT($H147,3)="bit",_xlpm.可変bit数,"???"))
    )
)</f>
        <v>64</v>
      </c>
      <c r="J147" s="22"/>
      <c r="K147" s="22"/>
      <c r="L147" s="24"/>
      <c r="M147" s="22" t="str">
        <f>IF(K147="","",IF(L147="","参照先未定義",_xlfn.XLOOKUP(L147,B:B,C:C,"エラー")))</f>
        <v/>
      </c>
      <c r="N147" s="22" t="s">
        <v>52</v>
      </c>
      <c r="O147" s="22"/>
      <c r="P147" s="22" t="s">
        <v>122</v>
      </c>
      <c r="Q147" s="22"/>
      <c r="R147" s="24"/>
      <c r="S147" s="24"/>
      <c r="T147" s="24"/>
      <c r="U147" s="22"/>
    </row>
    <row r="148" spans="1:21" ht="18.75" customHeight="1" x14ac:dyDescent="0.25">
      <c r="A148" s="24" t="s">
        <v>47</v>
      </c>
      <c r="B148" s="24" t="str">
        <f t="shared" si="0"/>
        <v>screen_word_create_user</v>
      </c>
      <c r="C148" s="25">
        <f t="shared" si="1"/>
        <v>147</v>
      </c>
      <c r="D148" s="22" t="str">
        <f t="shared" ref="D148:E148" si="135">D147</f>
        <v>screen_word</v>
      </c>
      <c r="E148" s="22" t="str">
        <f t="shared" si="135"/>
        <v>画面文言</v>
      </c>
      <c r="F148" s="22" t="s">
        <v>123</v>
      </c>
      <c r="G148" s="22" t="s">
        <v>124</v>
      </c>
      <c r="H148" s="22" t="s">
        <v>75</v>
      </c>
      <c r="I148" s="22">
        <f>_xlfn.LET(
    _xlpm.可変bit数,--MID(H148,FIND("(",H148)+1,FIND(")",H148)-FIND("(",H148)-1),
    _xlfn.XLOOKUP(
        $H148,
        型とバイト数!$B$3:$B$53,
        型とバイト数!$E$3:$E$53,
        IF(LEFT($H148,7)="varchar",_xlpm.可変bit数*8,
            IF(LEFT($H148,3)="bit",_xlpm.可変bit数,"???"))
    )
)</f>
        <v>256</v>
      </c>
      <c r="J148" s="22"/>
      <c r="K148" s="22"/>
      <c r="L148" s="24"/>
      <c r="M148" s="22" t="str">
        <f>IF(K148="","",IF(L148="","参照先未定義",_xlfn.XLOOKUP(L148,B:B,C:C,"エラー")))</f>
        <v/>
      </c>
      <c r="N148" s="22" t="s">
        <v>52</v>
      </c>
      <c r="O148" s="22"/>
      <c r="P148" s="22" t="s">
        <v>125</v>
      </c>
      <c r="Q148" s="22"/>
      <c r="R148" s="24"/>
      <c r="S148" s="24"/>
      <c r="T148" s="24"/>
      <c r="U148" s="22" t="s">
        <v>126</v>
      </c>
    </row>
    <row r="149" spans="1:21" ht="18.75" customHeight="1" x14ac:dyDescent="0.25">
      <c r="A149" s="24" t="s">
        <v>47</v>
      </c>
      <c r="B149" s="24" t="str">
        <f t="shared" si="0"/>
        <v>screen_word_update_datetime</v>
      </c>
      <c r="C149" s="25">
        <f t="shared" si="1"/>
        <v>148</v>
      </c>
      <c r="D149" s="22" t="str">
        <f t="shared" ref="D149:E149" si="136">D148</f>
        <v>screen_word</v>
      </c>
      <c r="E149" s="22" t="str">
        <f t="shared" si="136"/>
        <v>画面文言</v>
      </c>
      <c r="F149" s="22" t="s">
        <v>127</v>
      </c>
      <c r="G149" s="22" t="s">
        <v>128</v>
      </c>
      <c r="H149" s="22" t="s">
        <v>78</v>
      </c>
      <c r="I149" s="22">
        <f>_xlfn.LET(
    _xlpm.可変bit数,--MID(H149,FIND("(",H149)+1,FIND(")",H149)-FIND("(",H149)-1),
    _xlfn.XLOOKUP(
        $H149,
        型とバイト数!$B$3:$B$53,
        型とバイト数!$E$3:$E$53,
        IF(LEFT($H149,7)="varchar",_xlpm.可変bit数*8,
            IF(LEFT($H149,3)="bit",_xlpm.可変bit数,"???"))
    )
)</f>
        <v>64</v>
      </c>
      <c r="J149" s="22"/>
      <c r="K149" s="22"/>
      <c r="L149" s="24"/>
      <c r="M149" s="22" t="str">
        <f>IF(K149="","",IF(L149="","参照先未定義",_xlfn.XLOOKUP(L149,B:B,C:C,"エラー")))</f>
        <v/>
      </c>
      <c r="N149" s="22" t="s">
        <v>52</v>
      </c>
      <c r="O149" s="22"/>
      <c r="P149" s="22" t="s">
        <v>122</v>
      </c>
      <c r="Q149" s="22"/>
      <c r="R149" s="24"/>
      <c r="S149" s="24"/>
      <c r="T149" s="24"/>
      <c r="U149" s="22"/>
    </row>
    <row r="150" spans="1:21" ht="18.75" customHeight="1" x14ac:dyDescent="0.25">
      <c r="A150" s="24" t="s">
        <v>47</v>
      </c>
      <c r="B150" s="24" t="str">
        <f t="shared" si="0"/>
        <v>screen_word_update_user</v>
      </c>
      <c r="C150" s="25">
        <f t="shared" si="1"/>
        <v>149</v>
      </c>
      <c r="D150" s="22" t="str">
        <f t="shared" ref="D150:E150" si="137">D149</f>
        <v>screen_word</v>
      </c>
      <c r="E150" s="22" t="str">
        <f t="shared" si="137"/>
        <v>画面文言</v>
      </c>
      <c r="F150" s="22" t="s">
        <v>129</v>
      </c>
      <c r="G150" s="22" t="s">
        <v>130</v>
      </c>
      <c r="H150" s="22" t="s">
        <v>75</v>
      </c>
      <c r="I150" s="22">
        <f>_xlfn.LET(
    _xlpm.可変bit数,--MID(H150,FIND("(",H150)+1,FIND(")",H150)-FIND("(",H150)-1),
    _xlfn.XLOOKUP(
        $H150,
        型とバイト数!$B$3:$B$53,
        型とバイト数!$E$3:$E$53,
        IF(LEFT($H150,7)="varchar",_xlpm.可変bit数*8,
            IF(LEFT($H150,3)="bit",_xlpm.可変bit数,"???"))
    )
)</f>
        <v>256</v>
      </c>
      <c r="J150" s="22"/>
      <c r="K150" s="22"/>
      <c r="L150" s="24"/>
      <c r="M150" s="22" t="str">
        <f>IF(K150="","",IF(L150="","参照先未定義",_xlfn.XLOOKUP(L150,B:B,C:C,"エラー")))</f>
        <v/>
      </c>
      <c r="N150" s="22" t="s">
        <v>52</v>
      </c>
      <c r="O150" s="22"/>
      <c r="P150" s="22" t="s">
        <v>125</v>
      </c>
      <c r="Q150" s="22"/>
      <c r="R150" s="24"/>
      <c r="S150" s="24"/>
      <c r="T150" s="24"/>
      <c r="U150" s="22" t="s">
        <v>126</v>
      </c>
    </row>
    <row r="151" spans="1:21" ht="18.75" customHeight="1" x14ac:dyDescent="0.25">
      <c r="A151" s="24" t="s">
        <v>47</v>
      </c>
      <c r="B151" s="24" t="str">
        <f t="shared" si="0"/>
        <v>screen_word_soft_delete_flag</v>
      </c>
      <c r="C151" s="25">
        <f t="shared" si="1"/>
        <v>150</v>
      </c>
      <c r="D151" s="22" t="str">
        <f t="shared" ref="D151:E151" si="138">D150</f>
        <v>screen_word</v>
      </c>
      <c r="E151" s="22" t="str">
        <f t="shared" si="138"/>
        <v>画面文言</v>
      </c>
      <c r="F151" s="22" t="s">
        <v>131</v>
      </c>
      <c r="G151" s="22" t="s">
        <v>132</v>
      </c>
      <c r="H151" s="22" t="s">
        <v>133</v>
      </c>
      <c r="I151" s="22">
        <f>_xlfn.LET(
    _xlpm.可変bit数,--MID(H151,FIND("(",H151)+1,FIND(")",H151)-FIND("(",H151)-1),
    _xlfn.XLOOKUP(
        $H151,
        型とバイト数!$B$3:$B$53,
        型とバイト数!$E$3:$E$53,
        IF(LEFT($H151,7)="varchar",_xlpm.可変bit数*8,
            IF(LEFT($H151,3)="bit",_xlpm.可変bit数,"???"))
    )
)</f>
        <v>1</v>
      </c>
      <c r="J151" s="22"/>
      <c r="K151" s="22"/>
      <c r="L151" s="24"/>
      <c r="M151" s="22" t="str">
        <f>IF(K151="","",IF(L151="","参照先未定義",_xlfn.XLOOKUP(L151,B:B,C:C,"エラー")))</f>
        <v/>
      </c>
      <c r="N151" s="22" t="s">
        <v>52</v>
      </c>
      <c r="O151" s="22"/>
      <c r="P151" s="22">
        <v>0</v>
      </c>
      <c r="Q151" s="22"/>
      <c r="R151" s="24"/>
      <c r="S151" s="24"/>
      <c r="T151" s="24"/>
      <c r="U151" s="22"/>
    </row>
    <row r="152" spans="1:21" ht="18.75" customHeight="1" x14ac:dyDescent="0.25">
      <c r="A152" s="24" t="s">
        <v>47</v>
      </c>
      <c r="B152" s="24" t="str">
        <f t="shared" si="0"/>
        <v>screen_word_hard_delete_flag</v>
      </c>
      <c r="C152" s="25">
        <f t="shared" si="1"/>
        <v>151</v>
      </c>
      <c r="D152" s="22" t="str">
        <f t="shared" ref="D152:E152" si="139">D151</f>
        <v>screen_word</v>
      </c>
      <c r="E152" s="22" t="str">
        <f t="shared" si="139"/>
        <v>画面文言</v>
      </c>
      <c r="F152" s="22" t="s">
        <v>134</v>
      </c>
      <c r="G152" s="22" t="s">
        <v>135</v>
      </c>
      <c r="H152" s="22" t="s">
        <v>133</v>
      </c>
      <c r="I152" s="22">
        <f>_xlfn.LET(
    _xlpm.可変bit数,--MID(H152,FIND("(",H152)+1,FIND(")",H152)-FIND("(",H152)-1),
    _xlfn.XLOOKUP(
        $H152,
        型とバイト数!$B$3:$B$53,
        型とバイト数!$E$3:$E$53,
        IF(LEFT($H152,7)="varchar",_xlpm.可変bit数*8,
            IF(LEFT($H152,3)="bit",_xlpm.可変bit数,"???"))
    )
)</f>
        <v>1</v>
      </c>
      <c r="J152" s="22"/>
      <c r="K152" s="22"/>
      <c r="L152" s="24"/>
      <c r="M152" s="22" t="str">
        <f>IF(K152="","",IF(L152="","参照先未定義",_xlfn.XLOOKUP(L152,B:B,C:C,"エラー")))</f>
        <v/>
      </c>
      <c r="N152" s="22" t="s">
        <v>52</v>
      </c>
      <c r="O152" s="22"/>
      <c r="P152" s="22">
        <v>0</v>
      </c>
      <c r="Q152" s="22"/>
      <c r="R152" s="24"/>
      <c r="S152" s="24"/>
      <c r="T152" s="24"/>
      <c r="U152" s="22"/>
    </row>
    <row r="153" spans="1:21" ht="18.75" customHeight="1" x14ac:dyDescent="0.25">
      <c r="A153" s="24" t="s">
        <v>47</v>
      </c>
      <c r="B153" s="24" t="str">
        <f t="shared" si="0"/>
        <v>sns_support_uuid</v>
      </c>
      <c r="C153" s="25">
        <f t="shared" si="1"/>
        <v>152</v>
      </c>
      <c r="D153" s="22" t="s">
        <v>231</v>
      </c>
      <c r="E153" s="22" t="s">
        <v>232</v>
      </c>
      <c r="F153" s="22" t="s">
        <v>50</v>
      </c>
      <c r="G153" s="22" t="s">
        <v>51</v>
      </c>
      <c r="H153" s="22" t="s">
        <v>50</v>
      </c>
      <c r="I153" s="22">
        <f>_xlfn.LET(
    _xlpm.可変bit数,--MID(H153,FIND("(",H153)+1,FIND(")",H153)-FIND("(",H153)-1),
    _xlfn.XLOOKUP(
        $H153,
        型とバイト数!$B$3:$B$53,
        型とバイト数!$E$3:$E$53,
        IF(LEFT($H153,7)="varchar",_xlpm.可変bit数*8,
            IF(LEFT($H153,3)="bit",_xlpm.可変bit数,"???"))
    )
)</f>
        <v>128</v>
      </c>
      <c r="J153" s="22" t="s">
        <v>52</v>
      </c>
      <c r="K153" s="22"/>
      <c r="L153" s="24"/>
      <c r="M153" s="22" t="str">
        <f>IF(K153="","",IF(L153="","参照先未定義",_xlfn.XLOOKUP(L153,B:B,C:C,"エラー")))</f>
        <v/>
      </c>
      <c r="N153" s="22" t="s">
        <v>52</v>
      </c>
      <c r="O153" s="22" t="s">
        <v>52</v>
      </c>
      <c r="P153" s="22" t="s">
        <v>53</v>
      </c>
      <c r="Q153" s="22"/>
      <c r="R153" s="24"/>
      <c r="S153" s="24"/>
      <c r="T153" s="24"/>
      <c r="U153" s="22"/>
    </row>
    <row r="154" spans="1:21" ht="18.75" customHeight="1" x14ac:dyDescent="0.25">
      <c r="A154" s="24" t="s">
        <v>47</v>
      </c>
      <c r="B154" s="24" t="str">
        <f t="shared" si="0"/>
        <v>sns_support_sns_name_physical_name</v>
      </c>
      <c r="C154" s="25">
        <f t="shared" si="1"/>
        <v>153</v>
      </c>
      <c r="D154" s="22" t="str">
        <f t="shared" ref="D154:E154" si="140">D153</f>
        <v>sns_support</v>
      </c>
      <c r="E154" s="22" t="str">
        <f t="shared" si="140"/>
        <v>サポートするSNS</v>
      </c>
      <c r="F154" s="22" t="s">
        <v>233</v>
      </c>
      <c r="G154" s="22" t="s">
        <v>234</v>
      </c>
      <c r="H154" s="22" t="s">
        <v>161</v>
      </c>
      <c r="I154" s="22">
        <f>_xlfn.LET(
    _xlpm.可変bit数,--MID(H154,FIND("(",H154)+1,FIND(")",H154)-FIND("(",H154)-1),
    _xlfn.XLOOKUP(
        $H154,
        型とバイト数!$B$3:$B$53,
        型とバイト数!$E$3:$E$53,
        IF(LEFT($H154,7)="varchar",_xlpm.可変bit数*8,
            IF(LEFT($H154,3)="bit",_xlpm.可変bit数,"???"))
    )
)</f>
        <v>72</v>
      </c>
      <c r="J154" s="22" t="s">
        <v>52</v>
      </c>
      <c r="K154" s="22"/>
      <c r="L154" s="24"/>
      <c r="M154" s="22" t="str">
        <f>IF(K154="","",IF(L154="","参照先未定義",_xlfn.XLOOKUP(L154,B:B,C:C,"エラー")))</f>
        <v/>
      </c>
      <c r="N154" s="22" t="s">
        <v>52</v>
      </c>
      <c r="O154" s="22" t="s">
        <v>52</v>
      </c>
      <c r="P154" s="22"/>
      <c r="Q154" s="22"/>
      <c r="R154" s="24"/>
      <c r="S154" s="24"/>
      <c r="T154" s="24"/>
      <c r="U154" s="22"/>
    </row>
    <row r="155" spans="1:21" ht="18.75" customHeight="1" x14ac:dyDescent="0.25">
      <c r="A155" s="24" t="s">
        <v>47</v>
      </c>
      <c r="B155" s="24" t="str">
        <f t="shared" si="0"/>
        <v>sns_support_sns_name_logical_name</v>
      </c>
      <c r="C155" s="25">
        <f t="shared" si="1"/>
        <v>154</v>
      </c>
      <c r="D155" s="22" t="str">
        <f t="shared" ref="D155:E155" si="141">D154</f>
        <v>sns_support</v>
      </c>
      <c r="E155" s="22" t="str">
        <f t="shared" si="141"/>
        <v>サポートするSNS</v>
      </c>
      <c r="F155" s="22" t="s">
        <v>235</v>
      </c>
      <c r="G155" s="22" t="s">
        <v>236</v>
      </c>
      <c r="H155" s="22" t="s">
        <v>237</v>
      </c>
      <c r="I155" s="22">
        <f>_xlfn.LET(
    _xlpm.可変bit数,--MID(H155,FIND("(",H155)+1,FIND(")",H155)-FIND("(",H155)-1),
    _xlfn.XLOOKUP(
        $H155,
        型とバイト数!$B$3:$B$53,
        型とバイト数!$E$3:$E$53,
        IF(LEFT($H155,7)="varchar",_xlpm.可変bit数*8,
            IF(LEFT($H155,3)="bit",_xlpm.可変bit数,"???"))
    )
)</f>
        <v>112</v>
      </c>
      <c r="J155" s="22"/>
      <c r="K155" s="22"/>
      <c r="L155" s="24"/>
      <c r="M155" s="22" t="str">
        <f>IF(K155="","",IF(L155="","参照先未定義",_xlfn.XLOOKUP(L155,B:B,C:C,"エラー")))</f>
        <v/>
      </c>
      <c r="N155" s="22"/>
      <c r="O155" s="22"/>
      <c r="P155" s="22"/>
      <c r="Q155" s="22"/>
      <c r="R155" s="24"/>
      <c r="S155" s="24"/>
      <c r="T155" s="24"/>
      <c r="U155" s="22" t="s">
        <v>238</v>
      </c>
    </row>
    <row r="156" spans="1:21" ht="18.75" customHeight="1" x14ac:dyDescent="0.25">
      <c r="A156" s="24" t="s">
        <v>47</v>
      </c>
      <c r="B156" s="24" t="str">
        <f t="shared" si="0"/>
        <v>sns_support_image_id</v>
      </c>
      <c r="C156" s="25">
        <f t="shared" si="1"/>
        <v>155</v>
      </c>
      <c r="D156" s="22" t="str">
        <f t="shared" ref="D156:E156" si="142">D155</f>
        <v>sns_support</v>
      </c>
      <c r="E156" s="22" t="str">
        <f t="shared" si="142"/>
        <v>サポートするSNS</v>
      </c>
      <c r="F156" s="22" t="s">
        <v>239</v>
      </c>
      <c r="G156" s="22" t="s">
        <v>240</v>
      </c>
      <c r="H156" s="22" t="s">
        <v>63</v>
      </c>
      <c r="I156" s="22">
        <f>_xlfn.LET(
    _xlpm.可変bit数,--MID(H156,FIND("(",H156)+1,FIND(")",H156)-FIND("(",H156)-1),
    _xlfn.XLOOKUP(
        $H156,
        型とバイト数!$B$3:$B$53,
        型とバイト数!$E$3:$E$53,
        IF(LEFT($H156,7)="varchar",_xlpm.可変bit数*8,
            IF(LEFT($H156,3)="bit",_xlpm.可変bit数,"???"))
    )
)</f>
        <v>64</v>
      </c>
      <c r="J156" s="22"/>
      <c r="K156" s="22" t="s">
        <v>52</v>
      </c>
      <c r="L156" s="24" t="s">
        <v>528</v>
      </c>
      <c r="M156" s="22">
        <f>IF(K156="","",IF(L156="","参照先未定義",_xlfn.XLOOKUP(L156,B:B,C:C,"エラー")))</f>
        <v>240</v>
      </c>
      <c r="N156" s="22" t="s">
        <v>52</v>
      </c>
      <c r="O156" s="22"/>
      <c r="P156" s="22"/>
      <c r="Q156" s="22" t="s">
        <v>160</v>
      </c>
      <c r="R156" s="24"/>
      <c r="S156" s="24"/>
      <c r="T156" s="24"/>
      <c r="U156" s="22" t="s">
        <v>241</v>
      </c>
    </row>
    <row r="157" spans="1:21" ht="18.75" customHeight="1" x14ac:dyDescent="0.25">
      <c r="A157" s="24" t="s">
        <v>47</v>
      </c>
      <c r="B157" s="24" t="str">
        <f t="shared" si="0"/>
        <v>sns_support_use_login_service</v>
      </c>
      <c r="C157" s="25">
        <f t="shared" si="1"/>
        <v>156</v>
      </c>
      <c r="D157" s="22" t="str">
        <f t="shared" ref="D157:E157" si="143">D156</f>
        <v>sns_support</v>
      </c>
      <c r="E157" s="22" t="str">
        <f t="shared" si="143"/>
        <v>サポートするSNS</v>
      </c>
      <c r="F157" s="22" t="s">
        <v>242</v>
      </c>
      <c r="G157" s="22" t="s">
        <v>243</v>
      </c>
      <c r="H157" s="22" t="s">
        <v>133</v>
      </c>
      <c r="I157" s="22">
        <f>_xlfn.LET(
    _xlpm.可変bit数,--MID(H157,FIND("(",H157)+1,FIND(")",H157)-FIND("(",H157)-1),
    _xlfn.XLOOKUP(
        $H157,
        型とバイト数!$B$3:$B$53,
        型とバイト数!$E$3:$E$53,
        IF(LEFT($H157,7)="varchar",_xlpm.可変bit数*8,
            IF(LEFT($H157,3)="bit",_xlpm.可変bit数,"???"))
    )
)</f>
        <v>1</v>
      </c>
      <c r="J157" s="22"/>
      <c r="K157" s="22"/>
      <c r="L157" s="24"/>
      <c r="M157" s="22" t="str">
        <f>IF(K157="","",IF(L157="","参照先未定義",_xlfn.XLOOKUP(L157,B:B,C:C,"エラー")))</f>
        <v/>
      </c>
      <c r="N157" s="22"/>
      <c r="O157" s="22"/>
      <c r="P157" s="22">
        <v>1</v>
      </c>
      <c r="Q157" s="22"/>
      <c r="R157" s="24"/>
      <c r="S157" s="24"/>
      <c r="T157" s="24"/>
      <c r="U157" s="22"/>
    </row>
    <row r="158" spans="1:21" ht="18.75" customHeight="1" x14ac:dyDescent="0.25">
      <c r="A158" s="24" t="s">
        <v>47</v>
      </c>
      <c r="B158" s="24" t="str">
        <f t="shared" si="0"/>
        <v>sns_support_use_sns_link</v>
      </c>
      <c r="C158" s="25">
        <f t="shared" si="1"/>
        <v>157</v>
      </c>
      <c r="D158" s="22" t="str">
        <f t="shared" ref="D158:E158" si="144">D157</f>
        <v>sns_support</v>
      </c>
      <c r="E158" s="22" t="str">
        <f t="shared" si="144"/>
        <v>サポートするSNS</v>
      </c>
      <c r="F158" s="22" t="s">
        <v>244</v>
      </c>
      <c r="G158" s="22" t="s">
        <v>245</v>
      </c>
      <c r="H158" s="22" t="s">
        <v>133</v>
      </c>
      <c r="I158" s="22">
        <f>_xlfn.LET(
    _xlpm.可変bit数,--MID(H158,FIND("(",H158)+1,FIND(")",H158)-FIND("(",H158)-1),
    _xlfn.XLOOKUP(
        $H158,
        型とバイト数!$B$3:$B$53,
        型とバイト数!$E$3:$E$53,
        IF(LEFT($H158,7)="varchar",_xlpm.可変bit数*8,
            IF(LEFT($H158,3)="bit",_xlpm.可変bit数,"???"))
    )
)</f>
        <v>1</v>
      </c>
      <c r="J158" s="22"/>
      <c r="K158" s="22"/>
      <c r="L158" s="24"/>
      <c r="M158" s="22" t="str">
        <f>IF(K158="","",IF(L158="","参照先未定義",_xlfn.XLOOKUP(L158,B:B,C:C,"エラー")))</f>
        <v/>
      </c>
      <c r="N158" s="22"/>
      <c r="O158" s="22"/>
      <c r="P158" s="22">
        <v>1</v>
      </c>
      <c r="Q158" s="22"/>
      <c r="R158" s="24"/>
      <c r="S158" s="24"/>
      <c r="T158" s="24"/>
      <c r="U158" s="22"/>
    </row>
    <row r="159" spans="1:21" ht="18.75" customHeight="1" x14ac:dyDescent="0.25">
      <c r="A159" s="24" t="s">
        <v>47</v>
      </c>
      <c r="B159" s="24" t="str">
        <f t="shared" si="0"/>
        <v>sns_support_create_datetime</v>
      </c>
      <c r="C159" s="25">
        <f t="shared" si="1"/>
        <v>158</v>
      </c>
      <c r="D159" s="22" t="str">
        <f t="shared" ref="D159:E159" si="145">D158</f>
        <v>sns_support</v>
      </c>
      <c r="E159" s="22" t="str">
        <f t="shared" si="145"/>
        <v>サポートするSNS</v>
      </c>
      <c r="F159" s="22" t="s">
        <v>120</v>
      </c>
      <c r="G159" s="22" t="s">
        <v>121</v>
      </c>
      <c r="H159" s="22" t="s">
        <v>78</v>
      </c>
      <c r="I159" s="22">
        <f>_xlfn.LET(
    _xlpm.可変bit数,--MID(H159,FIND("(",H159)+1,FIND(")",H159)-FIND("(",H159)-1),
    _xlfn.XLOOKUP(
        $H159,
        型とバイト数!$B$3:$B$53,
        型とバイト数!$E$3:$E$53,
        IF(LEFT($H159,7)="varchar",_xlpm.可変bit数*8,
            IF(LEFT($H159,3)="bit",_xlpm.可変bit数,"???"))
    )
)</f>
        <v>64</v>
      </c>
      <c r="J159" s="22"/>
      <c r="K159" s="22"/>
      <c r="L159" s="24"/>
      <c r="M159" s="22" t="str">
        <f>IF(K159="","",IF(L159="","参照先未定義",_xlfn.XLOOKUP(L159,B:B,C:C,"エラー")))</f>
        <v/>
      </c>
      <c r="N159" s="22" t="s">
        <v>52</v>
      </c>
      <c r="O159" s="22"/>
      <c r="P159" s="22" t="s">
        <v>122</v>
      </c>
      <c r="Q159" s="22"/>
      <c r="R159" s="24"/>
      <c r="S159" s="24"/>
      <c r="T159" s="24"/>
      <c r="U159" s="22"/>
    </row>
    <row r="160" spans="1:21" ht="18.75" customHeight="1" x14ac:dyDescent="0.25">
      <c r="A160" s="24" t="s">
        <v>47</v>
      </c>
      <c r="B160" s="24" t="str">
        <f t="shared" si="0"/>
        <v>sns_support_create_user</v>
      </c>
      <c r="C160" s="25">
        <f t="shared" si="1"/>
        <v>159</v>
      </c>
      <c r="D160" s="22" t="str">
        <f t="shared" ref="D160:E160" si="146">D159</f>
        <v>sns_support</v>
      </c>
      <c r="E160" s="22" t="str">
        <f t="shared" si="146"/>
        <v>サポートするSNS</v>
      </c>
      <c r="F160" s="22" t="s">
        <v>123</v>
      </c>
      <c r="G160" s="22" t="s">
        <v>124</v>
      </c>
      <c r="H160" s="22" t="s">
        <v>75</v>
      </c>
      <c r="I160" s="22">
        <f>_xlfn.LET(
    _xlpm.可変bit数,--MID(H160,FIND("(",H160)+1,FIND(")",H160)-FIND("(",H160)-1),
    _xlfn.XLOOKUP(
        $H160,
        型とバイト数!$B$3:$B$53,
        型とバイト数!$E$3:$E$53,
        IF(LEFT($H160,7)="varchar",_xlpm.可変bit数*8,
            IF(LEFT($H160,3)="bit",_xlpm.可変bit数,"???"))
    )
)</f>
        <v>256</v>
      </c>
      <c r="J160" s="22"/>
      <c r="K160" s="22"/>
      <c r="L160" s="24"/>
      <c r="M160" s="22" t="str">
        <f>IF(K160="","",IF(L160="","参照先未定義",_xlfn.XLOOKUP(L160,B:B,C:C,"エラー")))</f>
        <v/>
      </c>
      <c r="N160" s="22" t="s">
        <v>52</v>
      </c>
      <c r="O160" s="22"/>
      <c r="P160" s="22" t="s">
        <v>125</v>
      </c>
      <c r="Q160" s="22"/>
      <c r="R160" s="24"/>
      <c r="S160" s="24"/>
      <c r="T160" s="24"/>
      <c r="U160" s="22" t="s">
        <v>126</v>
      </c>
    </row>
    <row r="161" spans="1:21" ht="18.75" customHeight="1" x14ac:dyDescent="0.25">
      <c r="A161" s="24" t="s">
        <v>47</v>
      </c>
      <c r="B161" s="24" t="str">
        <f t="shared" si="0"/>
        <v>sns_support_update_datetime</v>
      </c>
      <c r="C161" s="25">
        <f t="shared" si="1"/>
        <v>160</v>
      </c>
      <c r="D161" s="22" t="str">
        <f t="shared" ref="D161:E161" si="147">D160</f>
        <v>sns_support</v>
      </c>
      <c r="E161" s="22" t="str">
        <f t="shared" si="147"/>
        <v>サポートするSNS</v>
      </c>
      <c r="F161" s="22" t="s">
        <v>127</v>
      </c>
      <c r="G161" s="22" t="s">
        <v>128</v>
      </c>
      <c r="H161" s="22" t="s">
        <v>78</v>
      </c>
      <c r="I161" s="22">
        <f>_xlfn.LET(
    _xlpm.可変bit数,--MID(H161,FIND("(",H161)+1,FIND(")",H161)-FIND("(",H161)-1),
    _xlfn.XLOOKUP(
        $H161,
        型とバイト数!$B$3:$B$53,
        型とバイト数!$E$3:$E$53,
        IF(LEFT($H161,7)="varchar",_xlpm.可変bit数*8,
            IF(LEFT($H161,3)="bit",_xlpm.可変bit数,"???"))
    )
)</f>
        <v>64</v>
      </c>
      <c r="J161" s="22"/>
      <c r="K161" s="22"/>
      <c r="L161" s="24"/>
      <c r="M161" s="22" t="str">
        <f>IF(K161="","",IF(L161="","参照先未定義",_xlfn.XLOOKUP(L161,B:B,C:C,"エラー")))</f>
        <v/>
      </c>
      <c r="N161" s="22" t="s">
        <v>52</v>
      </c>
      <c r="O161" s="22"/>
      <c r="P161" s="22" t="s">
        <v>122</v>
      </c>
      <c r="Q161" s="22"/>
      <c r="R161" s="24"/>
      <c r="S161" s="24"/>
      <c r="T161" s="24"/>
      <c r="U161" s="22"/>
    </row>
    <row r="162" spans="1:21" ht="18.75" customHeight="1" x14ac:dyDescent="0.25">
      <c r="A162" s="24" t="s">
        <v>47</v>
      </c>
      <c r="B162" s="24" t="str">
        <f t="shared" si="0"/>
        <v>sns_support_update_user</v>
      </c>
      <c r="C162" s="25">
        <f t="shared" si="1"/>
        <v>161</v>
      </c>
      <c r="D162" s="22" t="str">
        <f t="shared" ref="D162:E162" si="148">D161</f>
        <v>sns_support</v>
      </c>
      <c r="E162" s="22" t="str">
        <f t="shared" si="148"/>
        <v>サポートするSNS</v>
      </c>
      <c r="F162" s="22" t="s">
        <v>129</v>
      </c>
      <c r="G162" s="22" t="s">
        <v>130</v>
      </c>
      <c r="H162" s="22" t="s">
        <v>75</v>
      </c>
      <c r="I162" s="22">
        <f>_xlfn.LET(
    _xlpm.可変bit数,--MID(H162,FIND("(",H162)+1,FIND(")",H162)-FIND("(",H162)-1),
    _xlfn.XLOOKUP(
        $H162,
        型とバイト数!$B$3:$B$53,
        型とバイト数!$E$3:$E$53,
        IF(LEFT($H162,7)="varchar",_xlpm.可変bit数*8,
            IF(LEFT($H162,3)="bit",_xlpm.可変bit数,"???"))
    )
)</f>
        <v>256</v>
      </c>
      <c r="J162" s="22"/>
      <c r="K162" s="22"/>
      <c r="L162" s="24"/>
      <c r="M162" s="22" t="str">
        <f>IF(K162="","",IF(L162="","参照先未定義",_xlfn.XLOOKUP(L162,B:B,C:C,"エラー")))</f>
        <v/>
      </c>
      <c r="N162" s="22" t="s">
        <v>52</v>
      </c>
      <c r="O162" s="22"/>
      <c r="P162" s="22" t="s">
        <v>125</v>
      </c>
      <c r="Q162" s="22"/>
      <c r="R162" s="24"/>
      <c r="S162" s="24"/>
      <c r="T162" s="24"/>
      <c r="U162" s="22" t="s">
        <v>126</v>
      </c>
    </row>
    <row r="163" spans="1:21" ht="18.75" customHeight="1" x14ac:dyDescent="0.25">
      <c r="A163" s="24" t="s">
        <v>47</v>
      </c>
      <c r="B163" s="24" t="str">
        <f t="shared" si="0"/>
        <v>sns_support_soft_delete_flag</v>
      </c>
      <c r="C163" s="25">
        <f t="shared" si="1"/>
        <v>162</v>
      </c>
      <c r="D163" s="22" t="str">
        <f t="shared" ref="D163:E163" si="149">D162</f>
        <v>sns_support</v>
      </c>
      <c r="E163" s="22" t="str">
        <f t="shared" si="149"/>
        <v>サポートするSNS</v>
      </c>
      <c r="F163" s="22" t="s">
        <v>131</v>
      </c>
      <c r="G163" s="22" t="s">
        <v>132</v>
      </c>
      <c r="H163" s="22" t="s">
        <v>133</v>
      </c>
      <c r="I163" s="22">
        <f>_xlfn.LET(
    _xlpm.可変bit数,--MID(H163,FIND("(",H163)+1,FIND(")",H163)-FIND("(",H163)-1),
    _xlfn.XLOOKUP(
        $H163,
        型とバイト数!$B$3:$B$53,
        型とバイト数!$E$3:$E$53,
        IF(LEFT($H163,7)="varchar",_xlpm.可変bit数*8,
            IF(LEFT($H163,3)="bit",_xlpm.可変bit数,"???"))
    )
)</f>
        <v>1</v>
      </c>
      <c r="J163" s="22"/>
      <c r="K163" s="22"/>
      <c r="L163" s="24"/>
      <c r="M163" s="22" t="str">
        <f>IF(K163="","",IF(L163="","参照先未定義",_xlfn.XLOOKUP(L163,B:B,C:C,"エラー")))</f>
        <v/>
      </c>
      <c r="N163" s="22" t="s">
        <v>52</v>
      </c>
      <c r="O163" s="22"/>
      <c r="P163" s="22">
        <v>0</v>
      </c>
      <c r="Q163" s="22"/>
      <c r="R163" s="24"/>
      <c r="S163" s="24"/>
      <c r="T163" s="24"/>
      <c r="U163" s="22"/>
    </row>
    <row r="164" spans="1:21" ht="18.75" customHeight="1" x14ac:dyDescent="0.25">
      <c r="A164" s="24" t="s">
        <v>47</v>
      </c>
      <c r="B164" s="24" t="str">
        <f t="shared" si="0"/>
        <v>sns_support_hard_delete_flag</v>
      </c>
      <c r="C164" s="25">
        <f t="shared" si="1"/>
        <v>163</v>
      </c>
      <c r="D164" s="22" t="str">
        <f t="shared" ref="D164:E164" si="150">D163</f>
        <v>sns_support</v>
      </c>
      <c r="E164" s="22" t="str">
        <f t="shared" si="150"/>
        <v>サポートするSNS</v>
      </c>
      <c r="F164" s="22" t="s">
        <v>134</v>
      </c>
      <c r="G164" s="22" t="s">
        <v>135</v>
      </c>
      <c r="H164" s="22" t="s">
        <v>133</v>
      </c>
      <c r="I164" s="22">
        <f>_xlfn.LET(
    _xlpm.可変bit数,--MID(H164,FIND("(",H164)+1,FIND(")",H164)-FIND("(",H164)-1),
    _xlfn.XLOOKUP(
        $H164,
        型とバイト数!$B$3:$B$53,
        型とバイト数!$E$3:$E$53,
        IF(LEFT($H164,7)="varchar",_xlpm.可変bit数*8,
            IF(LEFT($H164,3)="bit",_xlpm.可変bit数,"???"))
    )
)</f>
        <v>1</v>
      </c>
      <c r="J164" s="22"/>
      <c r="K164" s="22"/>
      <c r="L164" s="24"/>
      <c r="M164" s="22" t="str">
        <f>IF(K164="","",IF(L164="","参照先未定義",_xlfn.XLOOKUP(L164,B:B,C:C,"エラー")))</f>
        <v/>
      </c>
      <c r="N164" s="22" t="s">
        <v>52</v>
      </c>
      <c r="O164" s="22"/>
      <c r="P164" s="22">
        <v>0</v>
      </c>
      <c r="Q164" s="22"/>
      <c r="R164" s="24"/>
      <c r="S164" s="24"/>
      <c r="T164" s="24"/>
      <c r="U164" s="22"/>
    </row>
    <row r="165" spans="1:21" ht="18.75" customHeight="1" x14ac:dyDescent="0.25">
      <c r="A165" s="24" t="s">
        <v>47</v>
      </c>
      <c r="B165" s="24" t="str">
        <f t="shared" si="0"/>
        <v>profile_report_uuid</v>
      </c>
      <c r="C165" s="25">
        <f t="shared" si="1"/>
        <v>164</v>
      </c>
      <c r="D165" s="22" t="s">
        <v>246</v>
      </c>
      <c r="E165" s="22" t="s">
        <v>247</v>
      </c>
      <c r="F165" s="22" t="s">
        <v>50</v>
      </c>
      <c r="G165" s="22" t="s">
        <v>51</v>
      </c>
      <c r="H165" s="22" t="s">
        <v>50</v>
      </c>
      <c r="I165" s="22">
        <f>_xlfn.LET(
    _xlpm.可変bit数,--MID(H165,FIND("(",H165)+1,FIND(")",H165)-FIND("(",H165)-1),
    _xlfn.XLOOKUP(
        $H165,
        型とバイト数!$B$3:$B$53,
        型とバイト数!$E$3:$E$53,
        IF(LEFT($H165,7)="varchar",_xlpm.可変bit数*8,
            IF(LEFT($H165,3)="bit",_xlpm.可変bit数,"???"))
    )
)</f>
        <v>128</v>
      </c>
      <c r="J165" s="22" t="s">
        <v>52</v>
      </c>
      <c r="K165" s="22"/>
      <c r="L165" s="24"/>
      <c r="M165" s="22" t="str">
        <f>IF(K165="","",IF(L165="","参照先未定義",_xlfn.XLOOKUP(L165,B:B,C:C,"エラー")))</f>
        <v/>
      </c>
      <c r="N165" s="22" t="s">
        <v>52</v>
      </c>
      <c r="O165" s="22" t="s">
        <v>52</v>
      </c>
      <c r="P165" s="22" t="s">
        <v>53</v>
      </c>
      <c r="Q165" s="22"/>
      <c r="R165" s="24"/>
      <c r="S165" s="24"/>
      <c r="T165" s="24"/>
      <c r="U165" s="22"/>
    </row>
    <row r="166" spans="1:21" ht="18.75" customHeight="1" x14ac:dyDescent="0.25">
      <c r="A166" s="24" t="s">
        <v>47</v>
      </c>
      <c r="B166" s="24" t="str">
        <f t="shared" si="0"/>
        <v>profile_report_user_id</v>
      </c>
      <c r="C166" s="25">
        <f t="shared" si="1"/>
        <v>165</v>
      </c>
      <c r="D166" s="22" t="str">
        <f t="shared" ref="D166:E166" si="151">D165</f>
        <v>profile_report</v>
      </c>
      <c r="E166" s="22" t="str">
        <f t="shared" si="151"/>
        <v>プロフィール通報</v>
      </c>
      <c r="F166" s="22" t="s">
        <v>59</v>
      </c>
      <c r="G166" s="22" t="s">
        <v>60</v>
      </c>
      <c r="H166" s="22" t="s">
        <v>50</v>
      </c>
      <c r="I166" s="22">
        <f>_xlfn.LET(
    _xlpm.可変bit数,--MID(H166,FIND("(",H166)+1,FIND(")",H166)-FIND("(",H166)-1),
    _xlfn.XLOOKUP(
        $H166,
        型とバイト数!$B$3:$B$53,
        型とバイト数!$E$3:$E$53,
        IF(LEFT($H166,7)="varchar",_xlpm.可変bit数*8,
            IF(LEFT($H166,3)="bit",_xlpm.可変bit数,"???"))
    )
)</f>
        <v>128</v>
      </c>
      <c r="J166" s="22"/>
      <c r="K166" s="22" t="s">
        <v>52</v>
      </c>
      <c r="L166" s="24" t="s">
        <v>61</v>
      </c>
      <c r="M166" s="22">
        <f>IF(K166="","",IF(L166="","参照先未定義",_xlfn.XLOOKUP(L166,B:B,C:C,"エラー")))</f>
        <v>186</v>
      </c>
      <c r="N166" s="22"/>
      <c r="O166" s="22"/>
      <c r="P166" s="22"/>
      <c r="Q166" s="22"/>
      <c r="R166" s="24"/>
      <c r="S166" s="24"/>
      <c r="T166" s="24"/>
      <c r="U166" s="22"/>
    </row>
    <row r="167" spans="1:21" ht="18.75" customHeight="1" x14ac:dyDescent="0.25">
      <c r="A167" s="24" t="s">
        <v>47</v>
      </c>
      <c r="B167" s="24" t="str">
        <f t="shared" si="0"/>
        <v>profile_report_vtuber_profiles_id</v>
      </c>
      <c r="C167" s="25">
        <f t="shared" si="1"/>
        <v>166</v>
      </c>
      <c r="D167" s="22" t="str">
        <f t="shared" ref="D167:E167" si="152">D166</f>
        <v>profile_report</v>
      </c>
      <c r="E167" s="22" t="str">
        <f t="shared" si="152"/>
        <v>プロフィール通報</v>
      </c>
      <c r="F167" s="22" t="s">
        <v>54</v>
      </c>
      <c r="G167" s="22" t="s">
        <v>55</v>
      </c>
      <c r="H167" s="22" t="s">
        <v>56</v>
      </c>
      <c r="I167" s="22">
        <f>_xlfn.LET(
    _xlpm.可変bit数,--MID(H167,FIND("(",H167)+1,FIND(")",H167)-FIND("(",H167)-1),
    _xlfn.XLOOKUP(
        $H167,
        型とバイト数!$B$3:$B$53,
        型とバイト数!$E$3:$E$53,
        IF(LEFT($H167,7)="varchar",_xlpm.可変bit数*8,
            IF(LEFT($H167,3)="bit",_xlpm.可変bit数,"???"))
    )
)</f>
        <v>64</v>
      </c>
      <c r="J167" s="22"/>
      <c r="K167" s="22" t="s">
        <v>52</v>
      </c>
      <c r="L167" s="24" t="s">
        <v>158</v>
      </c>
      <c r="M167" s="22">
        <f>IF(K167="","",IF(L167="","参照先未定義",_xlfn.XLOOKUP(L167,B:B,C:C,"エラー")))</f>
        <v>2</v>
      </c>
      <c r="N167" s="22" t="s">
        <v>52</v>
      </c>
      <c r="O167" s="22"/>
      <c r="P167" s="22"/>
      <c r="Q167" s="22"/>
      <c r="R167" s="24"/>
      <c r="S167" s="24"/>
      <c r="T167" s="24"/>
      <c r="U167" s="22"/>
    </row>
    <row r="168" spans="1:21" ht="18.75" customHeight="1" x14ac:dyDescent="0.25">
      <c r="A168" s="24" t="s">
        <v>47</v>
      </c>
      <c r="B168" s="24" t="str">
        <f t="shared" si="0"/>
        <v>profile_report_report_reason_physical_name</v>
      </c>
      <c r="C168" s="25">
        <f t="shared" si="1"/>
        <v>167</v>
      </c>
      <c r="D168" s="22" t="str">
        <f t="shared" ref="D168:E168" si="153">D167</f>
        <v>profile_report</v>
      </c>
      <c r="E168" s="22" t="str">
        <f t="shared" si="153"/>
        <v>プロフィール通報</v>
      </c>
      <c r="F168" s="22" t="s">
        <v>248</v>
      </c>
      <c r="G168" s="22" t="s">
        <v>249</v>
      </c>
      <c r="H168" s="22" t="s">
        <v>84</v>
      </c>
      <c r="I168" s="22">
        <f>_xlfn.LET(
    _xlpm.可変bit数,--MID(H168,FIND("(",H168)+1,FIND(")",H168)-FIND("(",H168)-1),
    _xlfn.XLOOKUP(
        $H168,
        型とバイト数!$B$3:$B$53,
        型とバイト数!$E$3:$E$53,
        IF(LEFT($H168,7)="varchar",_xlpm.可変bit数*8,
            IF(LEFT($H168,3)="bit",_xlpm.可変bit数,"???"))
    )
)</f>
        <v>128</v>
      </c>
      <c r="J168" s="22"/>
      <c r="K168" s="22" t="s">
        <v>52</v>
      </c>
      <c r="L168" s="24" t="s">
        <v>527</v>
      </c>
      <c r="M168" s="22">
        <f>IF(K168="","",IF(L168="","参照先未定義",_xlfn.XLOOKUP(L168,B:B,C:C,"エラー")))</f>
        <v>177</v>
      </c>
      <c r="N168" s="22" t="s">
        <v>52</v>
      </c>
      <c r="O168" s="22"/>
      <c r="P168" s="22"/>
      <c r="Q168" s="22"/>
      <c r="R168" s="24" t="s">
        <v>52</v>
      </c>
      <c r="S168" s="24"/>
      <c r="T168" s="24"/>
      <c r="U168" s="22"/>
    </row>
    <row r="169" spans="1:21" ht="18.75" customHeight="1" x14ac:dyDescent="0.25">
      <c r="A169" s="24" t="s">
        <v>47</v>
      </c>
      <c r="B169" s="24" t="str">
        <f t="shared" si="0"/>
        <v>profile_report_report_detail</v>
      </c>
      <c r="C169" s="25">
        <f t="shared" si="1"/>
        <v>168</v>
      </c>
      <c r="D169" s="22" t="str">
        <f t="shared" ref="D169:E169" si="154">D168</f>
        <v>profile_report</v>
      </c>
      <c r="E169" s="22" t="str">
        <f t="shared" si="154"/>
        <v>プロフィール通報</v>
      </c>
      <c r="F169" s="22" t="s">
        <v>250</v>
      </c>
      <c r="G169" s="22" t="s">
        <v>251</v>
      </c>
      <c r="H169" s="22" t="s">
        <v>94</v>
      </c>
      <c r="I169" s="22" t="str">
        <f>_xlfn.LET(
    _xlpm.可変bit数,--MID(H169,FIND("(",H169)+1,FIND(")",H169)-FIND("(",H169)-1),
    _xlfn.XLOOKUP(
        $H169,
        型とバイト数!$B$3:$B$53,
        型とバイト数!$E$3:$E$53,
        IF(LEFT($H169,7)="varchar",_xlpm.可変bit数*8,
            IF(LEFT($H169,3)="bit",_xlpm.可変bit数,"???"))
    )
)</f>
        <v>-</v>
      </c>
      <c r="J169" s="22"/>
      <c r="K169" s="22"/>
      <c r="L169" s="24"/>
      <c r="M169" s="22" t="str">
        <f>IF(K169="","",IF(L169="","参照先未定義",_xlfn.XLOOKUP(L169,B:B,C:C,"エラー")))</f>
        <v/>
      </c>
      <c r="N169" s="22" t="s">
        <v>52</v>
      </c>
      <c r="O169" s="22"/>
      <c r="P169" s="22"/>
      <c r="Q169" s="22"/>
      <c r="R169" s="24" t="s">
        <v>52</v>
      </c>
      <c r="S169" s="24"/>
      <c r="T169" s="24"/>
      <c r="U169" s="22"/>
    </row>
    <row r="170" spans="1:21" ht="18.75" customHeight="1" x14ac:dyDescent="0.25">
      <c r="A170" s="24" t="s">
        <v>47</v>
      </c>
      <c r="B170" s="24" t="str">
        <f t="shared" si="0"/>
        <v>profile_report_report_datetime</v>
      </c>
      <c r="C170" s="25">
        <f t="shared" si="1"/>
        <v>169</v>
      </c>
      <c r="D170" s="22" t="str">
        <f t="shared" ref="D170:E170" si="155">D169</f>
        <v>profile_report</v>
      </c>
      <c r="E170" s="22" t="str">
        <f t="shared" si="155"/>
        <v>プロフィール通報</v>
      </c>
      <c r="F170" s="22" t="s">
        <v>252</v>
      </c>
      <c r="G170" s="22" t="s">
        <v>253</v>
      </c>
      <c r="H170" s="22" t="s">
        <v>78</v>
      </c>
      <c r="I170" s="22">
        <f>_xlfn.LET(
    _xlpm.可変bit数,--MID(H170,FIND("(",H170)+1,FIND(")",H170)-FIND("(",H170)-1),
    _xlfn.XLOOKUP(
        $H170,
        型とバイト数!$B$3:$B$53,
        型とバイト数!$E$3:$E$53,
        IF(LEFT($H170,7)="varchar",_xlpm.可変bit数*8,
            IF(LEFT($H170,3)="bit",_xlpm.可変bit数,"???"))
    )
)</f>
        <v>64</v>
      </c>
      <c r="J170" s="22"/>
      <c r="K170" s="22"/>
      <c r="L170" s="24"/>
      <c r="M170" s="22" t="str">
        <f>IF(K170="","",IF(L170="","参照先未定義",_xlfn.XLOOKUP(L170,B:B,C:C,"エラー")))</f>
        <v/>
      </c>
      <c r="N170" s="22" t="s">
        <v>52</v>
      </c>
      <c r="O170" s="22"/>
      <c r="P170" s="22" t="s">
        <v>122</v>
      </c>
      <c r="Q170" s="22"/>
      <c r="R170" s="24"/>
      <c r="S170" s="24"/>
      <c r="T170" s="24"/>
      <c r="U170" s="22"/>
    </row>
    <row r="171" spans="1:21" ht="18.75" customHeight="1" x14ac:dyDescent="0.25">
      <c r="A171" s="24" t="s">
        <v>47</v>
      </c>
      <c r="B171" s="24" t="str">
        <f t="shared" si="0"/>
        <v>profile_report_create_datetime</v>
      </c>
      <c r="C171" s="25">
        <f t="shared" si="1"/>
        <v>170</v>
      </c>
      <c r="D171" s="22" t="str">
        <f t="shared" ref="D171:E171" si="156">D170</f>
        <v>profile_report</v>
      </c>
      <c r="E171" s="22" t="str">
        <f t="shared" si="156"/>
        <v>プロフィール通報</v>
      </c>
      <c r="F171" s="22" t="s">
        <v>120</v>
      </c>
      <c r="G171" s="22" t="s">
        <v>121</v>
      </c>
      <c r="H171" s="22" t="s">
        <v>78</v>
      </c>
      <c r="I171" s="22">
        <f>_xlfn.LET(
    _xlpm.可変bit数,--MID(H171,FIND("(",H171)+1,FIND(")",H171)-FIND("(",H171)-1),
    _xlfn.XLOOKUP(
        $H171,
        型とバイト数!$B$3:$B$53,
        型とバイト数!$E$3:$E$53,
        IF(LEFT($H171,7)="varchar",_xlpm.可変bit数*8,
            IF(LEFT($H171,3)="bit",_xlpm.可変bit数,"???"))
    )
)</f>
        <v>64</v>
      </c>
      <c r="J171" s="22"/>
      <c r="K171" s="22"/>
      <c r="L171" s="24"/>
      <c r="M171" s="22" t="str">
        <f>IF(K171="","",IF(L171="","参照先未定義",_xlfn.XLOOKUP(L171,B:B,C:C,"エラー")))</f>
        <v/>
      </c>
      <c r="N171" s="22" t="s">
        <v>52</v>
      </c>
      <c r="O171" s="22"/>
      <c r="P171" s="22" t="s">
        <v>122</v>
      </c>
      <c r="Q171" s="22"/>
      <c r="R171" s="24"/>
      <c r="S171" s="24"/>
      <c r="T171" s="24"/>
      <c r="U171" s="22"/>
    </row>
    <row r="172" spans="1:21" ht="18.75" customHeight="1" x14ac:dyDescent="0.25">
      <c r="A172" s="24" t="s">
        <v>47</v>
      </c>
      <c r="B172" s="24" t="str">
        <f t="shared" si="0"/>
        <v>profile_report_create_user</v>
      </c>
      <c r="C172" s="25">
        <f t="shared" si="1"/>
        <v>171</v>
      </c>
      <c r="D172" s="22" t="str">
        <f t="shared" ref="D172:E172" si="157">D171</f>
        <v>profile_report</v>
      </c>
      <c r="E172" s="22" t="str">
        <f t="shared" si="157"/>
        <v>プロフィール通報</v>
      </c>
      <c r="F172" s="22" t="s">
        <v>123</v>
      </c>
      <c r="G172" s="22" t="s">
        <v>124</v>
      </c>
      <c r="H172" s="22" t="s">
        <v>75</v>
      </c>
      <c r="I172" s="22">
        <f>_xlfn.LET(
    _xlpm.可変bit数,--MID(H172,FIND("(",H172)+1,FIND(")",H172)-FIND("(",H172)-1),
    _xlfn.XLOOKUP(
        $H172,
        型とバイト数!$B$3:$B$53,
        型とバイト数!$E$3:$E$53,
        IF(LEFT($H172,7)="varchar",_xlpm.可変bit数*8,
            IF(LEFT($H172,3)="bit",_xlpm.可変bit数,"???"))
    )
)</f>
        <v>256</v>
      </c>
      <c r="J172" s="22"/>
      <c r="K172" s="22"/>
      <c r="L172" s="24"/>
      <c r="M172" s="22" t="str">
        <f>IF(K172="","",IF(L172="","参照先未定義",_xlfn.XLOOKUP(L172,B:B,C:C,"エラー")))</f>
        <v/>
      </c>
      <c r="N172" s="22" t="s">
        <v>52</v>
      </c>
      <c r="O172" s="22"/>
      <c r="P172" s="22" t="s">
        <v>125</v>
      </c>
      <c r="Q172" s="22"/>
      <c r="R172" s="24"/>
      <c r="S172" s="24"/>
      <c r="T172" s="24"/>
      <c r="U172" s="22" t="s">
        <v>126</v>
      </c>
    </row>
    <row r="173" spans="1:21" ht="18.75" customHeight="1" x14ac:dyDescent="0.25">
      <c r="A173" s="24" t="s">
        <v>47</v>
      </c>
      <c r="B173" s="24" t="str">
        <f t="shared" si="0"/>
        <v>profile_report_update_datetime</v>
      </c>
      <c r="C173" s="25">
        <f t="shared" si="1"/>
        <v>172</v>
      </c>
      <c r="D173" s="22" t="str">
        <f t="shared" ref="D173:E173" si="158">D172</f>
        <v>profile_report</v>
      </c>
      <c r="E173" s="22" t="str">
        <f t="shared" si="158"/>
        <v>プロフィール通報</v>
      </c>
      <c r="F173" s="22" t="s">
        <v>127</v>
      </c>
      <c r="G173" s="22" t="s">
        <v>128</v>
      </c>
      <c r="H173" s="22" t="s">
        <v>78</v>
      </c>
      <c r="I173" s="22">
        <f>_xlfn.LET(
    _xlpm.可変bit数,--MID(H173,FIND("(",H173)+1,FIND(")",H173)-FIND("(",H173)-1),
    _xlfn.XLOOKUP(
        $H173,
        型とバイト数!$B$3:$B$53,
        型とバイト数!$E$3:$E$53,
        IF(LEFT($H173,7)="varchar",_xlpm.可変bit数*8,
            IF(LEFT($H173,3)="bit",_xlpm.可変bit数,"???"))
    )
)</f>
        <v>64</v>
      </c>
      <c r="J173" s="22"/>
      <c r="K173" s="22"/>
      <c r="L173" s="24"/>
      <c r="M173" s="22" t="str">
        <f>IF(K173="","",IF(L173="","参照先未定義",_xlfn.XLOOKUP(L173,B:B,C:C,"エラー")))</f>
        <v/>
      </c>
      <c r="N173" s="22" t="s">
        <v>52</v>
      </c>
      <c r="O173" s="22"/>
      <c r="P173" s="22" t="s">
        <v>122</v>
      </c>
      <c r="Q173" s="22"/>
      <c r="R173" s="24"/>
      <c r="S173" s="24"/>
      <c r="T173" s="24"/>
      <c r="U173" s="22"/>
    </row>
    <row r="174" spans="1:21" ht="18.75" customHeight="1" x14ac:dyDescent="0.25">
      <c r="A174" s="24" t="s">
        <v>47</v>
      </c>
      <c r="B174" s="24" t="str">
        <f t="shared" si="0"/>
        <v>profile_report_update_user</v>
      </c>
      <c r="C174" s="25">
        <f t="shared" si="1"/>
        <v>173</v>
      </c>
      <c r="D174" s="22" t="str">
        <f t="shared" ref="D174:E174" si="159">D173</f>
        <v>profile_report</v>
      </c>
      <c r="E174" s="22" t="str">
        <f t="shared" si="159"/>
        <v>プロフィール通報</v>
      </c>
      <c r="F174" s="22" t="s">
        <v>129</v>
      </c>
      <c r="G174" s="22" t="s">
        <v>130</v>
      </c>
      <c r="H174" s="22" t="s">
        <v>75</v>
      </c>
      <c r="I174" s="22">
        <f>_xlfn.LET(
    _xlpm.可変bit数,--MID(H174,FIND("(",H174)+1,FIND(")",H174)-FIND("(",H174)-1),
    _xlfn.XLOOKUP(
        $H174,
        型とバイト数!$B$3:$B$53,
        型とバイト数!$E$3:$E$53,
        IF(LEFT($H174,7)="varchar",_xlpm.可変bit数*8,
            IF(LEFT($H174,3)="bit",_xlpm.可変bit数,"???"))
    )
)</f>
        <v>256</v>
      </c>
      <c r="J174" s="22"/>
      <c r="K174" s="22"/>
      <c r="L174" s="24"/>
      <c r="M174" s="22" t="str">
        <f>IF(K174="","",IF(L174="","参照先未定義",_xlfn.XLOOKUP(L174,B:B,C:C,"エラー")))</f>
        <v/>
      </c>
      <c r="N174" s="22" t="s">
        <v>52</v>
      </c>
      <c r="O174" s="22"/>
      <c r="P174" s="22" t="s">
        <v>125</v>
      </c>
      <c r="Q174" s="22"/>
      <c r="R174" s="24"/>
      <c r="S174" s="24"/>
      <c r="T174" s="24"/>
      <c r="U174" s="22" t="s">
        <v>126</v>
      </c>
    </row>
    <row r="175" spans="1:21" ht="18.75" customHeight="1" x14ac:dyDescent="0.25">
      <c r="A175" s="24" t="s">
        <v>47</v>
      </c>
      <c r="B175" s="24" t="str">
        <f t="shared" si="0"/>
        <v>profile_report_soft_delete_flag</v>
      </c>
      <c r="C175" s="25">
        <f t="shared" si="1"/>
        <v>174</v>
      </c>
      <c r="D175" s="22" t="str">
        <f t="shared" ref="D175:E175" si="160">D174</f>
        <v>profile_report</v>
      </c>
      <c r="E175" s="22" t="str">
        <f t="shared" si="160"/>
        <v>プロフィール通報</v>
      </c>
      <c r="F175" s="22" t="s">
        <v>131</v>
      </c>
      <c r="G175" s="22" t="s">
        <v>132</v>
      </c>
      <c r="H175" s="22" t="s">
        <v>133</v>
      </c>
      <c r="I175" s="22">
        <f>_xlfn.LET(
    _xlpm.可変bit数,--MID(H175,FIND("(",H175)+1,FIND(")",H175)-FIND("(",H175)-1),
    _xlfn.XLOOKUP(
        $H175,
        型とバイト数!$B$3:$B$53,
        型とバイト数!$E$3:$E$53,
        IF(LEFT($H175,7)="varchar",_xlpm.可変bit数*8,
            IF(LEFT($H175,3)="bit",_xlpm.可変bit数,"???"))
    )
)</f>
        <v>1</v>
      </c>
      <c r="J175" s="22"/>
      <c r="K175" s="22"/>
      <c r="L175" s="24"/>
      <c r="M175" s="22" t="str">
        <f>IF(K175="","",IF(L175="","参照先未定義",_xlfn.XLOOKUP(L175,B:B,C:C,"エラー")))</f>
        <v/>
      </c>
      <c r="N175" s="22" t="s">
        <v>52</v>
      </c>
      <c r="O175" s="22"/>
      <c r="P175" s="22">
        <v>0</v>
      </c>
      <c r="Q175" s="22"/>
      <c r="R175" s="24"/>
      <c r="S175" s="24"/>
      <c r="T175" s="24"/>
      <c r="U175" s="22"/>
    </row>
    <row r="176" spans="1:21" ht="18.75" customHeight="1" x14ac:dyDescent="0.25">
      <c r="A176" s="24" t="s">
        <v>47</v>
      </c>
      <c r="B176" s="24" t="str">
        <f t="shared" si="0"/>
        <v>profile_report_hard_delete_flag</v>
      </c>
      <c r="C176" s="25">
        <f t="shared" si="1"/>
        <v>175</v>
      </c>
      <c r="D176" s="22" t="str">
        <f t="shared" ref="D176:E176" si="161">D175</f>
        <v>profile_report</v>
      </c>
      <c r="E176" s="22" t="str">
        <f t="shared" si="161"/>
        <v>プロフィール通報</v>
      </c>
      <c r="F176" s="22" t="s">
        <v>134</v>
      </c>
      <c r="G176" s="22" t="s">
        <v>135</v>
      </c>
      <c r="H176" s="22" t="s">
        <v>133</v>
      </c>
      <c r="I176" s="22">
        <f>_xlfn.LET(
    _xlpm.可変bit数,--MID(H176,FIND("(",H176)+1,FIND(")",H176)-FIND("(",H176)-1),
    _xlfn.XLOOKUP(
        $H176,
        型とバイト数!$B$3:$B$53,
        型とバイト数!$E$3:$E$53,
        IF(LEFT($H176,7)="varchar",_xlpm.可変bit数*8,
            IF(LEFT($H176,3)="bit",_xlpm.可変bit数,"???"))
    )
)</f>
        <v>1</v>
      </c>
      <c r="J176" s="22"/>
      <c r="K176" s="22"/>
      <c r="L176" s="24"/>
      <c r="M176" s="22" t="str">
        <f>IF(K176="","",IF(L176="","参照先未定義",_xlfn.XLOOKUP(L176,B:B,C:C,"エラー")))</f>
        <v/>
      </c>
      <c r="N176" s="22" t="s">
        <v>52</v>
      </c>
      <c r="O176" s="22"/>
      <c r="P176" s="22">
        <v>0</v>
      </c>
      <c r="Q176" s="22"/>
      <c r="R176" s="24"/>
      <c r="S176" s="24"/>
      <c r="T176" s="24"/>
      <c r="U176" s="22"/>
    </row>
    <row r="177" spans="1:21" ht="18.75" customHeight="1" x14ac:dyDescent="0.25">
      <c r="A177" s="24" t="s">
        <v>47</v>
      </c>
      <c r="B177" s="24" t="str">
        <f t="shared" si="0"/>
        <v>report_reason_uuid</v>
      </c>
      <c r="C177" s="25">
        <f t="shared" si="1"/>
        <v>176</v>
      </c>
      <c r="D177" s="22" t="s">
        <v>254</v>
      </c>
      <c r="E177" s="22" t="s">
        <v>255</v>
      </c>
      <c r="F177" s="22" t="s">
        <v>50</v>
      </c>
      <c r="G177" s="22" t="s">
        <v>51</v>
      </c>
      <c r="H177" s="22" t="s">
        <v>50</v>
      </c>
      <c r="I177" s="22">
        <f>_xlfn.LET(
    _xlpm.可変bit数,--MID(H177,FIND("(",H177)+1,FIND(")",H177)-FIND("(",H177)-1),
    _xlfn.XLOOKUP(
        $H177,
        型とバイト数!$B$3:$B$53,
        型とバイト数!$E$3:$E$53,
        IF(LEFT($H177,7)="varchar",_xlpm.可変bit数*8,
            IF(LEFT($H177,3)="bit",_xlpm.可変bit数,"???"))
    )
)</f>
        <v>128</v>
      </c>
      <c r="J177" s="22" t="s">
        <v>52</v>
      </c>
      <c r="K177" s="22"/>
      <c r="L177" s="24"/>
      <c r="M177" s="22" t="str">
        <f>IF(K177="","",IF(L177="","参照先未定義",_xlfn.XLOOKUP(L177,B:B,C:C,"エラー")))</f>
        <v/>
      </c>
      <c r="N177" s="22" t="s">
        <v>52</v>
      </c>
      <c r="O177" s="22" t="s">
        <v>52</v>
      </c>
      <c r="P177" s="22" t="s">
        <v>53</v>
      </c>
      <c r="Q177" s="22"/>
      <c r="R177" s="24"/>
      <c r="S177" s="24"/>
      <c r="T177" s="24"/>
      <c r="U177" s="22"/>
    </row>
    <row r="178" spans="1:21" ht="18.75" customHeight="1" x14ac:dyDescent="0.25">
      <c r="A178" s="24" t="s">
        <v>47</v>
      </c>
      <c r="B178" s="24" t="str">
        <f t="shared" si="0"/>
        <v>report_reason_report_reason_physical_name</v>
      </c>
      <c r="C178" s="25">
        <f t="shared" si="1"/>
        <v>177</v>
      </c>
      <c r="D178" s="22" t="str">
        <f t="shared" ref="D178:E178" si="162">D177</f>
        <v>report_reason</v>
      </c>
      <c r="E178" s="22" t="str">
        <f t="shared" si="162"/>
        <v>通報理由</v>
      </c>
      <c r="F178" s="22" t="s">
        <v>248</v>
      </c>
      <c r="G178" s="22" t="s">
        <v>249</v>
      </c>
      <c r="H178" s="22" t="s">
        <v>84</v>
      </c>
      <c r="I178" s="22">
        <f>_xlfn.LET(
    _xlpm.可変bit数,--MID(H178,FIND("(",H178)+1,FIND(")",H178)-FIND("(",H178)-1),
    _xlfn.XLOOKUP(
        $H178,
        型とバイト数!$B$3:$B$53,
        型とバイト数!$E$3:$E$53,
        IF(LEFT($H178,7)="varchar",_xlpm.可変bit数*8,
            IF(LEFT($H178,3)="bit",_xlpm.可変bit数,"???"))
    )
)</f>
        <v>128</v>
      </c>
      <c r="J178" s="22" t="s">
        <v>52</v>
      </c>
      <c r="K178" s="22"/>
      <c r="L178" s="24"/>
      <c r="M178" s="22" t="str">
        <f>IF(K178="","",IF(L178="","参照先未定義",_xlfn.XLOOKUP(L178,B:B,C:C,"エラー")))</f>
        <v/>
      </c>
      <c r="N178" s="22"/>
      <c r="O178" s="22" t="s">
        <v>52</v>
      </c>
      <c r="P178" s="22"/>
      <c r="Q178" s="22"/>
      <c r="R178" s="24"/>
      <c r="S178" s="24"/>
      <c r="T178" s="24"/>
      <c r="U178" s="22"/>
    </row>
    <row r="179" spans="1:21" ht="18.75" customHeight="1" x14ac:dyDescent="0.25">
      <c r="A179" s="24" t="s">
        <v>47</v>
      </c>
      <c r="B179" s="24" t="str">
        <f t="shared" si="0"/>
        <v>report_reason_report_reason_logical_name</v>
      </c>
      <c r="C179" s="25">
        <f t="shared" si="1"/>
        <v>178</v>
      </c>
      <c r="D179" s="22" t="str">
        <f t="shared" ref="D179:E179" si="163">D178</f>
        <v>report_reason</v>
      </c>
      <c r="E179" s="22" t="str">
        <f t="shared" si="163"/>
        <v>通報理由</v>
      </c>
      <c r="F179" s="22" t="s">
        <v>256</v>
      </c>
      <c r="G179" s="22" t="s">
        <v>257</v>
      </c>
      <c r="H179" s="22" t="s">
        <v>84</v>
      </c>
      <c r="I179" s="22">
        <f>_xlfn.LET(
    _xlpm.可変bit数,--MID(H179,FIND("(",H179)+1,FIND(")",H179)-FIND("(",H179)-1),
    _xlfn.XLOOKUP(
        $H179,
        型とバイト数!$B$3:$B$53,
        型とバイト数!$E$3:$E$53,
        IF(LEFT($H179,7)="varchar",_xlpm.可変bit数*8,
            IF(LEFT($H179,3)="bit",_xlpm.可変bit数,"???"))
    )
)</f>
        <v>128</v>
      </c>
      <c r="J179" s="22"/>
      <c r="K179" s="22"/>
      <c r="L179" s="24"/>
      <c r="M179" s="22" t="str">
        <f>IF(K179="","",IF(L179="","参照先未定義",_xlfn.XLOOKUP(L179,B:B,C:C,"エラー")))</f>
        <v/>
      </c>
      <c r="N179" s="22"/>
      <c r="O179" s="22"/>
      <c r="P179" s="22"/>
      <c r="Q179" s="22"/>
      <c r="R179" s="24"/>
      <c r="S179" s="24"/>
      <c r="T179" s="24"/>
      <c r="U179" s="22" t="s">
        <v>215</v>
      </c>
    </row>
    <row r="180" spans="1:21" ht="18.75" customHeight="1" x14ac:dyDescent="0.25">
      <c r="A180" s="24" t="s">
        <v>47</v>
      </c>
      <c r="B180" s="24" t="str">
        <f t="shared" si="0"/>
        <v>report_reason_create_datetime</v>
      </c>
      <c r="C180" s="25">
        <f t="shared" si="1"/>
        <v>179</v>
      </c>
      <c r="D180" s="22" t="str">
        <f t="shared" ref="D180:E180" si="164">D179</f>
        <v>report_reason</v>
      </c>
      <c r="E180" s="22" t="str">
        <f t="shared" si="164"/>
        <v>通報理由</v>
      </c>
      <c r="F180" s="22" t="s">
        <v>120</v>
      </c>
      <c r="G180" s="22" t="s">
        <v>121</v>
      </c>
      <c r="H180" s="22" t="s">
        <v>78</v>
      </c>
      <c r="I180" s="22">
        <f>_xlfn.LET(
    _xlpm.可変bit数,--MID(H180,FIND("(",H180)+1,FIND(")",H180)-FIND("(",H180)-1),
    _xlfn.XLOOKUP(
        $H180,
        型とバイト数!$B$3:$B$53,
        型とバイト数!$E$3:$E$53,
        IF(LEFT($H180,7)="varchar",_xlpm.可変bit数*8,
            IF(LEFT($H180,3)="bit",_xlpm.可変bit数,"???"))
    )
)</f>
        <v>64</v>
      </c>
      <c r="J180" s="22"/>
      <c r="K180" s="22"/>
      <c r="L180" s="24"/>
      <c r="M180" s="22" t="str">
        <f>IF(K180="","",IF(L180="","参照先未定義",_xlfn.XLOOKUP(L180,B:B,C:C,"エラー")))</f>
        <v/>
      </c>
      <c r="N180" s="22" t="s">
        <v>52</v>
      </c>
      <c r="O180" s="22"/>
      <c r="P180" s="22" t="s">
        <v>122</v>
      </c>
      <c r="Q180" s="22"/>
      <c r="R180" s="24"/>
      <c r="S180" s="24"/>
      <c r="T180" s="24"/>
      <c r="U180" s="22"/>
    </row>
    <row r="181" spans="1:21" ht="18.75" customHeight="1" x14ac:dyDescent="0.25">
      <c r="A181" s="24" t="s">
        <v>47</v>
      </c>
      <c r="B181" s="24" t="str">
        <f t="shared" si="0"/>
        <v>report_reason_create_user</v>
      </c>
      <c r="C181" s="25">
        <f t="shared" si="1"/>
        <v>180</v>
      </c>
      <c r="D181" s="22" t="str">
        <f t="shared" ref="D181:E181" si="165">D180</f>
        <v>report_reason</v>
      </c>
      <c r="E181" s="22" t="str">
        <f t="shared" si="165"/>
        <v>通報理由</v>
      </c>
      <c r="F181" s="22" t="s">
        <v>123</v>
      </c>
      <c r="G181" s="22" t="s">
        <v>124</v>
      </c>
      <c r="H181" s="22" t="s">
        <v>75</v>
      </c>
      <c r="I181" s="22">
        <f>_xlfn.LET(
    _xlpm.可変bit数,--MID(H181,FIND("(",H181)+1,FIND(")",H181)-FIND("(",H181)-1),
    _xlfn.XLOOKUP(
        $H181,
        型とバイト数!$B$3:$B$53,
        型とバイト数!$E$3:$E$53,
        IF(LEFT($H181,7)="varchar",_xlpm.可変bit数*8,
            IF(LEFT($H181,3)="bit",_xlpm.可変bit数,"???"))
    )
)</f>
        <v>256</v>
      </c>
      <c r="J181" s="22"/>
      <c r="K181" s="22"/>
      <c r="L181" s="24"/>
      <c r="M181" s="22" t="str">
        <f>IF(K181="","",IF(L181="","参照先未定義",_xlfn.XLOOKUP(L181,B:B,C:C,"エラー")))</f>
        <v/>
      </c>
      <c r="N181" s="22" t="s">
        <v>52</v>
      </c>
      <c r="O181" s="22"/>
      <c r="P181" s="22" t="s">
        <v>125</v>
      </c>
      <c r="Q181" s="22"/>
      <c r="R181" s="24"/>
      <c r="S181" s="24"/>
      <c r="T181" s="24"/>
      <c r="U181" s="22" t="s">
        <v>126</v>
      </c>
    </row>
    <row r="182" spans="1:21" ht="18.75" customHeight="1" x14ac:dyDescent="0.25">
      <c r="A182" s="24" t="s">
        <v>47</v>
      </c>
      <c r="B182" s="24" t="str">
        <f t="shared" si="0"/>
        <v>report_reason_update_datetime</v>
      </c>
      <c r="C182" s="25">
        <f t="shared" si="1"/>
        <v>181</v>
      </c>
      <c r="D182" s="22" t="str">
        <f t="shared" ref="D182:E182" si="166">D181</f>
        <v>report_reason</v>
      </c>
      <c r="E182" s="22" t="str">
        <f t="shared" si="166"/>
        <v>通報理由</v>
      </c>
      <c r="F182" s="22" t="s">
        <v>127</v>
      </c>
      <c r="G182" s="22" t="s">
        <v>128</v>
      </c>
      <c r="H182" s="22" t="s">
        <v>78</v>
      </c>
      <c r="I182" s="22">
        <f>_xlfn.LET(
    _xlpm.可変bit数,--MID(H182,FIND("(",H182)+1,FIND(")",H182)-FIND("(",H182)-1),
    _xlfn.XLOOKUP(
        $H182,
        型とバイト数!$B$3:$B$53,
        型とバイト数!$E$3:$E$53,
        IF(LEFT($H182,7)="varchar",_xlpm.可変bit数*8,
            IF(LEFT($H182,3)="bit",_xlpm.可変bit数,"???"))
    )
)</f>
        <v>64</v>
      </c>
      <c r="J182" s="22"/>
      <c r="K182" s="22"/>
      <c r="L182" s="24"/>
      <c r="M182" s="22" t="str">
        <f>IF(K182="","",IF(L182="","参照先未定義",_xlfn.XLOOKUP(L182,B:B,C:C,"エラー")))</f>
        <v/>
      </c>
      <c r="N182" s="22" t="s">
        <v>52</v>
      </c>
      <c r="O182" s="22"/>
      <c r="P182" s="22" t="s">
        <v>122</v>
      </c>
      <c r="Q182" s="22"/>
      <c r="R182" s="24"/>
      <c r="S182" s="24"/>
      <c r="T182" s="24"/>
      <c r="U182" s="22"/>
    </row>
    <row r="183" spans="1:21" ht="18.75" customHeight="1" x14ac:dyDescent="0.25">
      <c r="A183" s="24" t="s">
        <v>47</v>
      </c>
      <c r="B183" s="24" t="str">
        <f t="shared" si="0"/>
        <v>report_reason_update_user</v>
      </c>
      <c r="C183" s="25">
        <f t="shared" si="1"/>
        <v>182</v>
      </c>
      <c r="D183" s="22" t="str">
        <f t="shared" ref="D183:E183" si="167">D182</f>
        <v>report_reason</v>
      </c>
      <c r="E183" s="22" t="str">
        <f t="shared" si="167"/>
        <v>通報理由</v>
      </c>
      <c r="F183" s="22" t="s">
        <v>129</v>
      </c>
      <c r="G183" s="22" t="s">
        <v>130</v>
      </c>
      <c r="H183" s="22" t="s">
        <v>75</v>
      </c>
      <c r="I183" s="22">
        <f>_xlfn.LET(
    _xlpm.可変bit数,--MID(H183,FIND("(",H183)+1,FIND(")",H183)-FIND("(",H183)-1),
    _xlfn.XLOOKUP(
        $H183,
        型とバイト数!$B$3:$B$53,
        型とバイト数!$E$3:$E$53,
        IF(LEFT($H183,7)="varchar",_xlpm.可変bit数*8,
            IF(LEFT($H183,3)="bit",_xlpm.可変bit数,"???"))
    )
)</f>
        <v>256</v>
      </c>
      <c r="J183" s="22"/>
      <c r="K183" s="22"/>
      <c r="L183" s="24"/>
      <c r="M183" s="22" t="str">
        <f>IF(K183="","",IF(L183="","参照先未定義",_xlfn.XLOOKUP(L183,B:B,C:C,"エラー")))</f>
        <v/>
      </c>
      <c r="N183" s="22" t="s">
        <v>52</v>
      </c>
      <c r="O183" s="22"/>
      <c r="P183" s="22" t="s">
        <v>125</v>
      </c>
      <c r="Q183" s="22"/>
      <c r="R183" s="24"/>
      <c r="S183" s="24"/>
      <c r="T183" s="24"/>
      <c r="U183" s="22" t="s">
        <v>126</v>
      </c>
    </row>
    <row r="184" spans="1:21" ht="18.75" customHeight="1" x14ac:dyDescent="0.25">
      <c r="A184" s="24" t="s">
        <v>47</v>
      </c>
      <c r="B184" s="24" t="str">
        <f t="shared" si="0"/>
        <v>report_reason_soft_delete_flag</v>
      </c>
      <c r="C184" s="25">
        <f t="shared" si="1"/>
        <v>183</v>
      </c>
      <c r="D184" s="22" t="str">
        <f t="shared" ref="D184:E184" si="168">D183</f>
        <v>report_reason</v>
      </c>
      <c r="E184" s="22" t="str">
        <f t="shared" si="168"/>
        <v>通報理由</v>
      </c>
      <c r="F184" s="22" t="s">
        <v>131</v>
      </c>
      <c r="G184" s="22" t="s">
        <v>132</v>
      </c>
      <c r="H184" s="22" t="s">
        <v>133</v>
      </c>
      <c r="I184" s="22">
        <f>_xlfn.LET(
    _xlpm.可変bit数,--MID(H184,FIND("(",H184)+1,FIND(")",H184)-FIND("(",H184)-1),
    _xlfn.XLOOKUP(
        $H184,
        型とバイト数!$B$3:$B$53,
        型とバイト数!$E$3:$E$53,
        IF(LEFT($H184,7)="varchar",_xlpm.可変bit数*8,
            IF(LEFT($H184,3)="bit",_xlpm.可変bit数,"???"))
    )
)</f>
        <v>1</v>
      </c>
      <c r="J184" s="22"/>
      <c r="K184" s="22"/>
      <c r="L184" s="24"/>
      <c r="M184" s="22" t="str">
        <f>IF(K184="","",IF(L184="","参照先未定義",_xlfn.XLOOKUP(L184,B:B,C:C,"エラー")))</f>
        <v/>
      </c>
      <c r="N184" s="22" t="s">
        <v>52</v>
      </c>
      <c r="O184" s="22"/>
      <c r="P184" s="22">
        <v>0</v>
      </c>
      <c r="Q184" s="22"/>
      <c r="R184" s="24"/>
      <c r="S184" s="24"/>
      <c r="T184" s="24"/>
      <c r="U184" s="22"/>
    </row>
    <row r="185" spans="1:21" ht="18.75" customHeight="1" x14ac:dyDescent="0.25">
      <c r="A185" s="24" t="s">
        <v>47</v>
      </c>
      <c r="B185" s="24" t="str">
        <f t="shared" si="0"/>
        <v>report_reason_hard_delete_flag</v>
      </c>
      <c r="C185" s="25">
        <f t="shared" si="1"/>
        <v>184</v>
      </c>
      <c r="D185" s="22" t="str">
        <f t="shared" ref="D185:E185" si="169">D184</f>
        <v>report_reason</v>
      </c>
      <c r="E185" s="22" t="str">
        <f t="shared" si="169"/>
        <v>通報理由</v>
      </c>
      <c r="F185" s="22" t="s">
        <v>134</v>
      </c>
      <c r="G185" s="22" t="s">
        <v>135</v>
      </c>
      <c r="H185" s="22" t="s">
        <v>133</v>
      </c>
      <c r="I185" s="22">
        <f>_xlfn.LET(
    _xlpm.可変bit数,--MID(H185,FIND("(",H185)+1,FIND(")",H185)-FIND("(",H185)-1),
    _xlfn.XLOOKUP(
        $H185,
        型とバイト数!$B$3:$B$53,
        型とバイト数!$E$3:$E$53,
        IF(LEFT($H185,7)="varchar",_xlpm.可変bit数*8,
            IF(LEFT($H185,3)="bit",_xlpm.可変bit数,"???"))
    )
)</f>
        <v>1</v>
      </c>
      <c r="J185" s="22"/>
      <c r="K185" s="22"/>
      <c r="L185" s="24"/>
      <c r="M185" s="22" t="str">
        <f>IF(K185="","",IF(L185="","参照先未定義",_xlfn.XLOOKUP(L185,B:B,C:C,"エラー")))</f>
        <v/>
      </c>
      <c r="N185" s="22" t="s">
        <v>52</v>
      </c>
      <c r="O185" s="22"/>
      <c r="P185" s="22">
        <v>0</v>
      </c>
      <c r="Q185" s="22"/>
      <c r="R185" s="24"/>
      <c r="S185" s="24"/>
      <c r="T185" s="24"/>
      <c r="U185" s="22"/>
    </row>
    <row r="186" spans="1:21" ht="18.75" customHeight="1" x14ac:dyDescent="0.25">
      <c r="A186" s="24" t="s">
        <v>47</v>
      </c>
      <c r="B186" s="24" t="str">
        <f t="shared" si="0"/>
        <v>user_uuid</v>
      </c>
      <c r="C186" s="25">
        <f t="shared" si="1"/>
        <v>185</v>
      </c>
      <c r="D186" s="22" t="s">
        <v>258</v>
      </c>
      <c r="E186" s="22" t="s">
        <v>259</v>
      </c>
      <c r="F186" s="22" t="s">
        <v>50</v>
      </c>
      <c r="G186" s="22" t="s">
        <v>51</v>
      </c>
      <c r="H186" s="22" t="s">
        <v>50</v>
      </c>
      <c r="I186" s="22">
        <f>_xlfn.LET(
    _xlpm.可変bit数,--MID(H186,FIND("(",H186)+1,FIND(")",H186)-FIND("(",H186)-1),
    _xlfn.XLOOKUP(
        $H186,
        型とバイト数!$B$3:$B$53,
        型とバイト数!$E$3:$E$53,
        IF(LEFT($H186,7)="varchar",_xlpm.可変bit数*8,
            IF(LEFT($H186,3)="bit",_xlpm.可変bit数,"???"))
    )
)</f>
        <v>128</v>
      </c>
      <c r="J186" s="22" t="s">
        <v>52</v>
      </c>
      <c r="K186" s="22"/>
      <c r="L186" s="24"/>
      <c r="M186" s="22" t="str">
        <f>IF(K186="","",IF(L186="","参照先未定義",_xlfn.XLOOKUP(L186,B:B,C:C,"エラー")))</f>
        <v/>
      </c>
      <c r="N186" s="22" t="s">
        <v>52</v>
      </c>
      <c r="O186" s="22" t="s">
        <v>52</v>
      </c>
      <c r="P186" s="22" t="s">
        <v>53</v>
      </c>
      <c r="Q186" s="22"/>
      <c r="R186" s="24"/>
      <c r="S186" s="24"/>
      <c r="T186" s="24"/>
      <c r="U186" s="22"/>
    </row>
    <row r="187" spans="1:21" ht="18.75" customHeight="1" x14ac:dyDescent="0.25">
      <c r="A187" s="24" t="s">
        <v>47</v>
      </c>
      <c r="B187" s="24" t="str">
        <f t="shared" si="0"/>
        <v>user_user_id</v>
      </c>
      <c r="C187" s="25">
        <f t="shared" si="1"/>
        <v>186</v>
      </c>
      <c r="D187" s="22" t="str">
        <f t="shared" ref="D187:E187" si="170">D186</f>
        <v>user</v>
      </c>
      <c r="E187" s="22" t="str">
        <f t="shared" si="170"/>
        <v>ユーザー</v>
      </c>
      <c r="F187" s="22" t="s">
        <v>59</v>
      </c>
      <c r="G187" s="22" t="s">
        <v>60</v>
      </c>
      <c r="H187" s="22" t="s">
        <v>56</v>
      </c>
      <c r="I187" s="22">
        <f>_xlfn.LET(
    _xlpm.可変bit数,--MID(H187,FIND("(",H187)+1,FIND(")",H187)-FIND("(",H187)-1),
    _xlfn.XLOOKUP(
        $H187,
        型とバイト数!$B$3:$B$53,
        型とバイト数!$E$3:$E$53,
        IF(LEFT($H187,7)="varchar",_xlpm.可変bit数*8,
            IF(LEFT($H187,3)="bit",_xlpm.可変bit数,"???"))
    )
)</f>
        <v>64</v>
      </c>
      <c r="J187" s="22" t="s">
        <v>52</v>
      </c>
      <c r="K187" s="22"/>
      <c r="L187" s="24"/>
      <c r="M187" s="22" t="str">
        <f>IF(K187="","",IF(L187="","参照先未定義",_xlfn.XLOOKUP(L187,B:B,C:C,"エラー")))</f>
        <v/>
      </c>
      <c r="N187" s="22"/>
      <c r="O187" s="22" t="s">
        <v>52</v>
      </c>
      <c r="P187" s="22" t="s">
        <v>57</v>
      </c>
      <c r="Q187" s="22"/>
      <c r="R187" s="24"/>
      <c r="S187" s="24"/>
      <c r="T187" s="24"/>
      <c r="U187" s="22"/>
    </row>
    <row r="188" spans="1:21" ht="18.75" customHeight="1" x14ac:dyDescent="0.25">
      <c r="A188" s="24" t="s">
        <v>47</v>
      </c>
      <c r="B188" s="24" t="str">
        <f t="shared" si="0"/>
        <v>user_user_name</v>
      </c>
      <c r="C188" s="25">
        <f t="shared" si="1"/>
        <v>187</v>
      </c>
      <c r="D188" s="22" t="str">
        <f t="shared" ref="D188:E188" si="171">D187</f>
        <v>user</v>
      </c>
      <c r="E188" s="22" t="str">
        <f t="shared" si="171"/>
        <v>ユーザー</v>
      </c>
      <c r="F188" s="22" t="s">
        <v>169</v>
      </c>
      <c r="G188" s="22" t="s">
        <v>170</v>
      </c>
      <c r="H188" s="22" t="s">
        <v>71</v>
      </c>
      <c r="I188" s="22">
        <f>_xlfn.LET(
    _xlpm.可変bit数,--MID(H188,FIND("(",H188)+1,FIND(")",H188)-FIND("(",H188)-1),
    _xlfn.XLOOKUP(
        $H188,
        型とバイト数!$B$3:$B$53,
        型とバイト数!$E$3:$E$53,
        IF(LEFT($H188,7)="varchar",_xlpm.可変bit数*8,
            IF(LEFT($H188,3)="bit",_xlpm.可変bit数,"???"))
    )
)</f>
        <v>512</v>
      </c>
      <c r="J188" s="22"/>
      <c r="K188" s="22"/>
      <c r="L188" s="24"/>
      <c r="M188" s="22" t="str">
        <f>IF(K188="","",IF(L188="","参照先未定義",_xlfn.XLOOKUP(L188,B:B,C:C,"エラー")))</f>
        <v/>
      </c>
      <c r="N188" s="22"/>
      <c r="O188" s="22"/>
      <c r="P188" s="22"/>
      <c r="Q188" s="22"/>
      <c r="R188" s="24"/>
      <c r="S188" s="24"/>
      <c r="T188" s="24"/>
      <c r="U188" s="22"/>
    </row>
    <row r="189" spans="1:21" ht="18.75" customHeight="1" x14ac:dyDescent="0.25">
      <c r="A189" s="24" t="s">
        <v>47</v>
      </c>
      <c r="B189" s="24" t="str">
        <f t="shared" si="0"/>
        <v>user_user_role_physical_name</v>
      </c>
      <c r="C189" s="25">
        <f t="shared" si="1"/>
        <v>188</v>
      </c>
      <c r="D189" s="22" t="str">
        <f t="shared" ref="D189:E189" si="172">D188</f>
        <v>user</v>
      </c>
      <c r="E189" s="22" t="str">
        <f t="shared" si="172"/>
        <v>ユーザー</v>
      </c>
      <c r="F189" s="22" t="s">
        <v>260</v>
      </c>
      <c r="G189" s="22" t="s">
        <v>261</v>
      </c>
      <c r="H189" s="22" t="s">
        <v>56</v>
      </c>
      <c r="I189" s="22">
        <f>_xlfn.LET(
    _xlpm.可変bit数,--MID(H189,FIND("(",H189)+1,FIND(")",H189)-FIND("(",H189)-1),
    _xlfn.XLOOKUP(
        $H189,
        型とバイト数!$B$3:$B$53,
        型とバイト数!$E$3:$E$53,
        IF(LEFT($H189,7)="varchar",_xlpm.可変bit数*8,
            IF(LEFT($H189,3)="bit",_xlpm.可変bit数,"???"))
    )
)</f>
        <v>64</v>
      </c>
      <c r="J189" s="22"/>
      <c r="K189" s="22" t="s">
        <v>52</v>
      </c>
      <c r="L189" s="24" t="s">
        <v>262</v>
      </c>
      <c r="M189" s="22">
        <f>IF(K189="","",IF(L189="","参照先未定義",_xlfn.XLOOKUP(L189,B:B,C:C,"エラー")))</f>
        <v>214</v>
      </c>
      <c r="N189" s="22"/>
      <c r="O189" s="22"/>
      <c r="P189" s="22"/>
      <c r="Q189" s="22"/>
      <c r="R189" s="24"/>
      <c r="S189" s="24"/>
      <c r="T189" s="24"/>
      <c r="U189" s="22"/>
    </row>
    <row r="190" spans="1:21" ht="18.75" customHeight="1" x14ac:dyDescent="0.25">
      <c r="A190" s="24" t="s">
        <v>47</v>
      </c>
      <c r="B190" s="24" t="str">
        <f t="shared" si="0"/>
        <v>user_user_name_hidden_flag</v>
      </c>
      <c r="C190" s="25">
        <f t="shared" si="1"/>
        <v>189</v>
      </c>
      <c r="D190" s="22" t="str">
        <f t="shared" ref="D190:E190" si="173">D189</f>
        <v>user</v>
      </c>
      <c r="E190" s="22" t="str">
        <f t="shared" si="173"/>
        <v>ユーザー</v>
      </c>
      <c r="F190" s="22" t="s">
        <v>263</v>
      </c>
      <c r="G190" s="22" t="s">
        <v>264</v>
      </c>
      <c r="H190" s="22" t="s">
        <v>133</v>
      </c>
      <c r="I190" s="22">
        <f>_xlfn.LET(
    _xlpm.可変bit数,--MID(H190,FIND("(",H190)+1,FIND(")",H190)-FIND("(",H190)-1),
    _xlfn.XLOOKUP(
        $H190,
        型とバイト数!$B$3:$B$53,
        型とバイト数!$E$3:$E$53,
        IF(LEFT($H190,7)="varchar",_xlpm.可変bit数*8,
            IF(LEFT($H190,3)="bit",_xlpm.可変bit数,"???"))
    )
)</f>
        <v>1</v>
      </c>
      <c r="J190" s="22"/>
      <c r="K190" s="22"/>
      <c r="L190" s="24"/>
      <c r="M190" s="22" t="str">
        <f>IF(K190="","",IF(L190="","参照先未定義",_xlfn.XLOOKUP(L190,B:B,C:C,"エラー")))</f>
        <v/>
      </c>
      <c r="N190" s="22" t="s">
        <v>52</v>
      </c>
      <c r="O190" s="22"/>
      <c r="P190" s="22">
        <v>0</v>
      </c>
      <c r="Q190" s="22" t="s">
        <v>265</v>
      </c>
      <c r="R190" s="24"/>
      <c r="S190" s="24"/>
      <c r="T190" s="24"/>
      <c r="U190" s="22"/>
    </row>
    <row r="191" spans="1:21" ht="18.75" customHeight="1" x14ac:dyDescent="0.25">
      <c r="A191" s="24" t="s">
        <v>47</v>
      </c>
      <c r="B191" s="24" t="str">
        <f t="shared" si="0"/>
        <v>user_login_service</v>
      </c>
      <c r="C191" s="25">
        <f t="shared" si="1"/>
        <v>190</v>
      </c>
      <c r="D191" s="22" t="str">
        <f t="shared" ref="D191:E191" si="174">D190</f>
        <v>user</v>
      </c>
      <c r="E191" s="22" t="str">
        <f t="shared" si="174"/>
        <v>ユーザー</v>
      </c>
      <c r="F191" s="22" t="s">
        <v>266</v>
      </c>
      <c r="G191" s="22" t="s">
        <v>267</v>
      </c>
      <c r="H191" s="22" t="s">
        <v>161</v>
      </c>
      <c r="I191" s="22">
        <f>_xlfn.LET(
    _xlpm.可変bit数,--MID(H191,FIND("(",H191)+1,FIND(")",H191)-FIND("(",H191)-1),
    _xlfn.XLOOKUP(
        $H191,
        型とバイト数!$B$3:$B$53,
        型とバイト数!$E$3:$E$53,
        IF(LEFT($H191,7)="varchar",_xlpm.可変bit数*8,
            IF(LEFT($H191,3)="bit",_xlpm.可変bit数,"???"))
    )
)</f>
        <v>72</v>
      </c>
      <c r="J191" s="22"/>
      <c r="K191" s="22" t="s">
        <v>52</v>
      </c>
      <c r="L191" s="24" t="s">
        <v>162</v>
      </c>
      <c r="M191" s="22">
        <f>IF(K191="","",IF(L191="","参照先未定義",_xlfn.XLOOKUP(L191,B:B,C:C,"エラー")))</f>
        <v>153</v>
      </c>
      <c r="N191" s="22"/>
      <c r="O191" s="22"/>
      <c r="P191" s="22"/>
      <c r="Q191" s="22"/>
      <c r="R191" s="24"/>
      <c r="S191" s="24"/>
      <c r="T191" s="24"/>
      <c r="U191" s="22"/>
    </row>
    <row r="192" spans="1:21" ht="18.75" customHeight="1" x14ac:dyDescent="0.25">
      <c r="A192" s="24" t="s">
        <v>47</v>
      </c>
      <c r="B192" s="24" t="str">
        <f t="shared" si="0"/>
        <v>user_register_date</v>
      </c>
      <c r="C192" s="25">
        <f t="shared" si="1"/>
        <v>191</v>
      </c>
      <c r="D192" s="22" t="str">
        <f t="shared" ref="D192:E192" si="175">D191</f>
        <v>user</v>
      </c>
      <c r="E192" s="22" t="str">
        <f t="shared" si="175"/>
        <v>ユーザー</v>
      </c>
      <c r="F192" s="22" t="s">
        <v>268</v>
      </c>
      <c r="G192" s="22" t="s">
        <v>269</v>
      </c>
      <c r="H192" s="22" t="s">
        <v>78</v>
      </c>
      <c r="I192" s="22">
        <f>_xlfn.LET(
    _xlpm.可変bit数,--MID(H192,FIND("(",H192)+1,FIND(")",H192)-FIND("(",H192)-1),
    _xlfn.XLOOKUP(
        $H192,
        型とバイト数!$B$3:$B$53,
        型とバイト数!$E$3:$E$53,
        IF(LEFT($H192,7)="varchar",_xlpm.可変bit数*8,
            IF(LEFT($H192,3)="bit",_xlpm.可変bit数,"???"))
    )
)</f>
        <v>64</v>
      </c>
      <c r="J192" s="22"/>
      <c r="K192" s="22"/>
      <c r="L192" s="24"/>
      <c r="M192" s="22" t="str">
        <f>IF(K192="","",IF(L192="","参照先未定義",_xlfn.XLOOKUP(L192,B:B,C:C,"エラー")))</f>
        <v/>
      </c>
      <c r="N192" s="22" t="s">
        <v>52</v>
      </c>
      <c r="O192" s="22"/>
      <c r="P192" s="22" t="s">
        <v>122</v>
      </c>
      <c r="Q192" s="22"/>
      <c r="R192" s="24"/>
      <c r="S192" s="24"/>
      <c r="T192" s="24"/>
      <c r="U192" s="22"/>
    </row>
    <row r="193" spans="1:21" ht="18.75" customHeight="1" x14ac:dyDescent="0.25">
      <c r="A193" s="24" t="s">
        <v>47</v>
      </c>
      <c r="B193" s="24" t="str">
        <f t="shared" si="0"/>
        <v>user_lgtm_user_get_count</v>
      </c>
      <c r="C193" s="25">
        <f t="shared" si="1"/>
        <v>192</v>
      </c>
      <c r="D193" s="22" t="str">
        <f t="shared" ref="D193:E193" si="176">D192</f>
        <v>user</v>
      </c>
      <c r="E193" s="22" t="str">
        <f t="shared" si="176"/>
        <v>ユーザー</v>
      </c>
      <c r="F193" s="22" t="s">
        <v>270</v>
      </c>
      <c r="G193" s="22" t="s">
        <v>271</v>
      </c>
      <c r="H193" s="29" t="s">
        <v>113</v>
      </c>
      <c r="I193" s="22">
        <f>_xlfn.LET(
    _xlpm.可変bit数,--MID(H193,FIND("(",H193)+1,FIND(")",H193)-FIND("(",H193)-1),
    _xlfn.XLOOKUP(
        $H193,
        型とバイト数!$B$3:$B$53,
        型とバイト数!$E$3:$E$53,
        IF(LEFT($H193,7)="varchar",_xlpm.可変bit数*8,
            IF(LEFT($H193,3)="bit",_xlpm.可変bit数,"???"))
    )
)</f>
        <v>32</v>
      </c>
      <c r="J193" s="22"/>
      <c r="K193" s="22"/>
      <c r="L193" s="24"/>
      <c r="M193" s="22" t="str">
        <f>IF(K193="","",IF(L193="","参照先未定義",_xlfn.XLOOKUP(L193,B:B,C:C,"エラー")))</f>
        <v/>
      </c>
      <c r="N193" s="22" t="s">
        <v>52</v>
      </c>
      <c r="O193" s="22"/>
      <c r="P193" s="22">
        <v>0</v>
      </c>
      <c r="Q193" s="22"/>
      <c r="R193" s="24"/>
      <c r="S193" s="24"/>
      <c r="T193" s="24"/>
      <c r="U193" s="22"/>
    </row>
    <row r="194" spans="1:21" ht="18.75" customHeight="1" x14ac:dyDescent="0.25">
      <c r="A194" s="24" t="s">
        <v>47</v>
      </c>
      <c r="B194" s="24" t="str">
        <f t="shared" si="0"/>
        <v>user_lgtm_vtuber_get_count</v>
      </c>
      <c r="C194" s="25">
        <f t="shared" si="1"/>
        <v>193</v>
      </c>
      <c r="D194" s="22" t="str">
        <f t="shared" ref="D194:E194" si="177">D193</f>
        <v>user</v>
      </c>
      <c r="E194" s="22" t="str">
        <f t="shared" si="177"/>
        <v>ユーザー</v>
      </c>
      <c r="F194" s="22" t="s">
        <v>272</v>
      </c>
      <c r="G194" s="22" t="s">
        <v>273</v>
      </c>
      <c r="H194" s="29" t="s">
        <v>113</v>
      </c>
      <c r="I194" s="22">
        <f>_xlfn.LET(
    _xlpm.可変bit数,--MID(H194,FIND("(",H194)+1,FIND(")",H194)-FIND("(",H194)-1),
    _xlfn.XLOOKUP(
        $H194,
        型とバイト数!$B$3:$B$53,
        型とバイト数!$E$3:$E$53,
        IF(LEFT($H194,7)="varchar",_xlpm.可変bit数*8,
            IF(LEFT($H194,3)="bit",_xlpm.可変bit数,"???"))
    )
)</f>
        <v>32</v>
      </c>
      <c r="J194" s="22"/>
      <c r="K194" s="22"/>
      <c r="L194" s="24"/>
      <c r="M194" s="22" t="str">
        <f>IF(K194="","",IF(L194="","参照先未定義",_xlfn.XLOOKUP(L194,B:B,C:C,"エラー")))</f>
        <v/>
      </c>
      <c r="N194" s="22" t="s">
        <v>52</v>
      </c>
      <c r="O194" s="22"/>
      <c r="P194" s="22">
        <v>0</v>
      </c>
      <c r="Q194" s="22"/>
      <c r="R194" s="24"/>
      <c r="S194" s="24"/>
      <c r="T194" s="24"/>
      <c r="U194" s="22"/>
    </row>
    <row r="195" spans="1:21" ht="18.75" customHeight="1" x14ac:dyDescent="0.25">
      <c r="A195" s="24" t="s">
        <v>47</v>
      </c>
      <c r="B195" s="24" t="str">
        <f t="shared" si="0"/>
        <v>user_lgtm_vtuber_do_count</v>
      </c>
      <c r="C195" s="25">
        <f t="shared" si="1"/>
        <v>194</v>
      </c>
      <c r="D195" s="22" t="str">
        <f t="shared" ref="D195:E195" si="178">D194</f>
        <v>user</v>
      </c>
      <c r="E195" s="22" t="str">
        <f t="shared" si="178"/>
        <v>ユーザー</v>
      </c>
      <c r="F195" s="22" t="s">
        <v>274</v>
      </c>
      <c r="G195" s="22" t="s">
        <v>275</v>
      </c>
      <c r="H195" s="29" t="s">
        <v>113</v>
      </c>
      <c r="I195" s="22">
        <f>_xlfn.LET(
    _xlpm.可変bit数,--MID(H195,FIND("(",H195)+1,FIND(")",H195)-FIND("(",H195)-1),
    _xlfn.XLOOKUP(
        $H195,
        型とバイト数!$B$3:$B$53,
        型とバイト数!$E$3:$E$53,
        IF(LEFT($H195,7)="varchar",_xlpm.可変bit数*8,
            IF(LEFT($H195,3)="bit",_xlpm.可変bit数,"???"))
    )
)</f>
        <v>32</v>
      </c>
      <c r="J195" s="22"/>
      <c r="K195" s="22"/>
      <c r="L195" s="24"/>
      <c r="M195" s="22" t="str">
        <f>IF(K195="","",IF(L195="","参照先未定義",_xlfn.XLOOKUP(L195,B:B,C:C,"エラー")))</f>
        <v/>
      </c>
      <c r="N195" s="22" t="s">
        <v>52</v>
      </c>
      <c r="O195" s="22"/>
      <c r="P195" s="22">
        <v>0</v>
      </c>
      <c r="Q195" s="22"/>
      <c r="R195" s="24"/>
      <c r="S195" s="24"/>
      <c r="T195" s="24"/>
      <c r="U195" s="22"/>
    </row>
    <row r="196" spans="1:21" ht="18.75" customHeight="1" x14ac:dyDescent="0.25">
      <c r="A196" s="24" t="s">
        <v>47</v>
      </c>
      <c r="B196" s="24" t="str">
        <f t="shared" si="0"/>
        <v>user_lgtm_user_do_count</v>
      </c>
      <c r="C196" s="25">
        <f t="shared" si="1"/>
        <v>195</v>
      </c>
      <c r="D196" s="22" t="str">
        <f t="shared" ref="D196:E197" si="179">D195</f>
        <v>user</v>
      </c>
      <c r="E196" s="22" t="str">
        <f t="shared" si="179"/>
        <v>ユーザー</v>
      </c>
      <c r="F196" s="22" t="s">
        <v>276</v>
      </c>
      <c r="G196" s="22" t="s">
        <v>277</v>
      </c>
      <c r="H196" s="29" t="s">
        <v>113</v>
      </c>
      <c r="I196" s="22">
        <f>_xlfn.LET(
    _xlpm.可変bit数,--MID(H196,FIND("(",H196)+1,FIND(")",H196)-FIND("(",H196)-1),
    _xlfn.XLOOKUP(
        $H196,
        型とバイト数!$B$3:$B$53,
        型とバイト数!$E$3:$E$53,
        IF(LEFT($H196,7)="varchar",_xlpm.可変bit数*8,
            IF(LEFT($H196,3)="bit",_xlpm.可変bit数,"???"))
    )
)</f>
        <v>32</v>
      </c>
      <c r="J196" s="22"/>
      <c r="K196" s="22"/>
      <c r="L196" s="24"/>
      <c r="M196" s="22" t="str">
        <f>IF(K196="","",IF(L196="","参照先未定義",_xlfn.XLOOKUP(L196,B:B,C:C,"エラー")))</f>
        <v/>
      </c>
      <c r="N196" s="22" t="s">
        <v>52</v>
      </c>
      <c r="O196" s="22"/>
      <c r="P196" s="22">
        <v>0</v>
      </c>
      <c r="Q196" s="22"/>
      <c r="R196" s="24"/>
      <c r="S196" s="24"/>
      <c r="T196" s="24"/>
      <c r="U196" s="22"/>
    </row>
    <row r="197" spans="1:21" ht="18.75" customHeight="1" x14ac:dyDescent="0.25">
      <c r="A197" s="24" t="s">
        <v>47</v>
      </c>
      <c r="B197" s="24" t="str">
        <f t="shared" si="0"/>
        <v>user_disp_theme</v>
      </c>
      <c r="C197" s="25">
        <f t="shared" si="1"/>
        <v>196</v>
      </c>
      <c r="D197" s="22" t="str">
        <f t="shared" si="179"/>
        <v>user</v>
      </c>
      <c r="E197" s="22" t="str">
        <f t="shared" si="179"/>
        <v>ユーザー</v>
      </c>
      <c r="F197" s="22" t="s">
        <v>278</v>
      </c>
      <c r="G197" s="22" t="s">
        <v>279</v>
      </c>
      <c r="H197" s="22" t="s">
        <v>84</v>
      </c>
      <c r="I197" s="22">
        <f>_xlfn.LET(
    _xlpm.可変bit数,--MID(H197,FIND("(",H197)+1,FIND(")",H197)-FIND("(",H197)-1),
    _xlfn.XLOOKUP(
        $H197,
        型とバイト数!$B$3:$B$53,
        型とバイト数!$E$3:$E$53,
        IF(LEFT($H197,7)="varchar",_xlpm.可変bit数*8,
            IF(LEFT($H197,3)="bit",_xlpm.可変bit数,"???"))
    )
)</f>
        <v>128</v>
      </c>
      <c r="J197" s="22"/>
      <c r="K197" s="22" t="s">
        <v>52</v>
      </c>
      <c r="L197" s="24" t="s">
        <v>280</v>
      </c>
      <c r="M197" s="22">
        <f>IF(K197="","",IF(L197="","参照先未定義",_xlfn.XLOOKUP(L197,B:B,C:C,"エラー")))</f>
        <v>205</v>
      </c>
      <c r="N197" s="22" t="s">
        <v>52</v>
      </c>
      <c r="O197" s="22"/>
      <c r="P197" s="22">
        <v>0</v>
      </c>
      <c r="Q197" s="22"/>
      <c r="R197" s="24"/>
      <c r="S197" s="24"/>
      <c r="T197" s="24"/>
      <c r="U197" s="22"/>
    </row>
    <row r="198" spans="1:21" ht="18.75" customHeight="1" x14ac:dyDescent="0.25">
      <c r="A198" s="24" t="s">
        <v>47</v>
      </c>
      <c r="B198" s="24" t="str">
        <f t="shared" si="0"/>
        <v>user_language</v>
      </c>
      <c r="C198" s="25">
        <f t="shared" si="1"/>
        <v>197</v>
      </c>
      <c r="D198" s="22" t="str">
        <f t="shared" ref="D198:E198" si="180">D197</f>
        <v>user</v>
      </c>
      <c r="E198" s="22" t="str">
        <f t="shared" si="180"/>
        <v>ユーザー</v>
      </c>
      <c r="F198" s="22" t="s">
        <v>209</v>
      </c>
      <c r="G198" s="22" t="s">
        <v>210</v>
      </c>
      <c r="H198" s="22" t="s">
        <v>84</v>
      </c>
      <c r="I198" s="22">
        <f>_xlfn.LET(
    _xlpm.可変bit数,--MID(H198,FIND("(",H198)+1,FIND(")",H198)-FIND("(",H198)-1),
    _xlfn.XLOOKUP(
        $H198,
        型とバイト数!$B$3:$B$53,
        型とバイト数!$E$3:$E$53,
        IF(LEFT($H198,7)="varchar",_xlpm.可変bit数*8,
            IF(LEFT($H198,3)="bit",_xlpm.可変bit数,"???"))
    )
)</f>
        <v>128</v>
      </c>
      <c r="J198" s="22"/>
      <c r="K198" s="22" t="s">
        <v>52</v>
      </c>
      <c r="L198" s="24" t="s">
        <v>223</v>
      </c>
      <c r="M198" s="22">
        <f>IF(K198="","",IF(L198="","参照先未定義",_xlfn.XLOOKUP(L198,B:B,C:C,"エラー")))</f>
        <v>132</v>
      </c>
      <c r="N198" s="22" t="s">
        <v>52</v>
      </c>
      <c r="O198" s="22"/>
      <c r="P198" s="22">
        <v>0</v>
      </c>
      <c r="Q198" s="22"/>
      <c r="R198" s="24"/>
      <c r="S198" s="24"/>
      <c r="T198" s="24"/>
      <c r="U198" s="22"/>
    </row>
    <row r="199" spans="1:21" ht="18.75" customHeight="1" x14ac:dyDescent="0.25">
      <c r="A199" s="24" t="s">
        <v>47</v>
      </c>
      <c r="B199" s="24" t="str">
        <f t="shared" si="0"/>
        <v>user_create_datetime</v>
      </c>
      <c r="C199" s="25">
        <f t="shared" si="1"/>
        <v>198</v>
      </c>
      <c r="D199" s="22" t="str">
        <f t="shared" ref="D199:E199" si="181">D198</f>
        <v>user</v>
      </c>
      <c r="E199" s="22" t="str">
        <f t="shared" si="181"/>
        <v>ユーザー</v>
      </c>
      <c r="F199" s="22" t="s">
        <v>120</v>
      </c>
      <c r="G199" s="22" t="s">
        <v>121</v>
      </c>
      <c r="H199" s="22" t="s">
        <v>78</v>
      </c>
      <c r="I199" s="22">
        <f>_xlfn.LET(
    _xlpm.可変bit数,--MID(H199,FIND("(",H199)+1,FIND(")",H199)-FIND("(",H199)-1),
    _xlfn.XLOOKUP(
        $H199,
        型とバイト数!$B$3:$B$53,
        型とバイト数!$E$3:$E$53,
        IF(LEFT($H199,7)="varchar",_xlpm.可変bit数*8,
            IF(LEFT($H199,3)="bit",_xlpm.可変bit数,"???"))
    )
)</f>
        <v>64</v>
      </c>
      <c r="J199" s="22"/>
      <c r="K199" s="22"/>
      <c r="L199" s="24"/>
      <c r="M199" s="22" t="str">
        <f>IF(K199="","",IF(L199="","参照先未定義",_xlfn.XLOOKUP(L199,B:B,C:C,"エラー")))</f>
        <v/>
      </c>
      <c r="N199" s="22" t="s">
        <v>52</v>
      </c>
      <c r="O199" s="22"/>
      <c r="P199" s="22" t="s">
        <v>122</v>
      </c>
      <c r="Q199" s="22"/>
      <c r="R199" s="24"/>
      <c r="S199" s="24"/>
      <c r="T199" s="24"/>
      <c r="U199" s="22"/>
    </row>
    <row r="200" spans="1:21" ht="18.75" customHeight="1" x14ac:dyDescent="0.25">
      <c r="A200" s="24" t="s">
        <v>47</v>
      </c>
      <c r="B200" s="24" t="str">
        <f t="shared" si="0"/>
        <v>user_create_user</v>
      </c>
      <c r="C200" s="25">
        <f t="shared" si="1"/>
        <v>199</v>
      </c>
      <c r="D200" s="22" t="str">
        <f t="shared" ref="D200:E200" si="182">D199</f>
        <v>user</v>
      </c>
      <c r="E200" s="22" t="str">
        <f t="shared" si="182"/>
        <v>ユーザー</v>
      </c>
      <c r="F200" s="22" t="s">
        <v>123</v>
      </c>
      <c r="G200" s="22" t="s">
        <v>124</v>
      </c>
      <c r="H200" s="22" t="s">
        <v>75</v>
      </c>
      <c r="I200" s="22">
        <f>_xlfn.LET(
    _xlpm.可変bit数,--MID(H200,FIND("(",H200)+1,FIND(")",H200)-FIND("(",H200)-1),
    _xlfn.XLOOKUP(
        $H200,
        型とバイト数!$B$3:$B$53,
        型とバイト数!$E$3:$E$53,
        IF(LEFT($H200,7)="varchar",_xlpm.可変bit数*8,
            IF(LEFT($H200,3)="bit",_xlpm.可変bit数,"???"))
    )
)</f>
        <v>256</v>
      </c>
      <c r="J200" s="22"/>
      <c r="K200" s="22"/>
      <c r="L200" s="24"/>
      <c r="M200" s="22" t="str">
        <f>IF(K200="","",IF(L200="","参照先未定義",_xlfn.XLOOKUP(L200,B:B,C:C,"エラー")))</f>
        <v/>
      </c>
      <c r="N200" s="22" t="s">
        <v>52</v>
      </c>
      <c r="O200" s="22"/>
      <c r="P200" s="22" t="s">
        <v>125</v>
      </c>
      <c r="Q200" s="22"/>
      <c r="R200" s="24"/>
      <c r="S200" s="24"/>
      <c r="T200" s="24"/>
      <c r="U200" s="22" t="s">
        <v>126</v>
      </c>
    </row>
    <row r="201" spans="1:21" ht="18.75" customHeight="1" x14ac:dyDescent="0.25">
      <c r="A201" s="24" t="s">
        <v>47</v>
      </c>
      <c r="B201" s="24" t="str">
        <f t="shared" si="0"/>
        <v>user_update_datetime</v>
      </c>
      <c r="C201" s="25">
        <f t="shared" si="1"/>
        <v>200</v>
      </c>
      <c r="D201" s="22" t="str">
        <f t="shared" ref="D201:E201" si="183">D200</f>
        <v>user</v>
      </c>
      <c r="E201" s="22" t="str">
        <f t="shared" si="183"/>
        <v>ユーザー</v>
      </c>
      <c r="F201" s="22" t="s">
        <v>127</v>
      </c>
      <c r="G201" s="22" t="s">
        <v>128</v>
      </c>
      <c r="H201" s="22" t="s">
        <v>78</v>
      </c>
      <c r="I201" s="22">
        <f>_xlfn.LET(
    _xlpm.可変bit数,--MID(H201,FIND("(",H201)+1,FIND(")",H201)-FIND("(",H201)-1),
    _xlfn.XLOOKUP(
        $H201,
        型とバイト数!$B$3:$B$53,
        型とバイト数!$E$3:$E$53,
        IF(LEFT($H201,7)="varchar",_xlpm.可変bit数*8,
            IF(LEFT($H201,3)="bit",_xlpm.可変bit数,"???"))
    )
)</f>
        <v>64</v>
      </c>
      <c r="J201" s="22"/>
      <c r="K201" s="22"/>
      <c r="L201" s="24"/>
      <c r="M201" s="22" t="str">
        <f>IF(K201="","",IF(L201="","参照先未定義",_xlfn.XLOOKUP(L201,B:B,C:C,"エラー")))</f>
        <v/>
      </c>
      <c r="N201" s="22" t="s">
        <v>52</v>
      </c>
      <c r="O201" s="22"/>
      <c r="P201" s="22" t="s">
        <v>122</v>
      </c>
      <c r="Q201" s="22"/>
      <c r="R201" s="24"/>
      <c r="S201" s="24"/>
      <c r="T201" s="24"/>
      <c r="U201" s="22"/>
    </row>
    <row r="202" spans="1:21" ht="18.75" customHeight="1" x14ac:dyDescent="0.25">
      <c r="A202" s="24" t="s">
        <v>47</v>
      </c>
      <c r="B202" s="24" t="str">
        <f t="shared" si="0"/>
        <v>user_update_user</v>
      </c>
      <c r="C202" s="25">
        <f t="shared" si="1"/>
        <v>201</v>
      </c>
      <c r="D202" s="22" t="str">
        <f t="shared" ref="D202:E202" si="184">D201</f>
        <v>user</v>
      </c>
      <c r="E202" s="22" t="str">
        <f t="shared" si="184"/>
        <v>ユーザー</v>
      </c>
      <c r="F202" s="22" t="s">
        <v>129</v>
      </c>
      <c r="G202" s="22" t="s">
        <v>130</v>
      </c>
      <c r="H202" s="22" t="s">
        <v>75</v>
      </c>
      <c r="I202" s="22">
        <f>_xlfn.LET(
    _xlpm.可変bit数,--MID(H202,FIND("(",H202)+1,FIND(")",H202)-FIND("(",H202)-1),
    _xlfn.XLOOKUP(
        $H202,
        型とバイト数!$B$3:$B$53,
        型とバイト数!$E$3:$E$53,
        IF(LEFT($H202,7)="varchar",_xlpm.可変bit数*8,
            IF(LEFT($H202,3)="bit",_xlpm.可変bit数,"???"))
    )
)</f>
        <v>256</v>
      </c>
      <c r="J202" s="22"/>
      <c r="K202" s="22"/>
      <c r="L202" s="24"/>
      <c r="M202" s="22" t="str">
        <f>IF(K202="","",IF(L202="","参照先未定義",_xlfn.XLOOKUP(L202,B:B,C:C,"エラー")))</f>
        <v/>
      </c>
      <c r="N202" s="22" t="s">
        <v>52</v>
      </c>
      <c r="O202" s="22"/>
      <c r="P202" s="22" t="s">
        <v>125</v>
      </c>
      <c r="Q202" s="22"/>
      <c r="R202" s="24"/>
      <c r="S202" s="24"/>
      <c r="T202" s="24"/>
      <c r="U202" s="22" t="s">
        <v>126</v>
      </c>
    </row>
    <row r="203" spans="1:21" ht="18.75" customHeight="1" x14ac:dyDescent="0.25">
      <c r="A203" s="24" t="s">
        <v>47</v>
      </c>
      <c r="B203" s="24" t="str">
        <f t="shared" si="0"/>
        <v>user_soft_delete_flag</v>
      </c>
      <c r="C203" s="25">
        <f t="shared" si="1"/>
        <v>202</v>
      </c>
      <c r="D203" s="22" t="str">
        <f t="shared" ref="D203:E203" si="185">D202</f>
        <v>user</v>
      </c>
      <c r="E203" s="22" t="str">
        <f t="shared" si="185"/>
        <v>ユーザー</v>
      </c>
      <c r="F203" s="22" t="s">
        <v>131</v>
      </c>
      <c r="G203" s="22" t="s">
        <v>132</v>
      </c>
      <c r="H203" s="22" t="s">
        <v>133</v>
      </c>
      <c r="I203" s="22">
        <f>_xlfn.LET(
    _xlpm.可変bit数,--MID(H203,FIND("(",H203)+1,FIND(")",H203)-FIND("(",H203)-1),
    _xlfn.XLOOKUP(
        $H203,
        型とバイト数!$B$3:$B$53,
        型とバイト数!$E$3:$E$53,
        IF(LEFT($H203,7)="varchar",_xlpm.可変bit数*8,
            IF(LEFT($H203,3)="bit",_xlpm.可変bit数,"???"))
    )
)</f>
        <v>1</v>
      </c>
      <c r="J203" s="22"/>
      <c r="K203" s="22"/>
      <c r="L203" s="24"/>
      <c r="M203" s="22" t="str">
        <f>IF(K203="","",IF(L203="","参照先未定義",_xlfn.XLOOKUP(L203,B:B,C:C,"エラー")))</f>
        <v/>
      </c>
      <c r="N203" s="22" t="s">
        <v>52</v>
      </c>
      <c r="O203" s="22"/>
      <c r="P203" s="22">
        <v>0</v>
      </c>
      <c r="Q203" s="22"/>
      <c r="R203" s="24"/>
      <c r="S203" s="24"/>
      <c r="T203" s="24"/>
      <c r="U203" s="22"/>
    </row>
    <row r="204" spans="1:21" ht="18.75" customHeight="1" x14ac:dyDescent="0.25">
      <c r="A204" s="24" t="s">
        <v>47</v>
      </c>
      <c r="B204" s="24" t="str">
        <f t="shared" si="0"/>
        <v>user_hard_delete_flag</v>
      </c>
      <c r="C204" s="25">
        <f t="shared" si="1"/>
        <v>203</v>
      </c>
      <c r="D204" s="22" t="str">
        <f t="shared" ref="D204:E204" si="186">D203</f>
        <v>user</v>
      </c>
      <c r="E204" s="22" t="str">
        <f t="shared" si="186"/>
        <v>ユーザー</v>
      </c>
      <c r="F204" s="22" t="s">
        <v>134</v>
      </c>
      <c r="G204" s="22" t="s">
        <v>281</v>
      </c>
      <c r="H204" s="22" t="s">
        <v>133</v>
      </c>
      <c r="I204" s="22">
        <f>_xlfn.LET(
    _xlpm.可変bit数,--MID(H204,FIND("(",H204)+1,FIND(")",H204)-FIND("(",H204)-1),
    _xlfn.XLOOKUP(
        $H204,
        型とバイト数!$B$3:$B$53,
        型とバイト数!$E$3:$E$53,
        IF(LEFT($H204,7)="varchar",_xlpm.可変bit数*8,
            IF(LEFT($H204,3)="bit",_xlpm.可変bit数,"???"))
    )
)</f>
        <v>1</v>
      </c>
      <c r="J204" s="22"/>
      <c r="K204" s="22"/>
      <c r="L204" s="24"/>
      <c r="M204" s="22" t="str">
        <f>IF(K204="","",IF(L204="","参照先未定義",_xlfn.XLOOKUP(L204,B:B,C:C,"エラー")))</f>
        <v/>
      </c>
      <c r="N204" s="22" t="s">
        <v>52</v>
      </c>
      <c r="O204" s="22"/>
      <c r="P204" s="22">
        <v>0</v>
      </c>
      <c r="Q204" s="22"/>
      <c r="R204" s="24"/>
      <c r="S204" s="24"/>
      <c r="T204" s="24"/>
      <c r="U204" s="22"/>
    </row>
    <row r="205" spans="1:21" ht="18.75" customHeight="1" x14ac:dyDescent="0.25">
      <c r="A205" s="24" t="s">
        <v>47</v>
      </c>
      <c r="B205" s="24" t="str">
        <f t="shared" si="0"/>
        <v>theme_uuid</v>
      </c>
      <c r="C205" s="25">
        <f t="shared" si="1"/>
        <v>204</v>
      </c>
      <c r="D205" s="22" t="s">
        <v>282</v>
      </c>
      <c r="E205" s="22" t="s">
        <v>279</v>
      </c>
      <c r="F205" s="22" t="s">
        <v>50</v>
      </c>
      <c r="G205" s="22" t="s">
        <v>51</v>
      </c>
      <c r="H205" s="22" t="s">
        <v>50</v>
      </c>
      <c r="I205" s="22">
        <f>_xlfn.LET(
    _xlpm.可変bit数,--MID(H205,FIND("(",H205)+1,FIND(")",H205)-FIND("(",H205)-1),
    _xlfn.XLOOKUP(
        $H205,
        型とバイト数!$B$3:$B$53,
        型とバイト数!$E$3:$E$53,
        IF(LEFT($H205,7)="varchar",_xlpm.可変bit数*8,
            IF(LEFT($H205,3)="bit",_xlpm.可変bit数,"???"))
    )
)</f>
        <v>128</v>
      </c>
      <c r="J205" s="22" t="s">
        <v>52</v>
      </c>
      <c r="K205" s="22"/>
      <c r="L205" s="24"/>
      <c r="M205" s="22" t="str">
        <f>IF(K205="","",IF(L205="","参照先未定義",_xlfn.XLOOKUP(L205,B:B,C:C,"エラー")))</f>
        <v/>
      </c>
      <c r="N205" s="22" t="s">
        <v>52</v>
      </c>
      <c r="O205" s="22" t="s">
        <v>52</v>
      </c>
      <c r="P205" s="22" t="s">
        <v>53</v>
      </c>
      <c r="Q205" s="22"/>
      <c r="R205" s="24"/>
      <c r="S205" s="24"/>
      <c r="T205" s="24"/>
      <c r="U205" s="22"/>
    </row>
    <row r="206" spans="1:21" ht="18.75" customHeight="1" x14ac:dyDescent="0.25">
      <c r="A206" s="24" t="s">
        <v>47</v>
      </c>
      <c r="B206" s="24" t="str">
        <f t="shared" si="0"/>
        <v>theme_theme_physical_name</v>
      </c>
      <c r="C206" s="25">
        <f t="shared" si="1"/>
        <v>205</v>
      </c>
      <c r="D206" s="22" t="str">
        <f t="shared" ref="D206:E206" si="187">D205</f>
        <v>theme</v>
      </c>
      <c r="E206" s="22" t="str">
        <f t="shared" si="187"/>
        <v>画面テーマ</v>
      </c>
      <c r="F206" s="22" t="s">
        <v>283</v>
      </c>
      <c r="G206" s="22" t="s">
        <v>284</v>
      </c>
      <c r="H206" s="22" t="s">
        <v>84</v>
      </c>
      <c r="I206" s="22">
        <f>_xlfn.LET(
    _xlpm.可変bit数,--MID(H206,FIND("(",H206)+1,FIND(")",H206)-FIND("(",H206)-1),
    _xlfn.XLOOKUP(
        $H206,
        型とバイト数!$B$3:$B$53,
        型とバイト数!$E$3:$E$53,
        IF(LEFT($H206,7)="varchar",_xlpm.可変bit数*8,
            IF(LEFT($H206,3)="bit",_xlpm.可変bit数,"???"))
    )
)</f>
        <v>128</v>
      </c>
      <c r="J206" s="22" t="s">
        <v>52</v>
      </c>
      <c r="K206" s="22"/>
      <c r="L206" s="24"/>
      <c r="M206" s="22" t="str">
        <f>IF(K206="","",IF(L206="","参照先未定義",_xlfn.XLOOKUP(L206,B:B,C:C,"エラー")))</f>
        <v/>
      </c>
      <c r="N206" s="22" t="s">
        <v>52</v>
      </c>
      <c r="O206" s="22" t="s">
        <v>52</v>
      </c>
      <c r="P206" s="22"/>
      <c r="Q206" s="22"/>
      <c r="R206" s="24"/>
      <c r="S206" s="24"/>
      <c r="T206" s="24"/>
      <c r="U206" s="22"/>
    </row>
    <row r="207" spans="1:21" ht="18.75" customHeight="1" x14ac:dyDescent="0.25">
      <c r="A207" s="24" t="s">
        <v>47</v>
      </c>
      <c r="B207" s="24" t="str">
        <f t="shared" si="0"/>
        <v>theme_theme_logical_name</v>
      </c>
      <c r="C207" s="25">
        <f t="shared" si="1"/>
        <v>206</v>
      </c>
      <c r="D207" s="22" t="str">
        <f t="shared" ref="D207:E207" si="188">D206</f>
        <v>theme</v>
      </c>
      <c r="E207" s="22" t="str">
        <f t="shared" si="188"/>
        <v>画面テーマ</v>
      </c>
      <c r="F207" s="22" t="s">
        <v>285</v>
      </c>
      <c r="G207" s="22" t="s">
        <v>286</v>
      </c>
      <c r="H207" s="22" t="s">
        <v>84</v>
      </c>
      <c r="I207" s="22">
        <f>_xlfn.LET(
    _xlpm.可変bit数,--MID(H207,FIND("(",H207)+1,FIND(")",H207)-FIND("(",H207)-1),
    _xlfn.XLOOKUP(
        $H207,
        型とバイト数!$B$3:$B$53,
        型とバイト数!$E$3:$E$53,
        IF(LEFT($H207,7)="varchar",_xlpm.可変bit数*8,
            IF(LEFT($H207,3)="bit",_xlpm.可変bit数,"???"))
    )
)</f>
        <v>128</v>
      </c>
      <c r="J207" s="22"/>
      <c r="K207" s="22"/>
      <c r="L207" s="24"/>
      <c r="M207" s="22" t="str">
        <f>IF(K207="","",IF(L207="","参照先未定義",_xlfn.XLOOKUP(L207,B:B,C:C,"エラー")))</f>
        <v/>
      </c>
      <c r="N207" s="22" t="s">
        <v>52</v>
      </c>
      <c r="O207" s="22"/>
      <c r="P207" s="22"/>
      <c r="Q207" s="22"/>
      <c r="R207" s="24"/>
      <c r="S207" s="24"/>
      <c r="T207" s="24"/>
      <c r="U207" s="22" t="s">
        <v>287</v>
      </c>
    </row>
    <row r="208" spans="1:21" ht="18.75" customHeight="1" x14ac:dyDescent="0.25">
      <c r="A208" s="24" t="s">
        <v>47</v>
      </c>
      <c r="B208" s="24" t="str">
        <f t="shared" si="0"/>
        <v>theme_create_datetime</v>
      </c>
      <c r="C208" s="25">
        <f t="shared" si="1"/>
        <v>207</v>
      </c>
      <c r="D208" s="22" t="str">
        <f t="shared" ref="D208:E208" si="189">D207</f>
        <v>theme</v>
      </c>
      <c r="E208" s="22" t="str">
        <f t="shared" si="189"/>
        <v>画面テーマ</v>
      </c>
      <c r="F208" s="22" t="s">
        <v>120</v>
      </c>
      <c r="G208" s="22" t="s">
        <v>121</v>
      </c>
      <c r="H208" s="22" t="s">
        <v>78</v>
      </c>
      <c r="I208" s="22">
        <f>_xlfn.LET(
    _xlpm.可変bit数,--MID(H208,FIND("(",H208)+1,FIND(")",H208)-FIND("(",H208)-1),
    _xlfn.XLOOKUP(
        $H208,
        型とバイト数!$B$3:$B$53,
        型とバイト数!$E$3:$E$53,
        IF(LEFT($H208,7)="varchar",_xlpm.可変bit数*8,
            IF(LEFT($H208,3)="bit",_xlpm.可変bit数,"???"))
    )
)</f>
        <v>64</v>
      </c>
      <c r="J208" s="22"/>
      <c r="K208" s="22"/>
      <c r="L208" s="24"/>
      <c r="M208" s="22" t="str">
        <f>IF(K208="","",IF(L208="","参照先未定義",_xlfn.XLOOKUP(L208,B:B,C:C,"エラー")))</f>
        <v/>
      </c>
      <c r="N208" s="22" t="s">
        <v>52</v>
      </c>
      <c r="O208" s="22"/>
      <c r="P208" s="22" t="s">
        <v>122</v>
      </c>
      <c r="Q208" s="22"/>
      <c r="R208" s="24"/>
      <c r="S208" s="24"/>
      <c r="T208" s="24"/>
      <c r="U208" s="22"/>
    </row>
    <row r="209" spans="1:21" ht="18.75" customHeight="1" x14ac:dyDescent="0.25">
      <c r="A209" s="24" t="s">
        <v>47</v>
      </c>
      <c r="B209" s="24" t="str">
        <f t="shared" si="0"/>
        <v>theme_create_user</v>
      </c>
      <c r="C209" s="25">
        <f t="shared" si="1"/>
        <v>208</v>
      </c>
      <c r="D209" s="22" t="str">
        <f t="shared" ref="D209:E209" si="190">D208</f>
        <v>theme</v>
      </c>
      <c r="E209" s="22" t="str">
        <f t="shared" si="190"/>
        <v>画面テーマ</v>
      </c>
      <c r="F209" s="22" t="s">
        <v>123</v>
      </c>
      <c r="G209" s="22" t="s">
        <v>124</v>
      </c>
      <c r="H209" s="22" t="s">
        <v>75</v>
      </c>
      <c r="I209" s="22">
        <f>_xlfn.LET(
    _xlpm.可変bit数,--MID(H209,FIND("(",H209)+1,FIND(")",H209)-FIND("(",H209)-1),
    _xlfn.XLOOKUP(
        $H209,
        型とバイト数!$B$3:$B$53,
        型とバイト数!$E$3:$E$53,
        IF(LEFT($H209,7)="varchar",_xlpm.可変bit数*8,
            IF(LEFT($H209,3)="bit",_xlpm.可変bit数,"???"))
    )
)</f>
        <v>256</v>
      </c>
      <c r="J209" s="22"/>
      <c r="K209" s="22"/>
      <c r="L209" s="24"/>
      <c r="M209" s="22" t="str">
        <f>IF(K209="","",IF(L209="","参照先未定義",_xlfn.XLOOKUP(L209,B:B,C:C,"エラー")))</f>
        <v/>
      </c>
      <c r="N209" s="22" t="s">
        <v>52</v>
      </c>
      <c r="O209" s="22"/>
      <c r="P209" s="22" t="s">
        <v>125</v>
      </c>
      <c r="Q209" s="22"/>
      <c r="R209" s="24"/>
      <c r="S209" s="24"/>
      <c r="T209" s="24"/>
      <c r="U209" s="22" t="s">
        <v>126</v>
      </c>
    </row>
    <row r="210" spans="1:21" ht="18.75" customHeight="1" x14ac:dyDescent="0.25">
      <c r="A210" s="24" t="s">
        <v>47</v>
      </c>
      <c r="B210" s="24" t="str">
        <f t="shared" si="0"/>
        <v>theme_update_datetime</v>
      </c>
      <c r="C210" s="25">
        <f t="shared" si="1"/>
        <v>209</v>
      </c>
      <c r="D210" s="22" t="str">
        <f t="shared" ref="D210:E210" si="191">D209</f>
        <v>theme</v>
      </c>
      <c r="E210" s="22" t="str">
        <f t="shared" si="191"/>
        <v>画面テーマ</v>
      </c>
      <c r="F210" s="22" t="s">
        <v>127</v>
      </c>
      <c r="G210" s="22" t="s">
        <v>128</v>
      </c>
      <c r="H210" s="22" t="s">
        <v>78</v>
      </c>
      <c r="I210" s="22">
        <f>_xlfn.LET(
    _xlpm.可変bit数,--MID(H210,FIND("(",H210)+1,FIND(")",H210)-FIND("(",H210)-1),
    _xlfn.XLOOKUP(
        $H210,
        型とバイト数!$B$3:$B$53,
        型とバイト数!$E$3:$E$53,
        IF(LEFT($H210,7)="varchar",_xlpm.可変bit数*8,
            IF(LEFT($H210,3)="bit",_xlpm.可変bit数,"???"))
    )
)</f>
        <v>64</v>
      </c>
      <c r="J210" s="22"/>
      <c r="K210" s="22"/>
      <c r="L210" s="24"/>
      <c r="M210" s="22" t="str">
        <f>IF(K210="","",IF(L210="","参照先未定義",_xlfn.XLOOKUP(L210,B:B,C:C,"エラー")))</f>
        <v/>
      </c>
      <c r="N210" s="22" t="s">
        <v>52</v>
      </c>
      <c r="O210" s="22"/>
      <c r="P210" s="22" t="s">
        <v>122</v>
      </c>
      <c r="Q210" s="22"/>
      <c r="R210" s="24"/>
      <c r="S210" s="24"/>
      <c r="T210" s="24"/>
      <c r="U210" s="22"/>
    </row>
    <row r="211" spans="1:21" ht="18.75" customHeight="1" x14ac:dyDescent="0.25">
      <c r="A211" s="24" t="s">
        <v>47</v>
      </c>
      <c r="B211" s="24" t="str">
        <f t="shared" si="0"/>
        <v>theme_update_user</v>
      </c>
      <c r="C211" s="25">
        <f t="shared" si="1"/>
        <v>210</v>
      </c>
      <c r="D211" s="22" t="str">
        <f t="shared" ref="D211:E211" si="192">D210</f>
        <v>theme</v>
      </c>
      <c r="E211" s="22" t="str">
        <f t="shared" si="192"/>
        <v>画面テーマ</v>
      </c>
      <c r="F211" s="22" t="s">
        <v>129</v>
      </c>
      <c r="G211" s="22" t="s">
        <v>130</v>
      </c>
      <c r="H211" s="22" t="s">
        <v>75</v>
      </c>
      <c r="I211" s="22">
        <f>_xlfn.LET(
    _xlpm.可変bit数,--MID(H211,FIND("(",H211)+1,FIND(")",H211)-FIND("(",H211)-1),
    _xlfn.XLOOKUP(
        $H211,
        型とバイト数!$B$3:$B$53,
        型とバイト数!$E$3:$E$53,
        IF(LEFT($H211,7)="varchar",_xlpm.可変bit数*8,
            IF(LEFT($H211,3)="bit",_xlpm.可変bit数,"???"))
    )
)</f>
        <v>256</v>
      </c>
      <c r="J211" s="22"/>
      <c r="K211" s="22"/>
      <c r="L211" s="24"/>
      <c r="M211" s="22" t="str">
        <f>IF(K211="","",IF(L211="","参照先未定義",_xlfn.XLOOKUP(L211,B:B,C:C,"エラー")))</f>
        <v/>
      </c>
      <c r="N211" s="22" t="s">
        <v>52</v>
      </c>
      <c r="O211" s="22"/>
      <c r="P211" s="22" t="s">
        <v>125</v>
      </c>
      <c r="Q211" s="22"/>
      <c r="R211" s="24"/>
      <c r="S211" s="24"/>
      <c r="T211" s="24"/>
      <c r="U211" s="22" t="s">
        <v>126</v>
      </c>
    </row>
    <row r="212" spans="1:21" ht="18.75" customHeight="1" x14ac:dyDescent="0.25">
      <c r="A212" s="24" t="s">
        <v>47</v>
      </c>
      <c r="B212" s="24" t="str">
        <f t="shared" si="0"/>
        <v>theme_soft_delete_flag</v>
      </c>
      <c r="C212" s="25">
        <f t="shared" si="1"/>
        <v>211</v>
      </c>
      <c r="D212" s="22" t="str">
        <f t="shared" ref="D212:E212" si="193">D211</f>
        <v>theme</v>
      </c>
      <c r="E212" s="22" t="str">
        <f t="shared" si="193"/>
        <v>画面テーマ</v>
      </c>
      <c r="F212" s="22" t="s">
        <v>131</v>
      </c>
      <c r="G212" s="22" t="s">
        <v>132</v>
      </c>
      <c r="H212" s="22" t="s">
        <v>133</v>
      </c>
      <c r="I212" s="22">
        <f>_xlfn.LET(
    _xlpm.可変bit数,--MID(H212,FIND("(",H212)+1,FIND(")",H212)-FIND("(",H212)-1),
    _xlfn.XLOOKUP(
        $H212,
        型とバイト数!$B$3:$B$53,
        型とバイト数!$E$3:$E$53,
        IF(LEFT($H212,7)="varchar",_xlpm.可変bit数*8,
            IF(LEFT($H212,3)="bit",_xlpm.可変bit数,"???"))
    )
)</f>
        <v>1</v>
      </c>
      <c r="J212" s="22"/>
      <c r="K212" s="22"/>
      <c r="L212" s="24"/>
      <c r="M212" s="22" t="str">
        <f>IF(K212="","",IF(L212="","参照先未定義",_xlfn.XLOOKUP(L212,B:B,C:C,"エラー")))</f>
        <v/>
      </c>
      <c r="N212" s="22" t="s">
        <v>52</v>
      </c>
      <c r="O212" s="22"/>
      <c r="P212" s="22">
        <v>0</v>
      </c>
      <c r="Q212" s="22"/>
      <c r="R212" s="24"/>
      <c r="S212" s="24"/>
      <c r="T212" s="24"/>
      <c r="U212" s="22"/>
    </row>
    <row r="213" spans="1:21" ht="18.75" customHeight="1" x14ac:dyDescent="0.25">
      <c r="A213" s="24" t="s">
        <v>47</v>
      </c>
      <c r="B213" s="24" t="str">
        <f t="shared" si="0"/>
        <v>theme_hard_delete_flag</v>
      </c>
      <c r="C213" s="25">
        <f t="shared" si="1"/>
        <v>212</v>
      </c>
      <c r="D213" s="22" t="str">
        <f t="shared" ref="D213:E213" si="194">D212</f>
        <v>theme</v>
      </c>
      <c r="E213" s="22" t="str">
        <f t="shared" si="194"/>
        <v>画面テーマ</v>
      </c>
      <c r="F213" s="22" t="s">
        <v>134</v>
      </c>
      <c r="G213" s="22" t="s">
        <v>135</v>
      </c>
      <c r="H213" s="22" t="s">
        <v>133</v>
      </c>
      <c r="I213" s="22">
        <f>_xlfn.LET(
    _xlpm.可変bit数,--MID(H213,FIND("(",H213)+1,FIND(")",H213)-FIND("(",H213)-1),
    _xlfn.XLOOKUP(
        $H213,
        型とバイト数!$B$3:$B$53,
        型とバイト数!$E$3:$E$53,
        IF(LEFT($H213,7)="varchar",_xlpm.可変bit数*8,
            IF(LEFT($H213,3)="bit",_xlpm.可変bit数,"???"))
    )
)</f>
        <v>1</v>
      </c>
      <c r="J213" s="22"/>
      <c r="K213" s="22"/>
      <c r="L213" s="24"/>
      <c r="M213" s="22" t="str">
        <f>IF(K213="","",IF(L213="","参照先未定義",_xlfn.XLOOKUP(L213,B:B,C:C,"エラー")))</f>
        <v/>
      </c>
      <c r="N213" s="22" t="s">
        <v>52</v>
      </c>
      <c r="O213" s="22"/>
      <c r="P213" s="22">
        <v>0</v>
      </c>
      <c r="Q213" s="22"/>
      <c r="R213" s="24"/>
      <c r="S213" s="24"/>
      <c r="T213" s="24"/>
      <c r="U213" s="22"/>
    </row>
    <row r="214" spans="1:21" ht="18.75" customHeight="1" x14ac:dyDescent="0.25">
      <c r="A214" s="24" t="s">
        <v>47</v>
      </c>
      <c r="B214" s="24" t="str">
        <f t="shared" si="0"/>
        <v>user_role_uuid</v>
      </c>
      <c r="C214" s="25">
        <f t="shared" si="1"/>
        <v>213</v>
      </c>
      <c r="D214" s="22" t="s">
        <v>288</v>
      </c>
      <c r="E214" s="22" t="s">
        <v>289</v>
      </c>
      <c r="F214" s="22" t="s">
        <v>50</v>
      </c>
      <c r="G214" s="22" t="s">
        <v>51</v>
      </c>
      <c r="H214" s="22" t="s">
        <v>50</v>
      </c>
      <c r="I214" s="22">
        <f>_xlfn.LET(
    _xlpm.可変bit数,--MID(H214,FIND("(",H214)+1,FIND(")",H214)-FIND("(",H214)-1),
    _xlfn.XLOOKUP(
        $H214,
        型とバイト数!$B$3:$B$53,
        型とバイト数!$E$3:$E$53,
        IF(LEFT($H214,7)="varchar",_xlpm.可変bit数*8,
            IF(LEFT($H214,3)="bit",_xlpm.可変bit数,"???"))
    )
)</f>
        <v>128</v>
      </c>
      <c r="J214" s="22" t="s">
        <v>52</v>
      </c>
      <c r="K214" s="22"/>
      <c r="L214" s="24"/>
      <c r="M214" s="22" t="str">
        <f>IF(K214="","",IF(L214="","参照先未定義",_xlfn.XLOOKUP(L214,B:B,C:C,"エラー")))</f>
        <v/>
      </c>
      <c r="N214" s="22" t="s">
        <v>52</v>
      </c>
      <c r="O214" s="22" t="s">
        <v>52</v>
      </c>
      <c r="P214" s="22" t="s">
        <v>53</v>
      </c>
      <c r="Q214" s="22"/>
      <c r="R214" s="24"/>
      <c r="S214" s="24"/>
      <c r="T214" s="24"/>
      <c r="U214" s="22"/>
    </row>
    <row r="215" spans="1:21" ht="18.75" customHeight="1" x14ac:dyDescent="0.25">
      <c r="A215" s="24" t="s">
        <v>47</v>
      </c>
      <c r="B215" s="24" t="str">
        <f t="shared" si="0"/>
        <v>user_role_user_role_physical_name</v>
      </c>
      <c r="C215" s="25">
        <f t="shared" si="1"/>
        <v>214</v>
      </c>
      <c r="D215" s="22" t="str">
        <f t="shared" ref="D215:E215" si="195">D214</f>
        <v>user_role</v>
      </c>
      <c r="E215" s="22" t="str">
        <f t="shared" si="195"/>
        <v>ユーザー権限</v>
      </c>
      <c r="F215" s="22" t="s">
        <v>260</v>
      </c>
      <c r="G215" s="22" t="s">
        <v>261</v>
      </c>
      <c r="H215" s="22" t="s">
        <v>56</v>
      </c>
      <c r="I215" s="22">
        <f>_xlfn.LET(
    _xlpm.可変bit数,--MID(H215,FIND("(",H215)+1,FIND(")",H215)-FIND("(",H215)-1),
    _xlfn.XLOOKUP(
        $H215,
        型とバイト数!$B$3:$B$53,
        型とバイト数!$E$3:$E$53,
        IF(LEFT($H215,7)="varchar",_xlpm.可変bit数*8,
            IF(LEFT($H215,3)="bit",_xlpm.可変bit数,"???"))
    )
)</f>
        <v>64</v>
      </c>
      <c r="J215" s="22" t="s">
        <v>52</v>
      </c>
      <c r="K215" s="22"/>
      <c r="L215" s="24"/>
      <c r="M215" s="22" t="str">
        <f>IF(K215="","",IF(L215="","参照先未定義",_xlfn.XLOOKUP(L215,B:B,C:C,"エラー")))</f>
        <v/>
      </c>
      <c r="N215" s="22" t="s">
        <v>52</v>
      </c>
      <c r="O215" s="22" t="s">
        <v>52</v>
      </c>
      <c r="P215" s="22"/>
      <c r="Q215" s="22"/>
      <c r="R215" s="24"/>
      <c r="S215" s="24"/>
      <c r="T215" s="24"/>
      <c r="U215" s="22"/>
    </row>
    <row r="216" spans="1:21" ht="18.75" customHeight="1" x14ac:dyDescent="0.25">
      <c r="A216" s="24" t="s">
        <v>47</v>
      </c>
      <c r="B216" s="24" t="str">
        <f t="shared" si="0"/>
        <v>user_role_user_role_logical_name</v>
      </c>
      <c r="C216" s="25">
        <f t="shared" si="1"/>
        <v>215</v>
      </c>
      <c r="D216" s="22" t="str">
        <f t="shared" ref="D216:E216" si="196">D215</f>
        <v>user_role</v>
      </c>
      <c r="E216" s="22" t="str">
        <f t="shared" si="196"/>
        <v>ユーザー権限</v>
      </c>
      <c r="F216" s="22" t="s">
        <v>290</v>
      </c>
      <c r="G216" s="22" t="s">
        <v>291</v>
      </c>
      <c r="H216" s="22" t="s">
        <v>56</v>
      </c>
      <c r="I216" s="22">
        <f>_xlfn.LET(
    _xlpm.可変bit数,--MID(H216,FIND("(",H216)+1,FIND(")",H216)-FIND("(",H216)-1),
    _xlfn.XLOOKUP(
        $H216,
        型とバイト数!$B$3:$B$53,
        型とバイト数!$E$3:$E$53,
        IF(LEFT($H216,7)="varchar",_xlpm.可変bit数*8,
            IF(LEFT($H216,3)="bit",_xlpm.可変bit数,"???"))
    )
)</f>
        <v>64</v>
      </c>
      <c r="J216" s="22"/>
      <c r="K216" s="22"/>
      <c r="L216" s="24"/>
      <c r="M216" s="22" t="str">
        <f>IF(K216="","",IF(L216="","参照先未定義",_xlfn.XLOOKUP(L216,B:B,C:C,"エラー")))</f>
        <v/>
      </c>
      <c r="N216" s="22" t="s">
        <v>52</v>
      </c>
      <c r="O216" s="22"/>
      <c r="P216" s="22"/>
      <c r="Q216" s="22"/>
      <c r="R216" s="24"/>
      <c r="S216" s="24"/>
      <c r="T216" s="24"/>
      <c r="U216" s="22" t="s">
        <v>287</v>
      </c>
    </row>
    <row r="217" spans="1:21" ht="18.75" customHeight="1" x14ac:dyDescent="0.25">
      <c r="A217" s="24" t="s">
        <v>47</v>
      </c>
      <c r="B217" s="24" t="str">
        <f t="shared" si="0"/>
        <v>user_role_create_datetime</v>
      </c>
      <c r="C217" s="25">
        <f t="shared" si="1"/>
        <v>216</v>
      </c>
      <c r="D217" s="22" t="str">
        <f t="shared" ref="D217:E217" si="197">D216</f>
        <v>user_role</v>
      </c>
      <c r="E217" s="22" t="str">
        <f t="shared" si="197"/>
        <v>ユーザー権限</v>
      </c>
      <c r="F217" s="22" t="s">
        <v>120</v>
      </c>
      <c r="G217" s="22" t="s">
        <v>121</v>
      </c>
      <c r="H217" s="22" t="s">
        <v>78</v>
      </c>
      <c r="I217" s="22">
        <f>_xlfn.LET(
    _xlpm.可変bit数,--MID(H217,FIND("(",H217)+1,FIND(")",H217)-FIND("(",H217)-1),
    _xlfn.XLOOKUP(
        $H217,
        型とバイト数!$B$3:$B$53,
        型とバイト数!$E$3:$E$53,
        IF(LEFT($H217,7)="varchar",_xlpm.可変bit数*8,
            IF(LEFT($H217,3)="bit",_xlpm.可変bit数,"???"))
    )
)</f>
        <v>64</v>
      </c>
      <c r="J217" s="22"/>
      <c r="K217" s="22"/>
      <c r="L217" s="24"/>
      <c r="M217" s="22" t="str">
        <f>IF(K217="","",IF(L217="","参照先未定義",_xlfn.XLOOKUP(L217,B:B,C:C,"エラー")))</f>
        <v/>
      </c>
      <c r="N217" s="22" t="s">
        <v>52</v>
      </c>
      <c r="O217" s="22"/>
      <c r="P217" s="22" t="s">
        <v>122</v>
      </c>
      <c r="Q217" s="22"/>
      <c r="R217" s="24"/>
      <c r="S217" s="24"/>
      <c r="T217" s="24"/>
      <c r="U217" s="22"/>
    </row>
    <row r="218" spans="1:21" ht="18.75" customHeight="1" x14ac:dyDescent="0.25">
      <c r="A218" s="24" t="s">
        <v>47</v>
      </c>
      <c r="B218" s="24" t="str">
        <f t="shared" si="0"/>
        <v>user_role_create_user</v>
      </c>
      <c r="C218" s="25">
        <f t="shared" si="1"/>
        <v>217</v>
      </c>
      <c r="D218" s="22" t="str">
        <f t="shared" ref="D218:E218" si="198">D217</f>
        <v>user_role</v>
      </c>
      <c r="E218" s="22" t="str">
        <f t="shared" si="198"/>
        <v>ユーザー権限</v>
      </c>
      <c r="F218" s="22" t="s">
        <v>123</v>
      </c>
      <c r="G218" s="22" t="s">
        <v>124</v>
      </c>
      <c r="H218" s="22" t="s">
        <v>75</v>
      </c>
      <c r="I218" s="22">
        <f>_xlfn.LET(
    _xlpm.可変bit数,--MID(H218,FIND("(",H218)+1,FIND(")",H218)-FIND("(",H218)-1),
    _xlfn.XLOOKUP(
        $H218,
        型とバイト数!$B$3:$B$53,
        型とバイト数!$E$3:$E$53,
        IF(LEFT($H218,7)="varchar",_xlpm.可変bit数*8,
            IF(LEFT($H218,3)="bit",_xlpm.可変bit数,"???"))
    )
)</f>
        <v>256</v>
      </c>
      <c r="J218" s="22"/>
      <c r="K218" s="22"/>
      <c r="L218" s="24"/>
      <c r="M218" s="22" t="str">
        <f>IF(K218="","",IF(L218="","参照先未定義",_xlfn.XLOOKUP(L218,B:B,C:C,"エラー")))</f>
        <v/>
      </c>
      <c r="N218" s="22" t="s">
        <v>52</v>
      </c>
      <c r="O218" s="22"/>
      <c r="P218" s="22" t="s">
        <v>125</v>
      </c>
      <c r="Q218" s="22"/>
      <c r="R218" s="24"/>
      <c r="S218" s="24"/>
      <c r="T218" s="24"/>
      <c r="U218" s="22" t="s">
        <v>126</v>
      </c>
    </row>
    <row r="219" spans="1:21" ht="18.75" customHeight="1" x14ac:dyDescent="0.25">
      <c r="A219" s="24" t="s">
        <v>47</v>
      </c>
      <c r="B219" s="24" t="str">
        <f t="shared" si="0"/>
        <v>user_role_update_datetime</v>
      </c>
      <c r="C219" s="25">
        <f t="shared" si="1"/>
        <v>218</v>
      </c>
      <c r="D219" s="22" t="str">
        <f t="shared" ref="D219:E219" si="199">D218</f>
        <v>user_role</v>
      </c>
      <c r="E219" s="22" t="str">
        <f t="shared" si="199"/>
        <v>ユーザー権限</v>
      </c>
      <c r="F219" s="22" t="s">
        <v>127</v>
      </c>
      <c r="G219" s="22" t="s">
        <v>128</v>
      </c>
      <c r="H219" s="22" t="s">
        <v>78</v>
      </c>
      <c r="I219" s="22">
        <f>_xlfn.LET(
    _xlpm.可変bit数,--MID(H219,FIND("(",H219)+1,FIND(")",H219)-FIND("(",H219)-1),
    _xlfn.XLOOKUP(
        $H219,
        型とバイト数!$B$3:$B$53,
        型とバイト数!$E$3:$E$53,
        IF(LEFT($H219,7)="varchar",_xlpm.可変bit数*8,
            IF(LEFT($H219,3)="bit",_xlpm.可変bit数,"???"))
    )
)</f>
        <v>64</v>
      </c>
      <c r="J219" s="22"/>
      <c r="K219" s="22"/>
      <c r="L219" s="24"/>
      <c r="M219" s="22" t="str">
        <f>IF(K219="","",IF(L219="","参照先未定義",_xlfn.XLOOKUP(L219,B:B,C:C,"エラー")))</f>
        <v/>
      </c>
      <c r="N219" s="22" t="s">
        <v>52</v>
      </c>
      <c r="O219" s="22"/>
      <c r="P219" s="22" t="s">
        <v>122</v>
      </c>
      <c r="Q219" s="22"/>
      <c r="R219" s="24"/>
      <c r="S219" s="24"/>
      <c r="T219" s="24"/>
      <c r="U219" s="22"/>
    </row>
    <row r="220" spans="1:21" ht="18.75" customHeight="1" x14ac:dyDescent="0.25">
      <c r="A220" s="24" t="s">
        <v>47</v>
      </c>
      <c r="B220" s="24" t="str">
        <f t="shared" si="0"/>
        <v>user_role_update_user</v>
      </c>
      <c r="C220" s="25">
        <f t="shared" si="1"/>
        <v>219</v>
      </c>
      <c r="D220" s="22" t="str">
        <f t="shared" ref="D220:E220" si="200">D219</f>
        <v>user_role</v>
      </c>
      <c r="E220" s="22" t="str">
        <f t="shared" si="200"/>
        <v>ユーザー権限</v>
      </c>
      <c r="F220" s="22" t="s">
        <v>129</v>
      </c>
      <c r="G220" s="22" t="s">
        <v>130</v>
      </c>
      <c r="H220" s="22" t="s">
        <v>75</v>
      </c>
      <c r="I220" s="22">
        <f>_xlfn.LET(
    _xlpm.可変bit数,--MID(H220,FIND("(",H220)+1,FIND(")",H220)-FIND("(",H220)-1),
    _xlfn.XLOOKUP(
        $H220,
        型とバイト数!$B$3:$B$53,
        型とバイト数!$E$3:$E$53,
        IF(LEFT($H220,7)="varchar",_xlpm.可変bit数*8,
            IF(LEFT($H220,3)="bit",_xlpm.可変bit数,"???"))
    )
)</f>
        <v>256</v>
      </c>
      <c r="J220" s="22"/>
      <c r="K220" s="22"/>
      <c r="L220" s="24"/>
      <c r="M220" s="22" t="str">
        <f>IF(K220="","",IF(L220="","参照先未定義",_xlfn.XLOOKUP(L220,B:B,C:C,"エラー")))</f>
        <v/>
      </c>
      <c r="N220" s="22" t="s">
        <v>52</v>
      </c>
      <c r="O220" s="22"/>
      <c r="P220" s="22" t="s">
        <v>125</v>
      </c>
      <c r="Q220" s="22"/>
      <c r="R220" s="24"/>
      <c r="S220" s="24"/>
      <c r="T220" s="24"/>
      <c r="U220" s="22" t="s">
        <v>126</v>
      </c>
    </row>
    <row r="221" spans="1:21" ht="18.75" customHeight="1" x14ac:dyDescent="0.25">
      <c r="A221" s="24" t="s">
        <v>47</v>
      </c>
      <c r="B221" s="24" t="str">
        <f t="shared" si="0"/>
        <v>user_role_soft_delete_flag</v>
      </c>
      <c r="C221" s="25">
        <f t="shared" si="1"/>
        <v>220</v>
      </c>
      <c r="D221" s="22" t="str">
        <f t="shared" ref="D221:E221" si="201">D220</f>
        <v>user_role</v>
      </c>
      <c r="E221" s="22" t="str">
        <f t="shared" si="201"/>
        <v>ユーザー権限</v>
      </c>
      <c r="F221" s="22" t="s">
        <v>131</v>
      </c>
      <c r="G221" s="22" t="s">
        <v>132</v>
      </c>
      <c r="H221" s="22" t="s">
        <v>133</v>
      </c>
      <c r="I221" s="22">
        <f>_xlfn.LET(
    _xlpm.可変bit数,--MID(H221,FIND("(",H221)+1,FIND(")",H221)-FIND("(",H221)-1),
    _xlfn.XLOOKUP(
        $H221,
        型とバイト数!$B$3:$B$53,
        型とバイト数!$E$3:$E$53,
        IF(LEFT($H221,7)="varchar",_xlpm.可変bit数*8,
            IF(LEFT($H221,3)="bit",_xlpm.可変bit数,"???"))
    )
)</f>
        <v>1</v>
      </c>
      <c r="J221" s="22"/>
      <c r="K221" s="22"/>
      <c r="L221" s="24"/>
      <c r="M221" s="22" t="str">
        <f>IF(K221="","",IF(L221="","参照先未定義",_xlfn.XLOOKUP(L221,B:B,C:C,"エラー")))</f>
        <v/>
      </c>
      <c r="N221" s="22" t="s">
        <v>52</v>
      </c>
      <c r="O221" s="22"/>
      <c r="P221" s="22">
        <v>0</v>
      </c>
      <c r="Q221" s="22"/>
      <c r="R221" s="24"/>
      <c r="S221" s="24"/>
      <c r="T221" s="24"/>
      <c r="U221" s="22"/>
    </row>
    <row r="222" spans="1:21" ht="18.75" customHeight="1" x14ac:dyDescent="0.25">
      <c r="A222" s="24" t="s">
        <v>47</v>
      </c>
      <c r="B222" s="24" t="str">
        <f t="shared" si="0"/>
        <v>user_role_hard_delete_flag</v>
      </c>
      <c r="C222" s="25">
        <f t="shared" si="1"/>
        <v>221</v>
      </c>
      <c r="D222" s="22" t="str">
        <f t="shared" ref="D222:E222" si="202">D221</f>
        <v>user_role</v>
      </c>
      <c r="E222" s="22" t="str">
        <f t="shared" si="202"/>
        <v>ユーザー権限</v>
      </c>
      <c r="F222" s="22" t="s">
        <v>134</v>
      </c>
      <c r="G222" s="22" t="s">
        <v>135</v>
      </c>
      <c r="H222" s="22" t="s">
        <v>133</v>
      </c>
      <c r="I222" s="22">
        <f>_xlfn.LET(
    _xlpm.可変bit数,--MID(H222,FIND("(",H222)+1,FIND(")",H222)-FIND("(",H222)-1),
    _xlfn.XLOOKUP(
        $H222,
        型とバイト数!$B$3:$B$53,
        型とバイト数!$E$3:$E$53,
        IF(LEFT($H222,7)="varchar",_xlpm.可変bit数*8,
            IF(LEFT($H222,3)="bit",_xlpm.可変bit数,"???"))
    )
)</f>
        <v>1</v>
      </c>
      <c r="J222" s="22"/>
      <c r="K222" s="22"/>
      <c r="L222" s="24"/>
      <c r="M222" s="22" t="str">
        <f>IF(K222="","",IF(L222="","参照先未定義",_xlfn.XLOOKUP(L222,B:B,C:C,"エラー")))</f>
        <v/>
      </c>
      <c r="N222" s="22" t="s">
        <v>52</v>
      </c>
      <c r="O222" s="22"/>
      <c r="P222" s="22">
        <v>0</v>
      </c>
      <c r="Q222" s="22"/>
      <c r="R222" s="24"/>
      <c r="S222" s="24"/>
      <c r="T222" s="24"/>
      <c r="U222" s="22"/>
    </row>
    <row r="223" spans="1:21" ht="18.75" customHeight="1" x14ac:dyDescent="0.25">
      <c r="A223" s="24" t="s">
        <v>47</v>
      </c>
      <c r="B223" s="24" t="str">
        <f t="shared" si="0"/>
        <v>imagse_contents_uuid</v>
      </c>
      <c r="C223" s="25">
        <f t="shared" si="1"/>
        <v>222</v>
      </c>
      <c r="D223" s="22" t="s">
        <v>292</v>
      </c>
      <c r="E223" s="22" t="s">
        <v>293</v>
      </c>
      <c r="F223" s="22" t="s">
        <v>50</v>
      </c>
      <c r="G223" s="22" t="s">
        <v>51</v>
      </c>
      <c r="H223" s="22" t="s">
        <v>50</v>
      </c>
      <c r="I223" s="22">
        <f>_xlfn.LET(
    _xlpm.可変bit数,--MID(H223,FIND("(",H223)+1,FIND(")",H223)-FIND("(",H223)-1),
    _xlfn.XLOOKUP(
        $H223,
        型とバイト数!$B$3:$B$53,
        型とバイト数!$E$3:$E$53,
        IF(LEFT($H223,7)="varchar",_xlpm.可変bit数*8,
            IF(LEFT($H223,3)="bit",_xlpm.可変bit数,"???"))
    )
)</f>
        <v>128</v>
      </c>
      <c r="J223" s="22" t="s">
        <v>52</v>
      </c>
      <c r="K223" s="22"/>
      <c r="L223" s="24"/>
      <c r="M223" s="22" t="str">
        <f>IF(K223="","",IF(L223="","参照先未定義",_xlfn.XLOOKUP(L223,B:B,C:C,"エラー")))</f>
        <v/>
      </c>
      <c r="N223" s="22"/>
      <c r="O223" s="22"/>
      <c r="P223" s="22"/>
      <c r="Q223" s="22"/>
      <c r="R223" s="24"/>
      <c r="S223" s="24"/>
      <c r="T223" s="24"/>
      <c r="U223" s="22"/>
    </row>
    <row r="224" spans="1:21" ht="18.75" customHeight="1" x14ac:dyDescent="0.25">
      <c r="A224" s="24" t="s">
        <v>47</v>
      </c>
      <c r="B224" s="24" t="str">
        <f t="shared" si="0"/>
        <v>imagse_contents_image_id</v>
      </c>
      <c r="C224" s="25">
        <f t="shared" si="1"/>
        <v>223</v>
      </c>
      <c r="D224" s="22" t="str">
        <f t="shared" ref="D224:E224" si="203">D223</f>
        <v>imagse_contents</v>
      </c>
      <c r="E224" s="22" t="str">
        <f t="shared" si="203"/>
        <v>画像(ユーザー投稿)</v>
      </c>
      <c r="F224" s="22" t="s">
        <v>239</v>
      </c>
      <c r="G224" s="22" t="s">
        <v>240</v>
      </c>
      <c r="H224" s="22" t="s">
        <v>63</v>
      </c>
      <c r="I224" s="22">
        <f>_xlfn.LET(
    _xlpm.可変bit数,--MID(H224,FIND("(",H224)+1,FIND(")",H224)-FIND("(",H224)-1),
    _xlfn.XLOOKUP(
        $H224,
        型とバイト数!$B$3:$B$53,
        型とバイト数!$E$3:$E$53,
        IF(LEFT($H224,7)="varchar",_xlpm.可変bit数*8,
            IF(LEFT($H224,3)="bit",_xlpm.可変bit数,"???"))
    )
)</f>
        <v>64</v>
      </c>
      <c r="J224" s="22" t="s">
        <v>52</v>
      </c>
      <c r="K224" s="22"/>
      <c r="L224" s="24"/>
      <c r="M224" s="22" t="str">
        <f>IF(K224="","",IF(L224="","参照先未定義",_xlfn.XLOOKUP(L224,B:B,C:C,"エラー")))</f>
        <v/>
      </c>
      <c r="N224" s="22"/>
      <c r="O224" s="22"/>
      <c r="P224" s="22"/>
      <c r="Q224" s="22"/>
      <c r="R224" s="24"/>
      <c r="S224" s="24"/>
      <c r="T224" s="24"/>
      <c r="U224" s="22"/>
    </row>
    <row r="225" spans="1:21" ht="18.75" customHeight="1" x14ac:dyDescent="0.25">
      <c r="A225" s="24" t="s">
        <v>47</v>
      </c>
      <c r="B225" s="24" t="str">
        <f t="shared" si="0"/>
        <v>imagse_contents_user_id</v>
      </c>
      <c r="C225" s="25">
        <f t="shared" si="1"/>
        <v>224</v>
      </c>
      <c r="D225" s="22" t="str">
        <f t="shared" ref="D225:E225" si="204">D224</f>
        <v>imagse_contents</v>
      </c>
      <c r="E225" s="22" t="str">
        <f t="shared" si="204"/>
        <v>画像(ユーザー投稿)</v>
      </c>
      <c r="F225" s="22" t="s">
        <v>59</v>
      </c>
      <c r="G225" s="22" t="s">
        <v>60</v>
      </c>
      <c r="H225" s="22" t="s">
        <v>56</v>
      </c>
      <c r="I225" s="22">
        <f>_xlfn.LET(
    _xlpm.可変bit数,--MID(H225,FIND("(",H225)+1,FIND(")",H225)-FIND("(",H225)-1),
    _xlfn.XLOOKUP(
        $H225,
        型とバイト数!$B$3:$B$53,
        型とバイト数!$E$3:$E$53,
        IF(LEFT($H225,7)="varchar",_xlpm.可変bit数*8,
            IF(LEFT($H225,3)="bit",_xlpm.可変bit数,"???"))
    )
)</f>
        <v>64</v>
      </c>
      <c r="J225" s="22"/>
      <c r="K225" s="22" t="s">
        <v>52</v>
      </c>
      <c r="L225" s="24" t="s">
        <v>61</v>
      </c>
      <c r="M225" s="22">
        <f>IF(K225="","",IF(L225="","参照先未定義",_xlfn.XLOOKUP(L225,B:B,C:C,"エラー")))</f>
        <v>186</v>
      </c>
      <c r="N225" s="22" t="s">
        <v>52</v>
      </c>
      <c r="O225" s="22"/>
      <c r="P225" s="22"/>
      <c r="Q225" s="22"/>
      <c r="R225" s="24"/>
      <c r="S225" s="24"/>
      <c r="T225" s="24"/>
      <c r="U225" s="22"/>
    </row>
    <row r="226" spans="1:21" ht="18.75" customHeight="1" x14ac:dyDescent="0.25">
      <c r="A226" s="24" t="s">
        <v>47</v>
      </c>
      <c r="B226" s="24" t="str">
        <f t="shared" si="0"/>
        <v>imagse_contents_gcs_bucket</v>
      </c>
      <c r="C226" s="25">
        <f t="shared" si="1"/>
        <v>225</v>
      </c>
      <c r="D226" s="22" t="str">
        <f t="shared" ref="D226:E226" si="205">D225</f>
        <v>imagse_contents</v>
      </c>
      <c r="E226" s="22" t="str">
        <f t="shared" si="205"/>
        <v>画像(ユーザー投稿)</v>
      </c>
      <c r="F226" s="22" t="s">
        <v>294</v>
      </c>
      <c r="G226" s="22" t="s">
        <v>295</v>
      </c>
      <c r="H226" s="22" t="s">
        <v>296</v>
      </c>
      <c r="I226" s="22">
        <f>_xlfn.LET(
    _xlpm.可変bit数,--MID(H226,FIND("(",H226)+1,FIND(")",H226)-FIND("(",H226)-1),
    _xlfn.XLOOKUP(
        $H226,
        型とバイト数!$B$3:$B$53,
        型とバイト数!$E$3:$E$53,
        IF(LEFT($H226,7)="varchar",_xlpm.可変bit数*8,
            IF(LEFT($H226,3)="bit",_xlpm.可変bit数,"???"))
    )
)</f>
        <v>800</v>
      </c>
      <c r="J226" s="22"/>
      <c r="K226" s="22"/>
      <c r="L226" s="24"/>
      <c r="M226" s="22" t="str">
        <f>IF(K226="","",IF(L226="","参照先未定義",_xlfn.XLOOKUP(L226,B:B,C:C,"エラー")))</f>
        <v/>
      </c>
      <c r="N226" s="22" t="s">
        <v>52</v>
      </c>
      <c r="O226" s="22"/>
      <c r="P226" s="22"/>
      <c r="Q226" s="22"/>
      <c r="R226" s="24"/>
      <c r="S226" s="24"/>
      <c r="T226" s="24"/>
      <c r="U226" s="22"/>
    </row>
    <row r="227" spans="1:21" ht="18.75" customHeight="1" x14ac:dyDescent="0.25">
      <c r="A227" s="24" t="s">
        <v>47</v>
      </c>
      <c r="B227" s="24" t="str">
        <f t="shared" si="0"/>
        <v>imagse_contents_gcs_object_name</v>
      </c>
      <c r="C227" s="25">
        <f t="shared" si="1"/>
        <v>226</v>
      </c>
      <c r="D227" s="22" t="str">
        <f t="shared" ref="D227:E227" si="206">D226</f>
        <v>imagse_contents</v>
      </c>
      <c r="E227" s="22" t="str">
        <f t="shared" si="206"/>
        <v>画像(ユーザー投稿)</v>
      </c>
      <c r="F227" s="22" t="s">
        <v>297</v>
      </c>
      <c r="G227" s="22" t="s">
        <v>298</v>
      </c>
      <c r="H227" s="22" t="s">
        <v>299</v>
      </c>
      <c r="I227" s="22">
        <f>_xlfn.LET(
    _xlpm.可変bit数,--MID(H227,FIND("(",H227)+1,FIND(")",H227)-FIND("(",H227)-1),
    _xlfn.XLOOKUP(
        $H227,
        型とバイト数!$B$3:$B$53,
        型とバイト数!$E$3:$E$53,
        IF(LEFT($H227,7)="varchar",_xlpm.可変bit数*8,
            IF(LEFT($H227,3)="bit",_xlpm.可変bit数,"???"))
    )
)</f>
        <v>4096</v>
      </c>
      <c r="J227" s="22"/>
      <c r="K227" s="22"/>
      <c r="L227" s="24"/>
      <c r="M227" s="22" t="str">
        <f>IF(K227="","",IF(L227="","参照先未定義",_xlfn.XLOOKUP(L227,B:B,C:C,"エラー")))</f>
        <v/>
      </c>
      <c r="N227" s="22" t="s">
        <v>52</v>
      </c>
      <c r="O227" s="22"/>
      <c r="P227" s="22"/>
      <c r="Q227" s="22" t="s">
        <v>300</v>
      </c>
      <c r="R227" s="24"/>
      <c r="S227" s="24"/>
      <c r="T227" s="24"/>
      <c r="U227" s="22"/>
    </row>
    <row r="228" spans="1:21" ht="18.75" customHeight="1" x14ac:dyDescent="0.25">
      <c r="A228" s="24" t="s">
        <v>47</v>
      </c>
      <c r="B228" s="24" t="str">
        <f t="shared" si="0"/>
        <v>imagse_contents_cdn_url</v>
      </c>
      <c r="C228" s="25">
        <f t="shared" si="1"/>
        <v>227</v>
      </c>
      <c r="D228" s="22" t="str">
        <f t="shared" ref="D228:E228" si="207">D227</f>
        <v>imagse_contents</v>
      </c>
      <c r="E228" s="22" t="str">
        <f t="shared" si="207"/>
        <v>画像(ユーザー投稿)</v>
      </c>
      <c r="F228" s="22" t="s">
        <v>301</v>
      </c>
      <c r="G228" s="22" t="s">
        <v>302</v>
      </c>
      <c r="H228" s="22" t="s">
        <v>299</v>
      </c>
      <c r="I228" s="22">
        <f>_xlfn.LET(
    _xlpm.可変bit数,--MID(H228,FIND("(",H228)+1,FIND(")",H228)-FIND("(",H228)-1),
    _xlfn.XLOOKUP(
        $H228,
        型とバイト数!$B$3:$B$53,
        型とバイト数!$E$3:$E$53,
        IF(LEFT($H228,7)="varchar",_xlpm.可変bit数*8,
            IF(LEFT($H228,3)="bit",_xlpm.可変bit数,"???"))
    )
)</f>
        <v>4096</v>
      </c>
      <c r="J228" s="22"/>
      <c r="K228" s="22"/>
      <c r="L228" s="24"/>
      <c r="M228" s="22" t="str">
        <f>IF(K228="","",IF(L228="","参照先未定義",_xlfn.XLOOKUP(L228,B:B,C:C,"エラー")))</f>
        <v/>
      </c>
      <c r="N228" s="22"/>
      <c r="O228" s="22"/>
      <c r="P228" s="22"/>
      <c r="Q228" s="22" t="s">
        <v>303</v>
      </c>
      <c r="R228" s="24"/>
      <c r="S228" s="24"/>
      <c r="T228" s="24"/>
      <c r="U228" s="22"/>
    </row>
    <row r="229" spans="1:21" ht="18.75" customHeight="1" x14ac:dyDescent="0.25">
      <c r="A229" s="24" t="s">
        <v>47</v>
      </c>
      <c r="B229" s="24" t="str">
        <f t="shared" si="0"/>
        <v>imagse_contents_content_type</v>
      </c>
      <c r="C229" s="25">
        <f t="shared" si="1"/>
        <v>228</v>
      </c>
      <c r="D229" s="22" t="str">
        <f t="shared" ref="D229:E229" si="208">D228</f>
        <v>imagse_contents</v>
      </c>
      <c r="E229" s="22" t="str">
        <f t="shared" si="208"/>
        <v>画像(ユーザー投稿)</v>
      </c>
      <c r="F229" s="22" t="s">
        <v>304</v>
      </c>
      <c r="G229" s="22" t="s">
        <v>305</v>
      </c>
      <c r="H229" s="22" t="s">
        <v>306</v>
      </c>
      <c r="I229" s="22">
        <f>_xlfn.LET(
    _xlpm.可変bit数,--MID(H229,FIND("(",H229)+1,FIND(")",H229)-FIND("(",H229)-1),
    _xlfn.XLOOKUP(
        $H229,
        型とバイト数!$B$3:$B$53,
        型とバイト数!$E$3:$E$53,
        IF(LEFT($H229,7)="varchar",_xlpm.可変bit数*8,
            IF(LEFT($H229,3)="bit",_xlpm.可変bit数,"???"))
    )
)</f>
        <v>400</v>
      </c>
      <c r="J229" s="22"/>
      <c r="K229" s="22"/>
      <c r="L229" s="24"/>
      <c r="M229" s="22" t="str">
        <f>IF(K229="","",IF(L229="","参照先未定義",_xlfn.XLOOKUP(L229,B:B,C:C,"エラー")))</f>
        <v/>
      </c>
      <c r="N229" s="22"/>
      <c r="O229" s="22"/>
      <c r="P229" s="22"/>
      <c r="Q229" s="22" t="s">
        <v>307</v>
      </c>
      <c r="R229" s="24"/>
      <c r="S229" s="24"/>
      <c r="T229" s="24"/>
      <c r="U229" s="22"/>
    </row>
    <row r="230" spans="1:21" ht="18.75" customHeight="1" x14ac:dyDescent="0.25">
      <c r="A230" s="24" t="s">
        <v>47</v>
      </c>
      <c r="B230" s="24" t="str">
        <f t="shared" si="0"/>
        <v>imagse_contents_width</v>
      </c>
      <c r="C230" s="25">
        <f t="shared" si="1"/>
        <v>229</v>
      </c>
      <c r="D230" s="22" t="str">
        <f t="shared" ref="D230:E230" si="209">D229</f>
        <v>imagse_contents</v>
      </c>
      <c r="E230" s="22" t="str">
        <f t="shared" si="209"/>
        <v>画像(ユーザー投稿)</v>
      </c>
      <c r="F230" s="22" t="s">
        <v>308</v>
      </c>
      <c r="G230" s="22" t="s">
        <v>309</v>
      </c>
      <c r="H230" s="22" t="s">
        <v>113</v>
      </c>
      <c r="I230" s="22">
        <f>_xlfn.LET(
    _xlpm.可変bit数,--MID(H230,FIND("(",H230)+1,FIND(")",H230)-FIND("(",H230)-1),
    _xlfn.XLOOKUP(
        $H230,
        型とバイト数!$B$3:$B$53,
        型とバイト数!$E$3:$E$53,
        IF(LEFT($H230,7)="varchar",_xlpm.可変bit数*8,
            IF(LEFT($H230,3)="bit",_xlpm.可変bit数,"???"))
    )
)</f>
        <v>32</v>
      </c>
      <c r="J230" s="22"/>
      <c r="K230" s="22"/>
      <c r="L230" s="24"/>
      <c r="M230" s="22" t="str">
        <f>IF(K230="","",IF(L230="","参照先未定義",_xlfn.XLOOKUP(L230,B:B,C:C,"エラー")))</f>
        <v/>
      </c>
      <c r="N230" s="22"/>
      <c r="O230" s="22"/>
      <c r="P230" s="22"/>
      <c r="Q230" s="22"/>
      <c r="R230" s="24"/>
      <c r="S230" s="24"/>
      <c r="T230" s="24"/>
      <c r="U230" s="22"/>
    </row>
    <row r="231" spans="1:21" ht="18.75" customHeight="1" x14ac:dyDescent="0.25">
      <c r="A231" s="24" t="s">
        <v>47</v>
      </c>
      <c r="B231" s="24" t="str">
        <f t="shared" si="0"/>
        <v>imagse_contents_height</v>
      </c>
      <c r="C231" s="25">
        <f t="shared" si="1"/>
        <v>230</v>
      </c>
      <c r="D231" s="22" t="str">
        <f t="shared" ref="D231:E231" si="210">D230</f>
        <v>imagse_contents</v>
      </c>
      <c r="E231" s="22" t="str">
        <f t="shared" si="210"/>
        <v>画像(ユーザー投稿)</v>
      </c>
      <c r="F231" s="22" t="s">
        <v>85</v>
      </c>
      <c r="G231" s="22" t="s">
        <v>310</v>
      </c>
      <c r="H231" s="22" t="s">
        <v>113</v>
      </c>
      <c r="I231" s="22">
        <f>_xlfn.LET(
    _xlpm.可変bit数,--MID(H231,FIND("(",H231)+1,FIND(")",H231)-FIND("(",H231)-1),
    _xlfn.XLOOKUP(
        $H231,
        型とバイト数!$B$3:$B$53,
        型とバイト数!$E$3:$E$53,
        IF(LEFT($H231,7)="varchar",_xlpm.可変bit数*8,
            IF(LEFT($H231,3)="bit",_xlpm.可変bit数,"???"))
    )
)</f>
        <v>32</v>
      </c>
      <c r="J231" s="22"/>
      <c r="K231" s="22"/>
      <c r="L231" s="24"/>
      <c r="M231" s="22" t="str">
        <f>IF(K231="","",IF(L231="","参照先未定義",_xlfn.XLOOKUP(L231,B:B,C:C,"エラー")))</f>
        <v/>
      </c>
      <c r="N231" s="22"/>
      <c r="O231" s="22"/>
      <c r="P231" s="22"/>
      <c r="Q231" s="22"/>
      <c r="R231" s="24"/>
      <c r="S231" s="24"/>
      <c r="T231" s="24"/>
      <c r="U231" s="22"/>
    </row>
    <row r="232" spans="1:21" ht="18.75" customHeight="1" x14ac:dyDescent="0.25">
      <c r="A232" s="24" t="s">
        <v>47</v>
      </c>
      <c r="B232" s="24" t="str">
        <f t="shared" si="0"/>
        <v>imagse_contents_file_size</v>
      </c>
      <c r="C232" s="25">
        <f t="shared" si="1"/>
        <v>231</v>
      </c>
      <c r="D232" s="22" t="str">
        <f t="shared" ref="D232:E232" si="211">D231</f>
        <v>imagse_contents</v>
      </c>
      <c r="E232" s="22" t="str">
        <f t="shared" si="211"/>
        <v>画像(ユーザー投稿)</v>
      </c>
      <c r="F232" s="22" t="s">
        <v>311</v>
      </c>
      <c r="G232" s="22" t="s">
        <v>312</v>
      </c>
      <c r="H232" s="22" t="s">
        <v>113</v>
      </c>
      <c r="I232" s="22">
        <f>_xlfn.LET(
    _xlpm.可変bit数,--MID(H232,FIND("(",H232)+1,FIND(")",H232)-FIND("(",H232)-1),
    _xlfn.XLOOKUP(
        $H232,
        型とバイト数!$B$3:$B$53,
        型とバイト数!$E$3:$E$53,
        IF(LEFT($H232,7)="varchar",_xlpm.可変bit数*8,
            IF(LEFT($H232,3)="bit",_xlpm.可変bit数,"???"))
    )
)</f>
        <v>32</v>
      </c>
      <c r="J232" s="22"/>
      <c r="K232" s="22"/>
      <c r="L232" s="24"/>
      <c r="M232" s="22" t="str">
        <f>IF(K232="","",IF(L232="","参照先未定義",_xlfn.XLOOKUP(L232,B:B,C:C,"エラー")))</f>
        <v/>
      </c>
      <c r="N232" s="22"/>
      <c r="O232" s="22"/>
      <c r="P232" s="22"/>
      <c r="Q232" s="22"/>
      <c r="R232" s="24"/>
      <c r="S232" s="24"/>
      <c r="T232" s="24"/>
      <c r="U232" s="22"/>
    </row>
    <row r="233" spans="1:21" ht="18.75" customHeight="1" x14ac:dyDescent="0.25">
      <c r="A233" s="24" t="s">
        <v>47</v>
      </c>
      <c r="B233" s="24" t="str">
        <f t="shared" si="0"/>
        <v>imagse_contents_alt_text</v>
      </c>
      <c r="C233" s="25">
        <f t="shared" si="1"/>
        <v>232</v>
      </c>
      <c r="D233" s="22" t="str">
        <f t="shared" ref="D233:E233" si="212">D232</f>
        <v>imagse_contents</v>
      </c>
      <c r="E233" s="22" t="str">
        <f t="shared" si="212"/>
        <v>画像(ユーザー投稿)</v>
      </c>
      <c r="F233" s="22" t="s">
        <v>313</v>
      </c>
      <c r="G233" s="22" t="s">
        <v>314</v>
      </c>
      <c r="H233" s="22" t="s">
        <v>191</v>
      </c>
      <c r="I233" s="22">
        <f>_xlfn.LET(
    _xlpm.可変bit数,--MID(H233,FIND("(",H233)+1,FIND(")",H233)-FIND("(",H233)-1),
    _xlfn.XLOOKUP(
        $H233,
        型とバイト数!$B$3:$B$53,
        型とバイト数!$E$3:$E$53,
        IF(LEFT($H233,7)="varchar",_xlpm.可変bit数*8,
            IF(LEFT($H233,3)="bit",_xlpm.可変bit数,"???"))
    )
)</f>
        <v>2040</v>
      </c>
      <c r="J233" s="22"/>
      <c r="K233" s="22"/>
      <c r="L233" s="24"/>
      <c r="M233" s="22" t="str">
        <f>IF(K233="","",IF(L233="","参照先未定義",_xlfn.XLOOKUP(L233,B:B,C:C,"エラー")))</f>
        <v/>
      </c>
      <c r="N233" s="22"/>
      <c r="O233" s="22"/>
      <c r="P233" s="22"/>
      <c r="Q233" s="22"/>
      <c r="R233" s="24"/>
      <c r="S233" s="24"/>
      <c r="T233" s="24"/>
      <c r="U233" s="22"/>
    </row>
    <row r="234" spans="1:21" ht="18.75" customHeight="1" x14ac:dyDescent="0.25">
      <c r="A234" s="24" t="s">
        <v>47</v>
      </c>
      <c r="B234" s="24" t="str">
        <f t="shared" si="0"/>
        <v>imagse_contents_create_datetime</v>
      </c>
      <c r="C234" s="25">
        <f t="shared" si="1"/>
        <v>233</v>
      </c>
      <c r="D234" s="22" t="str">
        <f t="shared" ref="D234:E234" si="213">D233</f>
        <v>imagse_contents</v>
      </c>
      <c r="E234" s="22" t="str">
        <f t="shared" si="213"/>
        <v>画像(ユーザー投稿)</v>
      </c>
      <c r="F234" s="22" t="s">
        <v>120</v>
      </c>
      <c r="G234" s="22" t="s">
        <v>121</v>
      </c>
      <c r="H234" s="22" t="s">
        <v>78</v>
      </c>
      <c r="I234" s="22">
        <f>_xlfn.LET(
    _xlpm.可変bit数,--MID(H234,FIND("(",H234)+1,FIND(")",H234)-FIND("(",H234)-1),
    _xlfn.XLOOKUP(
        $H234,
        型とバイト数!$B$3:$B$53,
        型とバイト数!$E$3:$E$53,
        IF(LEFT($H234,7)="varchar",_xlpm.可変bit数*8,
            IF(LEFT($H234,3)="bit",_xlpm.可変bit数,"???"))
    )
)</f>
        <v>64</v>
      </c>
      <c r="J234" s="22"/>
      <c r="K234" s="22"/>
      <c r="L234" s="24"/>
      <c r="M234" s="22" t="str">
        <f>IF(K234="","",IF(L234="","参照先未定義",_xlfn.XLOOKUP(L234,B:B,C:C,"エラー")))</f>
        <v/>
      </c>
      <c r="N234" s="22" t="s">
        <v>52</v>
      </c>
      <c r="O234" s="22"/>
      <c r="P234" s="22" t="s">
        <v>122</v>
      </c>
      <c r="Q234" s="22"/>
      <c r="R234" s="24"/>
      <c r="S234" s="24"/>
      <c r="T234" s="24"/>
      <c r="U234" s="22"/>
    </row>
    <row r="235" spans="1:21" ht="18.75" customHeight="1" x14ac:dyDescent="0.25">
      <c r="A235" s="24" t="s">
        <v>47</v>
      </c>
      <c r="B235" s="24" t="str">
        <f t="shared" si="0"/>
        <v>imagse_contents_create_user</v>
      </c>
      <c r="C235" s="25">
        <f t="shared" si="1"/>
        <v>234</v>
      </c>
      <c r="D235" s="22" t="str">
        <f t="shared" ref="D235:E235" si="214">D234</f>
        <v>imagse_contents</v>
      </c>
      <c r="E235" s="22" t="str">
        <f t="shared" si="214"/>
        <v>画像(ユーザー投稿)</v>
      </c>
      <c r="F235" s="22" t="s">
        <v>123</v>
      </c>
      <c r="G235" s="22" t="s">
        <v>124</v>
      </c>
      <c r="H235" s="22" t="s">
        <v>75</v>
      </c>
      <c r="I235" s="22">
        <f>_xlfn.LET(
    _xlpm.可変bit数,--MID(H235,FIND("(",H235)+1,FIND(")",H235)-FIND("(",H235)-1),
    _xlfn.XLOOKUP(
        $H235,
        型とバイト数!$B$3:$B$53,
        型とバイト数!$E$3:$E$53,
        IF(LEFT($H235,7)="varchar",_xlpm.可変bit数*8,
            IF(LEFT($H235,3)="bit",_xlpm.可変bit数,"???"))
    )
)</f>
        <v>256</v>
      </c>
      <c r="J235" s="22"/>
      <c r="K235" s="22"/>
      <c r="L235" s="24"/>
      <c r="M235" s="22" t="str">
        <f>IF(K235="","",IF(L235="","参照先未定義",_xlfn.XLOOKUP(L235,B:B,C:C,"エラー")))</f>
        <v/>
      </c>
      <c r="N235" s="22" t="s">
        <v>52</v>
      </c>
      <c r="O235" s="22"/>
      <c r="P235" s="22" t="s">
        <v>125</v>
      </c>
      <c r="Q235" s="22"/>
      <c r="R235" s="24"/>
      <c r="S235" s="24"/>
      <c r="T235" s="24"/>
      <c r="U235" s="22" t="s">
        <v>126</v>
      </c>
    </row>
    <row r="236" spans="1:21" ht="18.75" customHeight="1" x14ac:dyDescent="0.25">
      <c r="A236" s="24" t="s">
        <v>47</v>
      </c>
      <c r="B236" s="24" t="str">
        <f t="shared" si="0"/>
        <v>imagse_contents_update_datetime</v>
      </c>
      <c r="C236" s="25">
        <f t="shared" si="1"/>
        <v>235</v>
      </c>
      <c r="D236" s="22" t="str">
        <f t="shared" ref="D236:E236" si="215">D235</f>
        <v>imagse_contents</v>
      </c>
      <c r="E236" s="22" t="str">
        <f t="shared" si="215"/>
        <v>画像(ユーザー投稿)</v>
      </c>
      <c r="F236" s="22" t="s">
        <v>127</v>
      </c>
      <c r="G236" s="22" t="s">
        <v>128</v>
      </c>
      <c r="H236" s="22" t="s">
        <v>78</v>
      </c>
      <c r="I236" s="22">
        <f>_xlfn.LET(
    _xlpm.可変bit数,--MID(H236,FIND("(",H236)+1,FIND(")",H236)-FIND("(",H236)-1),
    _xlfn.XLOOKUP(
        $H236,
        型とバイト数!$B$3:$B$53,
        型とバイト数!$E$3:$E$53,
        IF(LEFT($H236,7)="varchar",_xlpm.可変bit数*8,
            IF(LEFT($H236,3)="bit",_xlpm.可変bit数,"???"))
    )
)</f>
        <v>64</v>
      </c>
      <c r="J236" s="22"/>
      <c r="K236" s="22"/>
      <c r="L236" s="24"/>
      <c r="M236" s="22" t="str">
        <f>IF(K236="","",IF(L236="","参照先未定義",_xlfn.XLOOKUP(L236,B:B,C:C,"エラー")))</f>
        <v/>
      </c>
      <c r="N236" s="22" t="s">
        <v>52</v>
      </c>
      <c r="O236" s="22"/>
      <c r="P236" s="22" t="s">
        <v>122</v>
      </c>
      <c r="Q236" s="22"/>
      <c r="R236" s="24"/>
      <c r="S236" s="24"/>
      <c r="T236" s="24"/>
      <c r="U236" s="22"/>
    </row>
    <row r="237" spans="1:21" ht="18.75" customHeight="1" x14ac:dyDescent="0.25">
      <c r="A237" s="24" t="s">
        <v>47</v>
      </c>
      <c r="B237" s="24" t="str">
        <f t="shared" si="0"/>
        <v>imagse_contents_update_user</v>
      </c>
      <c r="C237" s="25">
        <f t="shared" si="1"/>
        <v>236</v>
      </c>
      <c r="D237" s="22" t="str">
        <f t="shared" ref="D237:E237" si="216">D236</f>
        <v>imagse_contents</v>
      </c>
      <c r="E237" s="22" t="str">
        <f t="shared" si="216"/>
        <v>画像(ユーザー投稿)</v>
      </c>
      <c r="F237" s="22" t="s">
        <v>129</v>
      </c>
      <c r="G237" s="22" t="s">
        <v>130</v>
      </c>
      <c r="H237" s="22" t="s">
        <v>75</v>
      </c>
      <c r="I237" s="22">
        <f>_xlfn.LET(
    _xlpm.可変bit数,--MID(H237,FIND("(",H237)+1,FIND(")",H237)-FIND("(",H237)-1),
    _xlfn.XLOOKUP(
        $H237,
        型とバイト数!$B$3:$B$53,
        型とバイト数!$E$3:$E$53,
        IF(LEFT($H237,7)="varchar",_xlpm.可変bit数*8,
            IF(LEFT($H237,3)="bit",_xlpm.可変bit数,"???"))
    )
)</f>
        <v>256</v>
      </c>
      <c r="J237" s="22"/>
      <c r="K237" s="22"/>
      <c r="L237" s="24"/>
      <c r="M237" s="22" t="str">
        <f>IF(K237="","",IF(L237="","参照先未定義",_xlfn.XLOOKUP(L237,B:B,C:C,"エラー")))</f>
        <v/>
      </c>
      <c r="N237" s="22" t="s">
        <v>52</v>
      </c>
      <c r="O237" s="22"/>
      <c r="P237" s="22" t="s">
        <v>125</v>
      </c>
      <c r="Q237" s="22"/>
      <c r="R237" s="24"/>
      <c r="S237" s="24"/>
      <c r="T237" s="24"/>
      <c r="U237" s="22" t="s">
        <v>126</v>
      </c>
    </row>
    <row r="238" spans="1:21" ht="18.75" customHeight="1" x14ac:dyDescent="0.25">
      <c r="A238" s="24" t="s">
        <v>47</v>
      </c>
      <c r="B238" s="24" t="str">
        <f t="shared" si="0"/>
        <v>imagse_contents_soft_delete_flag</v>
      </c>
      <c r="C238" s="25">
        <f t="shared" si="1"/>
        <v>237</v>
      </c>
      <c r="D238" s="22" t="str">
        <f t="shared" ref="D238:E238" si="217">D237</f>
        <v>imagse_contents</v>
      </c>
      <c r="E238" s="22" t="str">
        <f t="shared" si="217"/>
        <v>画像(ユーザー投稿)</v>
      </c>
      <c r="F238" s="22" t="s">
        <v>131</v>
      </c>
      <c r="G238" s="22" t="s">
        <v>132</v>
      </c>
      <c r="H238" s="22" t="s">
        <v>133</v>
      </c>
      <c r="I238" s="22">
        <f>_xlfn.LET(
    _xlpm.可変bit数,--MID(H238,FIND("(",H238)+1,FIND(")",H238)-FIND("(",H238)-1),
    _xlfn.XLOOKUP(
        $H238,
        型とバイト数!$B$3:$B$53,
        型とバイト数!$E$3:$E$53,
        IF(LEFT($H238,7)="varchar",_xlpm.可変bit数*8,
            IF(LEFT($H238,3)="bit",_xlpm.可変bit数,"???"))
    )
)</f>
        <v>1</v>
      </c>
      <c r="J238" s="22"/>
      <c r="K238" s="22"/>
      <c r="L238" s="24"/>
      <c r="M238" s="22" t="str">
        <f>IF(K238="","",IF(L238="","参照先未定義",_xlfn.XLOOKUP(L238,B:B,C:C,"エラー")))</f>
        <v/>
      </c>
      <c r="N238" s="22" t="s">
        <v>52</v>
      </c>
      <c r="O238" s="22"/>
      <c r="P238" s="22">
        <v>0</v>
      </c>
      <c r="Q238" s="22"/>
      <c r="R238" s="24"/>
      <c r="S238" s="24"/>
      <c r="T238" s="24"/>
      <c r="U238" s="22"/>
    </row>
    <row r="239" spans="1:21" ht="18.75" customHeight="1" x14ac:dyDescent="0.25">
      <c r="A239" s="24" t="s">
        <v>47</v>
      </c>
      <c r="B239" s="24" t="str">
        <f t="shared" si="0"/>
        <v>imagse_contents_hard_delete_flag</v>
      </c>
      <c r="C239" s="25">
        <f t="shared" si="1"/>
        <v>238</v>
      </c>
      <c r="D239" s="22" t="str">
        <f t="shared" ref="D239:E239" si="218">D238</f>
        <v>imagse_contents</v>
      </c>
      <c r="E239" s="22" t="str">
        <f t="shared" si="218"/>
        <v>画像(ユーザー投稿)</v>
      </c>
      <c r="F239" s="22" t="s">
        <v>134</v>
      </c>
      <c r="G239" s="22" t="s">
        <v>135</v>
      </c>
      <c r="H239" s="22" t="s">
        <v>133</v>
      </c>
      <c r="I239" s="22">
        <f>_xlfn.LET(
    _xlpm.可変bit数,--MID(H239,FIND("(",H239)+1,FIND(")",H239)-FIND("(",H239)-1),
    _xlfn.XLOOKUP(
        $H239,
        型とバイト数!$B$3:$B$53,
        型とバイト数!$E$3:$E$53,
        IF(LEFT($H239,7)="varchar",_xlpm.可変bit数*8,
            IF(LEFT($H239,3)="bit",_xlpm.可変bit数,"???"))
    )
)</f>
        <v>1</v>
      </c>
      <c r="J239" s="22"/>
      <c r="K239" s="22"/>
      <c r="L239" s="24"/>
      <c r="M239" s="22" t="str">
        <f>IF(K239="","",IF(L239="","参照先未定義",_xlfn.XLOOKUP(L239,B:B,C:C,"エラー")))</f>
        <v/>
      </c>
      <c r="N239" s="22" t="s">
        <v>52</v>
      </c>
      <c r="O239" s="22"/>
      <c r="P239" s="22">
        <v>0</v>
      </c>
      <c r="Q239" s="22"/>
      <c r="R239" s="24"/>
      <c r="S239" s="24"/>
      <c r="T239" s="24"/>
      <c r="U239" s="22"/>
    </row>
    <row r="240" spans="1:21" ht="18.75" customHeight="1" x14ac:dyDescent="0.25">
      <c r="A240" s="24" t="s">
        <v>47</v>
      </c>
      <c r="B240" s="24" t="str">
        <f t="shared" si="0"/>
        <v>imagse_system_uuid</v>
      </c>
      <c r="C240" s="25">
        <f t="shared" si="1"/>
        <v>239</v>
      </c>
      <c r="D240" s="22" t="s">
        <v>315</v>
      </c>
      <c r="E240" s="22" t="s">
        <v>316</v>
      </c>
      <c r="F240" s="22" t="s">
        <v>50</v>
      </c>
      <c r="G240" s="22" t="s">
        <v>51</v>
      </c>
      <c r="H240" s="22" t="s">
        <v>50</v>
      </c>
      <c r="I240" s="22">
        <f>_xlfn.LET(
    _xlpm.可変bit数,--MID(H240,FIND("(",H240)+1,FIND(")",H240)-FIND("(",H240)-1),
    _xlfn.XLOOKUP(
        $H240,
        型とバイト数!$B$3:$B$53,
        型とバイト数!$E$3:$E$53,
        IF(LEFT($H240,7)="varchar",_xlpm.可変bit数*8,
            IF(LEFT($H240,3)="bit",_xlpm.可変bit数,"???"))
    )
)</f>
        <v>128</v>
      </c>
      <c r="J240" s="22" t="s">
        <v>52</v>
      </c>
      <c r="K240" s="22"/>
      <c r="L240" s="24"/>
      <c r="M240" s="22" t="str">
        <f>IF(K240="","",IF(L240="","参照先未定義",_xlfn.XLOOKUP(L240,B:B,C:C,"エラー")))</f>
        <v/>
      </c>
      <c r="N240" s="22"/>
      <c r="O240" s="22"/>
      <c r="P240" s="22"/>
      <c r="Q240" s="22"/>
      <c r="R240" s="24"/>
      <c r="S240" s="24"/>
      <c r="T240" s="24"/>
      <c r="U240" s="22"/>
    </row>
    <row r="241" spans="1:21" ht="18.75" customHeight="1" x14ac:dyDescent="0.25">
      <c r="A241" s="24" t="s">
        <v>47</v>
      </c>
      <c r="B241" s="24" t="str">
        <f t="shared" si="0"/>
        <v>imagse_system_image_id</v>
      </c>
      <c r="C241" s="25">
        <f t="shared" si="1"/>
        <v>240</v>
      </c>
      <c r="D241" s="22" t="str">
        <f t="shared" ref="D241:E241" si="219">D240</f>
        <v>imagse_system</v>
      </c>
      <c r="E241" s="22" t="str">
        <f t="shared" si="219"/>
        <v>画像(システム管理)</v>
      </c>
      <c r="F241" s="22" t="s">
        <v>239</v>
      </c>
      <c r="G241" s="22" t="s">
        <v>240</v>
      </c>
      <c r="H241" s="22" t="s">
        <v>63</v>
      </c>
      <c r="I241" s="22">
        <f>_xlfn.LET(
    _xlpm.可変bit数,--MID(H241,FIND("(",H241)+1,FIND(")",H241)-FIND("(",H241)-1),
    _xlfn.XLOOKUP(
        $H241,
        型とバイト数!$B$3:$B$53,
        型とバイト数!$E$3:$E$53,
        IF(LEFT($H241,7)="varchar",_xlpm.可変bit数*8,
            IF(LEFT($H241,3)="bit",_xlpm.可変bit数,"???"))
    )
)</f>
        <v>64</v>
      </c>
      <c r="J241" s="22" t="s">
        <v>52</v>
      </c>
      <c r="K241" s="22"/>
      <c r="L241" s="24"/>
      <c r="M241" s="22" t="str">
        <f>IF(K241="","",IF(L241="","参照先未定義",_xlfn.XLOOKUP(L241,B:B,C:C,"エラー")))</f>
        <v/>
      </c>
      <c r="N241" s="22"/>
      <c r="O241" s="22"/>
      <c r="P241" s="22"/>
      <c r="Q241" s="22"/>
      <c r="R241" s="24"/>
      <c r="S241" s="24"/>
      <c r="T241" s="24"/>
      <c r="U241" s="22"/>
    </row>
    <row r="242" spans="1:21" ht="18.75" customHeight="1" x14ac:dyDescent="0.25">
      <c r="A242" s="24" t="s">
        <v>47</v>
      </c>
      <c r="B242" s="24" t="str">
        <f t="shared" si="0"/>
        <v>imagse_system_gcs_bucket</v>
      </c>
      <c r="C242" s="25">
        <f t="shared" si="1"/>
        <v>241</v>
      </c>
      <c r="D242" s="22" t="str">
        <f t="shared" ref="D242:E242" si="220">D241</f>
        <v>imagse_system</v>
      </c>
      <c r="E242" s="22" t="str">
        <f t="shared" si="220"/>
        <v>画像(システム管理)</v>
      </c>
      <c r="F242" s="22" t="s">
        <v>294</v>
      </c>
      <c r="G242" s="22" t="s">
        <v>295</v>
      </c>
      <c r="H242" s="22" t="s">
        <v>296</v>
      </c>
      <c r="I242" s="22">
        <f>_xlfn.LET(
    _xlpm.可変bit数,--MID(H242,FIND("(",H242)+1,FIND(")",H242)-FIND("(",H242)-1),
    _xlfn.XLOOKUP(
        $H242,
        型とバイト数!$B$3:$B$53,
        型とバイト数!$E$3:$E$53,
        IF(LEFT($H242,7)="varchar",_xlpm.可変bit数*8,
            IF(LEFT($H242,3)="bit",_xlpm.可変bit数,"???"))
    )
)</f>
        <v>800</v>
      </c>
      <c r="J242" s="22"/>
      <c r="K242" s="22"/>
      <c r="L242" s="24"/>
      <c r="M242" s="22" t="str">
        <f>IF(K242="","",IF(L242="","参照先未定義",_xlfn.XLOOKUP(L242,B:B,C:C,"エラー")))</f>
        <v/>
      </c>
      <c r="N242" s="22" t="s">
        <v>52</v>
      </c>
      <c r="O242" s="22"/>
      <c r="P242" s="22"/>
      <c r="Q242" s="22"/>
      <c r="R242" s="24"/>
      <c r="S242" s="24"/>
      <c r="T242" s="24"/>
      <c r="U242" s="22"/>
    </row>
    <row r="243" spans="1:21" ht="18.75" customHeight="1" x14ac:dyDescent="0.25">
      <c r="A243" s="24" t="s">
        <v>47</v>
      </c>
      <c r="B243" s="24" t="str">
        <f t="shared" si="0"/>
        <v>imagse_system_gcs_object_name</v>
      </c>
      <c r="C243" s="25">
        <f t="shared" si="1"/>
        <v>242</v>
      </c>
      <c r="D243" s="22" t="str">
        <f t="shared" ref="D243:E243" si="221">D242</f>
        <v>imagse_system</v>
      </c>
      <c r="E243" s="22" t="str">
        <f t="shared" si="221"/>
        <v>画像(システム管理)</v>
      </c>
      <c r="F243" s="22" t="s">
        <v>297</v>
      </c>
      <c r="G243" s="22" t="s">
        <v>298</v>
      </c>
      <c r="H243" s="22" t="s">
        <v>299</v>
      </c>
      <c r="I243" s="22">
        <f>_xlfn.LET(
    _xlpm.可変bit数,--MID(H243,FIND("(",H243)+1,FIND(")",H243)-FIND("(",H243)-1),
    _xlfn.XLOOKUP(
        $H243,
        型とバイト数!$B$3:$B$53,
        型とバイト数!$E$3:$E$53,
        IF(LEFT($H243,7)="varchar",_xlpm.可変bit数*8,
            IF(LEFT($H243,3)="bit",_xlpm.可変bit数,"???"))
    )
)</f>
        <v>4096</v>
      </c>
      <c r="J243" s="22"/>
      <c r="K243" s="22"/>
      <c r="L243" s="24"/>
      <c r="M243" s="22" t="str">
        <f>IF(K243="","",IF(L243="","参照先未定義",_xlfn.XLOOKUP(L243,B:B,C:C,"エラー")))</f>
        <v/>
      </c>
      <c r="N243" s="22" t="s">
        <v>52</v>
      </c>
      <c r="O243" s="22"/>
      <c r="P243" s="22"/>
      <c r="Q243" s="22" t="s">
        <v>300</v>
      </c>
      <c r="R243" s="24"/>
      <c r="S243" s="24"/>
      <c r="T243" s="24"/>
      <c r="U243" s="22"/>
    </row>
    <row r="244" spans="1:21" ht="18.75" customHeight="1" x14ac:dyDescent="0.25">
      <c r="A244" s="24" t="s">
        <v>47</v>
      </c>
      <c r="B244" s="24" t="str">
        <f t="shared" si="0"/>
        <v>imagse_system_cdn_url</v>
      </c>
      <c r="C244" s="25">
        <f t="shared" si="1"/>
        <v>243</v>
      </c>
      <c r="D244" s="22" t="str">
        <f t="shared" ref="D244:E244" si="222">D243</f>
        <v>imagse_system</v>
      </c>
      <c r="E244" s="22" t="str">
        <f t="shared" si="222"/>
        <v>画像(システム管理)</v>
      </c>
      <c r="F244" s="22" t="s">
        <v>301</v>
      </c>
      <c r="G244" s="22" t="s">
        <v>302</v>
      </c>
      <c r="H244" s="22" t="s">
        <v>299</v>
      </c>
      <c r="I244" s="22">
        <f>_xlfn.LET(
    _xlpm.可変bit数,--MID(H244,FIND("(",H244)+1,FIND(")",H244)-FIND("(",H244)-1),
    _xlfn.XLOOKUP(
        $H244,
        型とバイト数!$B$3:$B$53,
        型とバイト数!$E$3:$E$53,
        IF(LEFT($H244,7)="varchar",_xlpm.可変bit数*8,
            IF(LEFT($H244,3)="bit",_xlpm.可変bit数,"???"))
    )
)</f>
        <v>4096</v>
      </c>
      <c r="J244" s="22"/>
      <c r="K244" s="22"/>
      <c r="L244" s="24"/>
      <c r="M244" s="22" t="str">
        <f>IF(K244="","",IF(L244="","参照先未定義",_xlfn.XLOOKUP(L244,B:B,C:C,"エラー")))</f>
        <v/>
      </c>
      <c r="N244" s="22"/>
      <c r="O244" s="22"/>
      <c r="P244" s="22"/>
      <c r="Q244" s="22" t="s">
        <v>303</v>
      </c>
      <c r="R244" s="24"/>
      <c r="S244" s="24"/>
      <c r="T244" s="24"/>
      <c r="U244" s="22"/>
    </row>
    <row r="245" spans="1:21" ht="18.75" customHeight="1" x14ac:dyDescent="0.25">
      <c r="A245" s="24" t="s">
        <v>47</v>
      </c>
      <c r="B245" s="24" t="str">
        <f t="shared" ref="B245:B263" si="223">D245&amp;"_"&amp;F245</f>
        <v>imagse_system_content_type</v>
      </c>
      <c r="C245" s="25">
        <f t="shared" ref="C245:C294" si="224">ROW()-1</f>
        <v>244</v>
      </c>
      <c r="D245" s="22" t="str">
        <f t="shared" ref="D245:E245" si="225">D244</f>
        <v>imagse_system</v>
      </c>
      <c r="E245" s="22" t="str">
        <f t="shared" si="225"/>
        <v>画像(システム管理)</v>
      </c>
      <c r="F245" s="22" t="s">
        <v>304</v>
      </c>
      <c r="G245" s="22" t="s">
        <v>305</v>
      </c>
      <c r="H245" s="22" t="s">
        <v>306</v>
      </c>
      <c r="I245" s="22">
        <f>_xlfn.LET(
    _xlpm.可変bit数,--MID(H245,FIND("(",H245)+1,FIND(")",H245)-FIND("(",H245)-1),
    _xlfn.XLOOKUP(
        $H245,
        型とバイト数!$B$3:$B$53,
        型とバイト数!$E$3:$E$53,
        IF(LEFT($H245,7)="varchar",_xlpm.可変bit数*8,
            IF(LEFT($H245,3)="bit",_xlpm.可変bit数,"???"))
    )
)</f>
        <v>400</v>
      </c>
      <c r="J245" s="22"/>
      <c r="K245" s="22"/>
      <c r="L245" s="24"/>
      <c r="M245" s="22" t="str">
        <f>IF(K245="","",IF(L245="","参照先未定義",_xlfn.XLOOKUP(L245,B:B,C:C,"エラー")))</f>
        <v/>
      </c>
      <c r="N245" s="22"/>
      <c r="O245" s="22"/>
      <c r="P245" s="22"/>
      <c r="Q245" s="22" t="s">
        <v>307</v>
      </c>
      <c r="R245" s="24"/>
      <c r="S245" s="24"/>
      <c r="T245" s="24"/>
      <c r="U245" s="22"/>
    </row>
    <row r="246" spans="1:21" ht="18.75" customHeight="1" x14ac:dyDescent="0.25">
      <c r="A246" s="24" t="s">
        <v>47</v>
      </c>
      <c r="B246" s="24" t="str">
        <f t="shared" si="223"/>
        <v>imagse_system_width</v>
      </c>
      <c r="C246" s="25">
        <f t="shared" si="224"/>
        <v>245</v>
      </c>
      <c r="D246" s="22" t="str">
        <f t="shared" ref="D246:E246" si="226">D245</f>
        <v>imagse_system</v>
      </c>
      <c r="E246" s="22" t="str">
        <f t="shared" si="226"/>
        <v>画像(システム管理)</v>
      </c>
      <c r="F246" s="22" t="s">
        <v>308</v>
      </c>
      <c r="G246" s="22" t="s">
        <v>309</v>
      </c>
      <c r="H246" s="22" t="s">
        <v>113</v>
      </c>
      <c r="I246" s="22">
        <f>_xlfn.LET(
    _xlpm.可変bit数,--MID(H246,FIND("(",H246)+1,FIND(")",H246)-FIND("(",H246)-1),
    _xlfn.XLOOKUP(
        $H246,
        型とバイト数!$B$3:$B$53,
        型とバイト数!$E$3:$E$53,
        IF(LEFT($H246,7)="varchar",_xlpm.可変bit数*8,
            IF(LEFT($H246,3)="bit",_xlpm.可変bit数,"???"))
    )
)</f>
        <v>32</v>
      </c>
      <c r="J246" s="22"/>
      <c r="K246" s="22"/>
      <c r="L246" s="24"/>
      <c r="M246" s="22" t="str">
        <f>IF(K246="","",IF(L246="","参照先未定義",_xlfn.XLOOKUP(L246,B:B,C:C,"エラー")))</f>
        <v/>
      </c>
      <c r="N246" s="22"/>
      <c r="O246" s="22"/>
      <c r="P246" s="22"/>
      <c r="Q246" s="22"/>
      <c r="R246" s="24"/>
      <c r="S246" s="24"/>
      <c r="T246" s="24"/>
      <c r="U246" s="22"/>
    </row>
    <row r="247" spans="1:21" ht="18.75" customHeight="1" x14ac:dyDescent="0.25">
      <c r="A247" s="24" t="s">
        <v>47</v>
      </c>
      <c r="B247" s="24" t="str">
        <f t="shared" si="223"/>
        <v>imagse_system_height</v>
      </c>
      <c r="C247" s="25">
        <f t="shared" si="224"/>
        <v>246</v>
      </c>
      <c r="D247" s="22" t="str">
        <f t="shared" ref="D247:E247" si="227">D246</f>
        <v>imagse_system</v>
      </c>
      <c r="E247" s="22" t="str">
        <f t="shared" si="227"/>
        <v>画像(システム管理)</v>
      </c>
      <c r="F247" s="22" t="s">
        <v>85</v>
      </c>
      <c r="G247" s="22" t="s">
        <v>310</v>
      </c>
      <c r="H247" s="22" t="s">
        <v>113</v>
      </c>
      <c r="I247" s="22">
        <f>_xlfn.LET(
    _xlpm.可変bit数,--MID(H247,FIND("(",H247)+1,FIND(")",H247)-FIND("(",H247)-1),
    _xlfn.XLOOKUP(
        $H247,
        型とバイト数!$B$3:$B$53,
        型とバイト数!$E$3:$E$53,
        IF(LEFT($H247,7)="varchar",_xlpm.可変bit数*8,
            IF(LEFT($H247,3)="bit",_xlpm.可変bit数,"???"))
    )
)</f>
        <v>32</v>
      </c>
      <c r="J247" s="22"/>
      <c r="K247" s="22"/>
      <c r="L247" s="24"/>
      <c r="M247" s="22" t="str">
        <f>IF(K247="","",IF(L247="","参照先未定義",_xlfn.XLOOKUP(L247,B:B,C:C,"エラー")))</f>
        <v/>
      </c>
      <c r="N247" s="22"/>
      <c r="O247" s="22"/>
      <c r="P247" s="22"/>
      <c r="Q247" s="22"/>
      <c r="R247" s="24"/>
      <c r="S247" s="24"/>
      <c r="T247" s="24"/>
      <c r="U247" s="22"/>
    </row>
    <row r="248" spans="1:21" ht="18.75" customHeight="1" x14ac:dyDescent="0.25">
      <c r="A248" s="24" t="s">
        <v>47</v>
      </c>
      <c r="B248" s="24" t="str">
        <f t="shared" si="223"/>
        <v>imagse_system_file_size</v>
      </c>
      <c r="C248" s="25">
        <f t="shared" si="224"/>
        <v>247</v>
      </c>
      <c r="D248" s="22" t="str">
        <f t="shared" ref="D248:E248" si="228">D247</f>
        <v>imagse_system</v>
      </c>
      <c r="E248" s="22" t="str">
        <f t="shared" si="228"/>
        <v>画像(システム管理)</v>
      </c>
      <c r="F248" s="22" t="s">
        <v>311</v>
      </c>
      <c r="G248" s="22" t="s">
        <v>312</v>
      </c>
      <c r="H248" s="22" t="s">
        <v>113</v>
      </c>
      <c r="I248" s="22">
        <f>_xlfn.LET(
    _xlpm.可変bit数,--MID(H248,FIND("(",H248)+1,FIND(")",H248)-FIND("(",H248)-1),
    _xlfn.XLOOKUP(
        $H248,
        型とバイト数!$B$3:$B$53,
        型とバイト数!$E$3:$E$53,
        IF(LEFT($H248,7)="varchar",_xlpm.可変bit数*8,
            IF(LEFT($H248,3)="bit",_xlpm.可変bit数,"???"))
    )
)</f>
        <v>32</v>
      </c>
      <c r="J248" s="22"/>
      <c r="K248" s="22"/>
      <c r="L248" s="24"/>
      <c r="M248" s="22" t="str">
        <f>IF(K248="","",IF(L248="","参照先未定義",_xlfn.XLOOKUP(L248,B:B,C:C,"エラー")))</f>
        <v/>
      </c>
      <c r="N248" s="22"/>
      <c r="O248" s="22"/>
      <c r="P248" s="22"/>
      <c r="Q248" s="22"/>
      <c r="R248" s="24"/>
      <c r="S248" s="24"/>
      <c r="T248" s="24"/>
      <c r="U248" s="22"/>
    </row>
    <row r="249" spans="1:21" ht="18.75" customHeight="1" x14ac:dyDescent="0.25">
      <c r="A249" s="24" t="s">
        <v>47</v>
      </c>
      <c r="B249" s="24" t="str">
        <f t="shared" si="223"/>
        <v>imagse_system_alt_text</v>
      </c>
      <c r="C249" s="25">
        <f t="shared" si="224"/>
        <v>248</v>
      </c>
      <c r="D249" s="22" t="str">
        <f t="shared" ref="D249:E249" si="229">D248</f>
        <v>imagse_system</v>
      </c>
      <c r="E249" s="22" t="str">
        <f t="shared" si="229"/>
        <v>画像(システム管理)</v>
      </c>
      <c r="F249" s="22" t="s">
        <v>313</v>
      </c>
      <c r="G249" s="22" t="s">
        <v>314</v>
      </c>
      <c r="H249" s="22" t="s">
        <v>191</v>
      </c>
      <c r="I249" s="22">
        <f>_xlfn.LET(
    _xlpm.可変bit数,--MID(H249,FIND("(",H249)+1,FIND(")",H249)-FIND("(",H249)-1),
    _xlfn.XLOOKUP(
        $H249,
        型とバイト数!$B$3:$B$53,
        型とバイト数!$E$3:$E$53,
        IF(LEFT($H249,7)="varchar",_xlpm.可変bit数*8,
            IF(LEFT($H249,3)="bit",_xlpm.可変bit数,"???"))
    )
)</f>
        <v>2040</v>
      </c>
      <c r="J249" s="22"/>
      <c r="K249" s="22"/>
      <c r="L249" s="24"/>
      <c r="M249" s="22" t="str">
        <f>IF(K249="","",IF(L249="","参照先未定義",_xlfn.XLOOKUP(L249,B:B,C:C,"エラー")))</f>
        <v/>
      </c>
      <c r="N249" s="22"/>
      <c r="O249" s="22"/>
      <c r="P249" s="22"/>
      <c r="Q249" s="22"/>
      <c r="R249" s="24"/>
      <c r="S249" s="24"/>
      <c r="T249" s="24"/>
      <c r="U249" s="22"/>
    </row>
    <row r="250" spans="1:21" ht="18.75" customHeight="1" x14ac:dyDescent="0.25">
      <c r="A250" s="24" t="s">
        <v>47</v>
      </c>
      <c r="B250" s="24" t="str">
        <f t="shared" si="223"/>
        <v>imagse_system_create_datetime</v>
      </c>
      <c r="C250" s="25">
        <f t="shared" si="224"/>
        <v>249</v>
      </c>
      <c r="D250" s="22" t="str">
        <f t="shared" ref="D250:E250" si="230">D249</f>
        <v>imagse_system</v>
      </c>
      <c r="E250" s="22" t="str">
        <f t="shared" si="230"/>
        <v>画像(システム管理)</v>
      </c>
      <c r="F250" s="22" t="s">
        <v>120</v>
      </c>
      <c r="G250" s="22" t="s">
        <v>121</v>
      </c>
      <c r="H250" s="22" t="s">
        <v>78</v>
      </c>
      <c r="I250" s="22">
        <f>_xlfn.LET(
    _xlpm.可変bit数,--MID(H250,FIND("(",H250)+1,FIND(")",H250)-FIND("(",H250)-1),
    _xlfn.XLOOKUP(
        $H250,
        型とバイト数!$B$3:$B$53,
        型とバイト数!$E$3:$E$53,
        IF(LEFT($H250,7)="varchar",_xlpm.可変bit数*8,
            IF(LEFT($H250,3)="bit",_xlpm.可変bit数,"???"))
    )
)</f>
        <v>64</v>
      </c>
      <c r="J250" s="22"/>
      <c r="K250" s="22"/>
      <c r="L250" s="24"/>
      <c r="M250" s="22" t="str">
        <f>IF(K250="","",IF(L250="","参照先未定義",_xlfn.XLOOKUP(L250,B:B,C:C,"エラー")))</f>
        <v/>
      </c>
      <c r="N250" s="22" t="s">
        <v>52</v>
      </c>
      <c r="O250" s="22"/>
      <c r="P250" s="22" t="s">
        <v>122</v>
      </c>
      <c r="Q250" s="22"/>
      <c r="R250" s="24"/>
      <c r="S250" s="24"/>
      <c r="T250" s="24"/>
      <c r="U250" s="22"/>
    </row>
    <row r="251" spans="1:21" ht="18.75" customHeight="1" x14ac:dyDescent="0.25">
      <c r="A251" s="24" t="s">
        <v>47</v>
      </c>
      <c r="B251" s="24" t="str">
        <f t="shared" si="223"/>
        <v>imagse_system_create_user</v>
      </c>
      <c r="C251" s="25">
        <f t="shared" si="224"/>
        <v>250</v>
      </c>
      <c r="D251" s="22" t="str">
        <f t="shared" ref="D251:E251" si="231">D250</f>
        <v>imagse_system</v>
      </c>
      <c r="E251" s="22" t="str">
        <f t="shared" si="231"/>
        <v>画像(システム管理)</v>
      </c>
      <c r="F251" s="22" t="s">
        <v>123</v>
      </c>
      <c r="G251" s="22" t="s">
        <v>124</v>
      </c>
      <c r="H251" s="22" t="s">
        <v>75</v>
      </c>
      <c r="I251" s="22">
        <f>_xlfn.LET(
    _xlpm.可変bit数,--MID(H251,FIND("(",H251)+1,FIND(")",H251)-FIND("(",H251)-1),
    _xlfn.XLOOKUP(
        $H251,
        型とバイト数!$B$3:$B$53,
        型とバイト数!$E$3:$E$53,
        IF(LEFT($H251,7)="varchar",_xlpm.可変bit数*8,
            IF(LEFT($H251,3)="bit",_xlpm.可変bit数,"???"))
    )
)</f>
        <v>256</v>
      </c>
      <c r="J251" s="22"/>
      <c r="K251" s="22"/>
      <c r="L251" s="24"/>
      <c r="M251" s="22" t="str">
        <f>IF(K251="","",IF(L251="","参照先未定義",_xlfn.XLOOKUP(L251,B:B,C:C,"エラー")))</f>
        <v/>
      </c>
      <c r="N251" s="22" t="s">
        <v>52</v>
      </c>
      <c r="O251" s="22"/>
      <c r="P251" s="22" t="s">
        <v>125</v>
      </c>
      <c r="Q251" s="22"/>
      <c r="R251" s="24"/>
      <c r="S251" s="24"/>
      <c r="T251" s="24"/>
      <c r="U251" s="22" t="s">
        <v>126</v>
      </c>
    </row>
    <row r="252" spans="1:21" ht="18.75" customHeight="1" x14ac:dyDescent="0.25">
      <c r="A252" s="24" t="s">
        <v>47</v>
      </c>
      <c r="B252" s="24" t="str">
        <f t="shared" si="223"/>
        <v>imagse_system_update_datetime</v>
      </c>
      <c r="C252" s="25">
        <f t="shared" si="224"/>
        <v>251</v>
      </c>
      <c r="D252" s="22" t="str">
        <f t="shared" ref="D252:E252" si="232">D251</f>
        <v>imagse_system</v>
      </c>
      <c r="E252" s="22" t="str">
        <f t="shared" si="232"/>
        <v>画像(システム管理)</v>
      </c>
      <c r="F252" s="22" t="s">
        <v>127</v>
      </c>
      <c r="G252" s="22" t="s">
        <v>128</v>
      </c>
      <c r="H252" s="22" t="s">
        <v>78</v>
      </c>
      <c r="I252" s="22">
        <f>_xlfn.LET(
    _xlpm.可変bit数,--MID(H252,FIND("(",H252)+1,FIND(")",H252)-FIND("(",H252)-1),
    _xlfn.XLOOKUP(
        $H252,
        型とバイト数!$B$3:$B$53,
        型とバイト数!$E$3:$E$53,
        IF(LEFT($H252,7)="varchar",_xlpm.可変bit数*8,
            IF(LEFT($H252,3)="bit",_xlpm.可変bit数,"???"))
    )
)</f>
        <v>64</v>
      </c>
      <c r="J252" s="22"/>
      <c r="K252" s="22"/>
      <c r="L252" s="24"/>
      <c r="M252" s="22" t="str">
        <f>IF(K252="","",IF(L252="","参照先未定義",_xlfn.XLOOKUP(L252,B:B,C:C,"エラー")))</f>
        <v/>
      </c>
      <c r="N252" s="22" t="s">
        <v>52</v>
      </c>
      <c r="O252" s="22"/>
      <c r="P252" s="22" t="s">
        <v>122</v>
      </c>
      <c r="Q252" s="22"/>
      <c r="R252" s="24"/>
      <c r="S252" s="24"/>
      <c r="T252" s="24"/>
      <c r="U252" s="22"/>
    </row>
    <row r="253" spans="1:21" ht="18.75" customHeight="1" x14ac:dyDescent="0.25">
      <c r="A253" s="24" t="s">
        <v>47</v>
      </c>
      <c r="B253" s="24" t="str">
        <f t="shared" si="223"/>
        <v>imagse_system_update_user</v>
      </c>
      <c r="C253" s="25">
        <f t="shared" si="224"/>
        <v>252</v>
      </c>
      <c r="D253" s="22" t="str">
        <f t="shared" ref="D253:E253" si="233">D252</f>
        <v>imagse_system</v>
      </c>
      <c r="E253" s="22" t="str">
        <f t="shared" si="233"/>
        <v>画像(システム管理)</v>
      </c>
      <c r="F253" s="22" t="s">
        <v>129</v>
      </c>
      <c r="G253" s="22" t="s">
        <v>130</v>
      </c>
      <c r="H253" s="22" t="s">
        <v>75</v>
      </c>
      <c r="I253" s="22">
        <f>_xlfn.LET(
    _xlpm.可変bit数,--MID(H253,FIND("(",H253)+1,FIND(")",H253)-FIND("(",H253)-1),
    _xlfn.XLOOKUP(
        $H253,
        型とバイト数!$B$3:$B$53,
        型とバイト数!$E$3:$E$53,
        IF(LEFT($H253,7)="varchar",_xlpm.可変bit数*8,
            IF(LEFT($H253,3)="bit",_xlpm.可変bit数,"???"))
    )
)</f>
        <v>256</v>
      </c>
      <c r="J253" s="22"/>
      <c r="K253" s="22"/>
      <c r="L253" s="24"/>
      <c r="M253" s="22" t="str">
        <f>IF(K253="","",IF(L253="","参照先未定義",_xlfn.XLOOKUP(L253,B:B,C:C,"エラー")))</f>
        <v/>
      </c>
      <c r="N253" s="22" t="s">
        <v>52</v>
      </c>
      <c r="O253" s="22"/>
      <c r="P253" s="22" t="s">
        <v>125</v>
      </c>
      <c r="Q253" s="22"/>
      <c r="R253" s="24"/>
      <c r="S253" s="24"/>
      <c r="T253" s="24"/>
      <c r="U253" s="22" t="s">
        <v>126</v>
      </c>
    </row>
    <row r="254" spans="1:21" ht="18.75" customHeight="1" x14ac:dyDescent="0.25">
      <c r="A254" s="24" t="s">
        <v>47</v>
      </c>
      <c r="B254" s="24" t="str">
        <f t="shared" si="223"/>
        <v>imagse_system_soft_delete_flag</v>
      </c>
      <c r="C254" s="25">
        <f t="shared" si="224"/>
        <v>253</v>
      </c>
      <c r="D254" s="22" t="str">
        <f t="shared" ref="D254:E254" si="234">D253</f>
        <v>imagse_system</v>
      </c>
      <c r="E254" s="22" t="str">
        <f t="shared" si="234"/>
        <v>画像(システム管理)</v>
      </c>
      <c r="F254" s="22" t="s">
        <v>131</v>
      </c>
      <c r="G254" s="22" t="s">
        <v>132</v>
      </c>
      <c r="H254" s="22" t="s">
        <v>133</v>
      </c>
      <c r="I254" s="22">
        <f>_xlfn.LET(
    _xlpm.可変bit数,--MID(H254,FIND("(",H254)+1,FIND(")",H254)-FIND("(",H254)-1),
    _xlfn.XLOOKUP(
        $H254,
        型とバイト数!$B$3:$B$53,
        型とバイト数!$E$3:$E$53,
        IF(LEFT($H254,7)="varchar",_xlpm.可変bit数*8,
            IF(LEFT($H254,3)="bit",_xlpm.可変bit数,"???"))
    )
)</f>
        <v>1</v>
      </c>
      <c r="J254" s="22"/>
      <c r="K254" s="22"/>
      <c r="L254" s="24"/>
      <c r="M254" s="22" t="str">
        <f>IF(K254="","",IF(L254="","参照先未定義",_xlfn.XLOOKUP(L254,B:B,C:C,"エラー")))</f>
        <v/>
      </c>
      <c r="N254" s="22" t="s">
        <v>52</v>
      </c>
      <c r="O254" s="22"/>
      <c r="P254" s="22">
        <v>0</v>
      </c>
      <c r="Q254" s="22"/>
      <c r="R254" s="24"/>
      <c r="S254" s="24"/>
      <c r="T254" s="24"/>
      <c r="U254" s="22"/>
    </row>
    <row r="255" spans="1:21" ht="18.75" customHeight="1" x14ac:dyDescent="0.25">
      <c r="A255" s="24" t="s">
        <v>47</v>
      </c>
      <c r="B255" s="24" t="str">
        <f t="shared" si="223"/>
        <v>imagse_system_hard_delete_flag</v>
      </c>
      <c r="C255" s="25">
        <f t="shared" si="224"/>
        <v>254</v>
      </c>
      <c r="D255" s="22" t="str">
        <f t="shared" ref="D255:E255" si="235">D254</f>
        <v>imagse_system</v>
      </c>
      <c r="E255" s="22" t="str">
        <f t="shared" si="235"/>
        <v>画像(システム管理)</v>
      </c>
      <c r="F255" s="22" t="s">
        <v>134</v>
      </c>
      <c r="G255" s="22" t="s">
        <v>135</v>
      </c>
      <c r="H255" s="22" t="s">
        <v>133</v>
      </c>
      <c r="I255" s="22">
        <f>_xlfn.LET(
    _xlpm.可変bit数,--MID(H255,FIND("(",H255)+1,FIND(")",H255)-FIND("(",H255)-1),
    _xlfn.XLOOKUP(
        $H255,
        型とバイト数!$B$3:$B$53,
        型とバイト数!$E$3:$E$53,
        IF(LEFT($H255,7)="varchar",_xlpm.可変bit数*8,
            IF(LEFT($H255,3)="bit",_xlpm.可変bit数,"???"))
    )
)</f>
        <v>1</v>
      </c>
      <c r="J255" s="22"/>
      <c r="K255" s="22"/>
      <c r="L255" s="24"/>
      <c r="M255" s="22" t="str">
        <f>IF(K255="","",IF(L255="","参照先未定義",_xlfn.XLOOKUP(L255,B:B,C:C,"エラー")))</f>
        <v/>
      </c>
      <c r="N255" s="22" t="s">
        <v>52</v>
      </c>
      <c r="O255" s="22"/>
      <c r="P255" s="22">
        <v>0</v>
      </c>
      <c r="Q255" s="22"/>
      <c r="R255" s="24"/>
      <c r="S255" s="24"/>
      <c r="T255" s="24"/>
      <c r="U255" s="22"/>
    </row>
    <row r="256" spans="1:21" ht="18.75" customHeight="1" x14ac:dyDescent="0.25">
      <c r="A256" s="24" t="s">
        <v>47</v>
      </c>
      <c r="B256" s="24" t="str">
        <f t="shared" si="223"/>
        <v>screen_element_uuid</v>
      </c>
      <c r="C256" s="25">
        <f t="shared" si="224"/>
        <v>255</v>
      </c>
      <c r="D256" s="22" t="s">
        <v>317</v>
      </c>
      <c r="E256" s="22" t="s">
        <v>318</v>
      </c>
      <c r="F256" s="22" t="s">
        <v>50</v>
      </c>
      <c r="G256" s="22" t="s">
        <v>51</v>
      </c>
      <c r="H256" s="22" t="s">
        <v>50</v>
      </c>
      <c r="I256" s="22">
        <f>_xlfn.LET(
    _xlpm.可変bit数,--MID(H256,FIND("(",H256)+1,FIND(")",H256)-FIND("(",H256)-1),
    _xlfn.XLOOKUP(
        $H256,
        型とバイト数!$B$3:$B$53,
        型とバイト数!$E$3:$E$53,
        IF(LEFT($H256,7)="varchar",_xlpm.可変bit数*8,
            IF(LEFT($H256,3)="bit",_xlpm.可変bit数,"???"))
    )
)</f>
        <v>128</v>
      </c>
      <c r="J256" s="22" t="s">
        <v>52</v>
      </c>
      <c r="K256" s="22"/>
      <c r="L256" s="24"/>
      <c r="M256" s="22" t="str">
        <f>IF(K256="","",IF(L256="","参照先未定義",_xlfn.XLOOKUP(L256,B:B,C:C,"エラー")))</f>
        <v/>
      </c>
      <c r="N256" s="22" t="s">
        <v>52</v>
      </c>
      <c r="O256" s="22" t="s">
        <v>52</v>
      </c>
      <c r="P256" s="22" t="s">
        <v>53</v>
      </c>
      <c r="Q256" s="22"/>
      <c r="R256" s="24"/>
      <c r="S256" s="24"/>
      <c r="T256" s="24"/>
      <c r="U256" s="22"/>
    </row>
    <row r="257" spans="1:21" ht="18.75" customHeight="1" x14ac:dyDescent="0.25">
      <c r="A257" s="24" t="s">
        <v>47</v>
      </c>
      <c r="B257" s="24" t="str">
        <f t="shared" si="223"/>
        <v>screen_element_message_id</v>
      </c>
      <c r="C257" s="25">
        <f t="shared" si="224"/>
        <v>256</v>
      </c>
      <c r="D257" s="22" t="str">
        <f t="shared" ref="D257:E257" si="236">D256</f>
        <v>screen_element</v>
      </c>
      <c r="E257" s="22" t="str">
        <f t="shared" si="236"/>
        <v>画面要素</v>
      </c>
      <c r="F257" s="22" t="s">
        <v>224</v>
      </c>
      <c r="G257" s="22" t="s">
        <v>225</v>
      </c>
      <c r="H257" s="22" t="s">
        <v>84</v>
      </c>
      <c r="I257" s="22">
        <f>_xlfn.LET(
    _xlpm.可変bit数,--MID(H257,FIND("(",H257)+1,FIND(")",H257)-FIND("(",H257)-1),
    _xlfn.XLOOKUP(
        $H257,
        型とバイト数!$B$3:$B$53,
        型とバイト数!$E$3:$E$53,
        IF(LEFT($H257,7)="varchar",_xlpm.可変bit数*8,
            IF(LEFT($H257,3)="bit",_xlpm.可変bit数,"???"))
    )
)</f>
        <v>128</v>
      </c>
      <c r="J257" s="22" t="s">
        <v>52</v>
      </c>
      <c r="K257" s="22"/>
      <c r="L257" s="24"/>
      <c r="M257" s="22" t="str">
        <f>IF(K257="","",IF(L257="","参照先未定義",_xlfn.XLOOKUP(L257,B:B,C:C,"エラー")))</f>
        <v/>
      </c>
      <c r="N257" s="22"/>
      <c r="O257" s="22" t="s">
        <v>52</v>
      </c>
      <c r="P257" s="22"/>
      <c r="Q257" s="22" t="s">
        <v>227</v>
      </c>
      <c r="R257" s="24"/>
      <c r="S257" s="24"/>
      <c r="T257" s="24"/>
      <c r="U257" s="22"/>
    </row>
    <row r="258" spans="1:21" ht="18.75" customHeight="1" x14ac:dyDescent="0.25">
      <c r="A258" s="24" t="s">
        <v>47</v>
      </c>
      <c r="B258" s="24" t="str">
        <f t="shared" si="223"/>
        <v>screen_element_create_datetime</v>
      </c>
      <c r="C258" s="25">
        <f t="shared" si="224"/>
        <v>257</v>
      </c>
      <c r="D258" s="22" t="str">
        <f t="shared" ref="D258:E258" si="237">D257</f>
        <v>screen_element</v>
      </c>
      <c r="E258" s="22" t="str">
        <f t="shared" si="237"/>
        <v>画面要素</v>
      </c>
      <c r="F258" s="22" t="s">
        <v>120</v>
      </c>
      <c r="G258" s="22" t="s">
        <v>121</v>
      </c>
      <c r="H258" s="22" t="s">
        <v>78</v>
      </c>
      <c r="I258" s="22">
        <f>_xlfn.LET(
    _xlpm.可変bit数,--MID(H258,FIND("(",H258)+1,FIND(")",H258)-FIND("(",H258)-1),
    _xlfn.XLOOKUP(
        $H258,
        型とバイト数!$B$3:$B$53,
        型とバイト数!$E$3:$E$53,
        IF(LEFT($H258,7)="varchar",_xlpm.可変bit数*8,
            IF(LEFT($H258,3)="bit",_xlpm.可変bit数,"???"))
    )
)</f>
        <v>64</v>
      </c>
      <c r="J258" s="22"/>
      <c r="K258" s="22"/>
      <c r="L258" s="24"/>
      <c r="M258" s="22" t="str">
        <f>IF(K258="","",IF(L258="","参照先未定義",_xlfn.XLOOKUP(L258,B:B,C:C,"エラー")))</f>
        <v/>
      </c>
      <c r="N258" s="22" t="s">
        <v>52</v>
      </c>
      <c r="O258" s="22"/>
      <c r="P258" s="22" t="s">
        <v>122</v>
      </c>
      <c r="Q258" s="22"/>
      <c r="R258" s="24"/>
      <c r="S258" s="24"/>
      <c r="T258" s="24"/>
      <c r="U258" s="22"/>
    </row>
    <row r="259" spans="1:21" ht="18.75" customHeight="1" x14ac:dyDescent="0.25">
      <c r="A259" s="24" t="s">
        <v>47</v>
      </c>
      <c r="B259" s="24" t="str">
        <f t="shared" si="223"/>
        <v>screen_element_create_user</v>
      </c>
      <c r="C259" s="25">
        <f t="shared" si="224"/>
        <v>258</v>
      </c>
      <c r="D259" s="22" t="str">
        <f t="shared" ref="D259:E259" si="238">D258</f>
        <v>screen_element</v>
      </c>
      <c r="E259" s="22" t="str">
        <f t="shared" si="238"/>
        <v>画面要素</v>
      </c>
      <c r="F259" s="22" t="s">
        <v>123</v>
      </c>
      <c r="G259" s="22" t="s">
        <v>124</v>
      </c>
      <c r="H259" s="22" t="s">
        <v>75</v>
      </c>
      <c r="I259" s="22">
        <f>_xlfn.LET(
    _xlpm.可変bit数,--MID(H259,FIND("(",H259)+1,FIND(")",H259)-FIND("(",H259)-1),
    _xlfn.XLOOKUP(
        $H259,
        型とバイト数!$B$3:$B$53,
        型とバイト数!$E$3:$E$53,
        IF(LEFT($H259,7)="varchar",_xlpm.可変bit数*8,
            IF(LEFT($H259,3)="bit",_xlpm.可変bit数,"???"))
    )
)</f>
        <v>256</v>
      </c>
      <c r="J259" s="22"/>
      <c r="K259" s="22"/>
      <c r="L259" s="24"/>
      <c r="M259" s="22" t="str">
        <f>IF(K259="","",IF(L259="","参照先未定義",_xlfn.XLOOKUP(L259,B:B,C:C,"エラー")))</f>
        <v/>
      </c>
      <c r="N259" s="22" t="s">
        <v>52</v>
      </c>
      <c r="O259" s="22"/>
      <c r="P259" s="22" t="s">
        <v>125</v>
      </c>
      <c r="Q259" s="22"/>
      <c r="R259" s="24"/>
      <c r="S259" s="24"/>
      <c r="T259" s="24"/>
      <c r="U259" s="22" t="s">
        <v>126</v>
      </c>
    </row>
    <row r="260" spans="1:21" ht="18.75" customHeight="1" x14ac:dyDescent="0.25">
      <c r="A260" s="24" t="s">
        <v>47</v>
      </c>
      <c r="B260" s="24" t="str">
        <f t="shared" si="223"/>
        <v>screen_element_update_datetime</v>
      </c>
      <c r="C260" s="25">
        <f t="shared" si="224"/>
        <v>259</v>
      </c>
      <c r="D260" s="22" t="str">
        <f t="shared" ref="D260:E260" si="239">D259</f>
        <v>screen_element</v>
      </c>
      <c r="E260" s="22" t="str">
        <f t="shared" si="239"/>
        <v>画面要素</v>
      </c>
      <c r="F260" s="22" t="s">
        <v>127</v>
      </c>
      <c r="G260" s="22" t="s">
        <v>128</v>
      </c>
      <c r="H260" s="22" t="s">
        <v>78</v>
      </c>
      <c r="I260" s="22">
        <f>_xlfn.LET(
    _xlpm.可変bit数,--MID(H260,FIND("(",H260)+1,FIND(")",H260)-FIND("(",H260)-1),
    _xlfn.XLOOKUP(
        $H260,
        型とバイト数!$B$3:$B$53,
        型とバイト数!$E$3:$E$53,
        IF(LEFT($H260,7)="varchar",_xlpm.可変bit数*8,
            IF(LEFT($H260,3)="bit",_xlpm.可変bit数,"???"))
    )
)</f>
        <v>64</v>
      </c>
      <c r="J260" s="22"/>
      <c r="K260" s="22"/>
      <c r="L260" s="24"/>
      <c r="M260" s="22" t="str">
        <f>IF(K260="","",IF(L260="","参照先未定義",_xlfn.XLOOKUP(L260,B:B,C:C,"エラー")))</f>
        <v/>
      </c>
      <c r="N260" s="22" t="s">
        <v>52</v>
      </c>
      <c r="O260" s="22"/>
      <c r="P260" s="22" t="s">
        <v>122</v>
      </c>
      <c r="Q260" s="22"/>
      <c r="R260" s="24"/>
      <c r="S260" s="24"/>
      <c r="T260" s="24"/>
      <c r="U260" s="22"/>
    </row>
    <row r="261" spans="1:21" ht="18.75" customHeight="1" x14ac:dyDescent="0.25">
      <c r="A261" s="24" t="s">
        <v>47</v>
      </c>
      <c r="B261" s="24" t="str">
        <f t="shared" si="223"/>
        <v>screen_element_update_user</v>
      </c>
      <c r="C261" s="25">
        <f t="shared" si="224"/>
        <v>260</v>
      </c>
      <c r="D261" s="22" t="str">
        <f t="shared" ref="D261:E261" si="240">D260</f>
        <v>screen_element</v>
      </c>
      <c r="E261" s="22" t="str">
        <f t="shared" si="240"/>
        <v>画面要素</v>
      </c>
      <c r="F261" s="22" t="s">
        <v>129</v>
      </c>
      <c r="G261" s="22" t="s">
        <v>130</v>
      </c>
      <c r="H261" s="22" t="s">
        <v>75</v>
      </c>
      <c r="I261" s="22">
        <f>_xlfn.LET(
    _xlpm.可変bit数,--MID(H261,FIND("(",H261)+1,FIND(")",H261)-FIND("(",H261)-1),
    _xlfn.XLOOKUP(
        $H261,
        型とバイト数!$B$3:$B$53,
        型とバイト数!$E$3:$E$53,
        IF(LEFT($H261,7)="varchar",_xlpm.可変bit数*8,
            IF(LEFT($H261,3)="bit",_xlpm.可変bit数,"???"))
    )
)</f>
        <v>256</v>
      </c>
      <c r="J261" s="22"/>
      <c r="K261" s="22"/>
      <c r="L261" s="24"/>
      <c r="M261" s="22" t="str">
        <f>IF(K261="","",IF(L261="","参照先未定義",_xlfn.XLOOKUP(L261,B:B,C:C,"エラー")))</f>
        <v/>
      </c>
      <c r="N261" s="22" t="s">
        <v>52</v>
      </c>
      <c r="O261" s="22"/>
      <c r="P261" s="22" t="s">
        <v>125</v>
      </c>
      <c r="Q261" s="22"/>
      <c r="R261" s="24"/>
      <c r="S261" s="24"/>
      <c r="T261" s="24"/>
      <c r="U261" s="22" t="s">
        <v>126</v>
      </c>
    </row>
    <row r="262" spans="1:21" ht="18.75" customHeight="1" x14ac:dyDescent="0.25">
      <c r="A262" s="24" t="s">
        <v>47</v>
      </c>
      <c r="B262" s="24" t="str">
        <f t="shared" si="223"/>
        <v>screen_element_soft_delete_flag</v>
      </c>
      <c r="C262" s="25">
        <f t="shared" si="224"/>
        <v>261</v>
      </c>
      <c r="D262" s="22" t="str">
        <f t="shared" ref="D262:E262" si="241">D261</f>
        <v>screen_element</v>
      </c>
      <c r="E262" s="22" t="str">
        <f t="shared" si="241"/>
        <v>画面要素</v>
      </c>
      <c r="F262" s="22" t="s">
        <v>131</v>
      </c>
      <c r="G262" s="22" t="s">
        <v>132</v>
      </c>
      <c r="H262" s="22" t="s">
        <v>133</v>
      </c>
      <c r="I262" s="22">
        <f>_xlfn.LET(
    _xlpm.可変bit数,--MID(H262,FIND("(",H262)+1,FIND(")",H262)-FIND("(",H262)-1),
    _xlfn.XLOOKUP(
        $H262,
        型とバイト数!$B$3:$B$53,
        型とバイト数!$E$3:$E$53,
        IF(LEFT($H262,7)="varchar",_xlpm.可変bit数*8,
            IF(LEFT($H262,3)="bit",_xlpm.可変bit数,"???"))
    )
)</f>
        <v>1</v>
      </c>
      <c r="J262" s="22"/>
      <c r="K262" s="22"/>
      <c r="L262" s="24"/>
      <c r="M262" s="22" t="str">
        <f>IF(K262="","",IF(L262="","参照先未定義",_xlfn.XLOOKUP(L262,B:B,C:C,"エラー")))</f>
        <v/>
      </c>
      <c r="N262" s="22" t="s">
        <v>52</v>
      </c>
      <c r="O262" s="22"/>
      <c r="P262" s="22">
        <v>0</v>
      </c>
      <c r="Q262" s="22"/>
      <c r="R262" s="24"/>
      <c r="S262" s="24"/>
      <c r="T262" s="24"/>
      <c r="U262" s="22"/>
    </row>
    <row r="263" spans="1:21" ht="18.75" customHeight="1" x14ac:dyDescent="0.25">
      <c r="A263" s="24" t="s">
        <v>47</v>
      </c>
      <c r="B263" s="24" t="str">
        <f t="shared" si="223"/>
        <v>screen_element_hard_delete_flag</v>
      </c>
      <c r="C263" s="25">
        <f t="shared" si="224"/>
        <v>262</v>
      </c>
      <c r="D263" s="22" t="str">
        <f t="shared" ref="D263:E263" si="242">D262</f>
        <v>screen_element</v>
      </c>
      <c r="E263" s="22" t="str">
        <f t="shared" si="242"/>
        <v>画面要素</v>
      </c>
      <c r="F263" s="22" t="s">
        <v>134</v>
      </c>
      <c r="G263" s="22" t="s">
        <v>135</v>
      </c>
      <c r="H263" s="22" t="s">
        <v>133</v>
      </c>
      <c r="I263" s="22">
        <f>_xlfn.LET(
    _xlpm.可変bit数,--MID(H263,FIND("(",H263)+1,FIND(")",H263)-FIND("(",H263)-1),
    _xlfn.XLOOKUP(
        $H263,
        型とバイト数!$B$3:$B$53,
        型とバイト数!$E$3:$E$53,
        IF(LEFT($H263,7)="varchar",_xlpm.可変bit数*8,
            IF(LEFT($H263,3)="bit",_xlpm.可変bit数,"???"))
    )
)</f>
        <v>1</v>
      </c>
      <c r="J263" s="22"/>
      <c r="K263" s="22"/>
      <c r="L263" s="24"/>
      <c r="M263" s="22" t="str">
        <f>IF(K263="","",IF(L263="","参照先未定義",_xlfn.XLOOKUP(L263,B:B,C:C,"エラー")))</f>
        <v/>
      </c>
      <c r="N263" s="22" t="s">
        <v>52</v>
      </c>
      <c r="O263" s="22"/>
      <c r="P263" s="22">
        <v>0</v>
      </c>
      <c r="Q263" s="22"/>
      <c r="R263" s="24"/>
      <c r="S263" s="24"/>
      <c r="T263" s="24"/>
      <c r="U263" s="22"/>
    </row>
    <row r="264" spans="1:21" ht="18.75" customHeight="1" x14ac:dyDescent="0.25">
      <c r="A264" s="24" t="s">
        <v>47</v>
      </c>
      <c r="B264" s="24" t="str">
        <f t="shared" ref="B264:B294" si="243">D264&amp;"_"&amp;F264</f>
        <v>lgtm_uuid</v>
      </c>
      <c r="C264" s="25">
        <f t="shared" si="224"/>
        <v>263</v>
      </c>
      <c r="D264" s="22" t="s">
        <v>319</v>
      </c>
      <c r="E264" s="22" t="s">
        <v>112</v>
      </c>
      <c r="F264" s="22" t="s">
        <v>50</v>
      </c>
      <c r="G264" s="22" t="s">
        <v>51</v>
      </c>
      <c r="H264" s="22" t="s">
        <v>50</v>
      </c>
      <c r="I264" s="22">
        <f>_xlfn.LET(
    _xlpm.可変bit数,--MID(H264,FIND("(",H264)+1,FIND(")",H264)-FIND("(",H264)-1),
    _xlfn.XLOOKUP(
        $H264,
        型とバイト数!$B$3:$B$53,
        型とバイト数!$E$3:$E$53,
        IF(LEFT($H264,7)="varchar",_xlpm.可変bit数*8,
            IF(LEFT($H264,3)="bit",_xlpm.可変bit数,"???"))
    )
)</f>
        <v>128</v>
      </c>
      <c r="J264" s="22" t="s">
        <v>52</v>
      </c>
      <c r="K264" s="22"/>
      <c r="L264" s="24"/>
      <c r="M264" s="22" t="str">
        <f>IF(K264="","",IF(L264="","参照先未定義",_xlfn.XLOOKUP(L264,B:B,C:C,"エラー")))</f>
        <v/>
      </c>
      <c r="N264" s="22" t="s">
        <v>52</v>
      </c>
      <c r="O264" s="22" t="s">
        <v>52</v>
      </c>
      <c r="P264" s="22" t="s">
        <v>53</v>
      </c>
      <c r="Q264" s="22"/>
      <c r="R264" s="24"/>
      <c r="S264" s="24"/>
      <c r="T264" s="24"/>
      <c r="U264" s="22"/>
    </row>
    <row r="265" spans="1:21" ht="18.75" customHeight="1" x14ac:dyDescent="0.25">
      <c r="A265" s="24" t="s">
        <v>47</v>
      </c>
      <c r="B265" s="24" t="str">
        <f t="shared" si="243"/>
        <v>lgtm_lgtm_do_user</v>
      </c>
      <c r="C265" s="25">
        <f t="shared" si="224"/>
        <v>264</v>
      </c>
      <c r="D265" s="22" t="str">
        <f t="shared" ref="D265:E265" si="244">D264</f>
        <v>lgtm</v>
      </c>
      <c r="E265" s="22" t="str">
        <f t="shared" si="244"/>
        <v>いいね</v>
      </c>
      <c r="F265" s="22" t="s">
        <v>320</v>
      </c>
      <c r="G265" s="22" t="s">
        <v>321</v>
      </c>
      <c r="H265" s="22" t="s">
        <v>56</v>
      </c>
      <c r="I265" s="22">
        <f>_xlfn.LET(
    _xlpm.可変bit数,--MID(H265,FIND("(",H265)+1,FIND(")",H265)-FIND("(",H265)-1),
    _xlfn.XLOOKUP(
        $H265,
        型とバイト数!$B$3:$B$53,
        型とバイト数!$E$3:$E$53,
        IF(LEFT($H265,7)="varchar",_xlpm.可変bit数*8,
            IF(LEFT($H265,3)="bit",_xlpm.可変bit数,"???"))
    )
)</f>
        <v>64</v>
      </c>
      <c r="J265" s="22"/>
      <c r="K265" s="22"/>
      <c r="L265" s="24"/>
      <c r="M265" s="22" t="str">
        <f>IF(K265="","",IF(L265="","参照先未定義",_xlfn.XLOOKUP(L265,B:B,C:C,"エラー")))</f>
        <v/>
      </c>
      <c r="N265" s="22" t="s">
        <v>52</v>
      </c>
      <c r="O265" s="22"/>
      <c r="P265" s="22"/>
      <c r="Q265" s="22"/>
      <c r="R265" s="24"/>
      <c r="S265" s="24"/>
      <c r="T265" s="24"/>
      <c r="U265" s="22"/>
    </row>
    <row r="266" spans="1:21" ht="18.75" customHeight="1" x14ac:dyDescent="0.25">
      <c r="A266" s="24" t="s">
        <v>47</v>
      </c>
      <c r="B266" s="24" t="str">
        <f t="shared" si="243"/>
        <v>lgtm_lgtm_target_user</v>
      </c>
      <c r="C266" s="25">
        <f t="shared" si="224"/>
        <v>265</v>
      </c>
      <c r="D266" s="22" t="str">
        <f t="shared" ref="D266:E266" si="245">D265</f>
        <v>lgtm</v>
      </c>
      <c r="E266" s="22" t="str">
        <f t="shared" si="245"/>
        <v>いいね</v>
      </c>
      <c r="F266" s="22" t="s">
        <v>322</v>
      </c>
      <c r="G266" s="22" t="s">
        <v>323</v>
      </c>
      <c r="H266" s="22" t="s">
        <v>56</v>
      </c>
      <c r="I266" s="22">
        <f>_xlfn.LET(
    _xlpm.可変bit数,--MID(H266,FIND("(",H266)+1,FIND(")",H266)-FIND("(",H266)-1),
    _xlfn.XLOOKUP(
        $H266,
        型とバイト数!$B$3:$B$53,
        型とバイト数!$E$3:$E$53,
        IF(LEFT($H266,7)="varchar",_xlpm.可変bit数*8,
            IF(LEFT($H266,3)="bit",_xlpm.可変bit数,"???"))
    )
)</f>
        <v>64</v>
      </c>
      <c r="J266" s="22"/>
      <c r="K266" s="22"/>
      <c r="L266" s="24"/>
      <c r="M266" s="22" t="str">
        <f>IF(K266="","",IF(L266="","参照先未定義",_xlfn.XLOOKUP(L266,B:B,C:C,"エラー")))</f>
        <v/>
      </c>
      <c r="N266" s="22" t="s">
        <v>52</v>
      </c>
      <c r="O266" s="22"/>
      <c r="P266" s="22"/>
      <c r="Q266" s="22"/>
      <c r="R266" s="24"/>
      <c r="S266" s="24"/>
      <c r="T266" s="24"/>
      <c r="U266" s="22"/>
    </row>
    <row r="267" spans="1:21" ht="18.75" customHeight="1" x14ac:dyDescent="0.25">
      <c r="A267" s="24" t="s">
        <v>47</v>
      </c>
      <c r="B267" s="24" t="str">
        <f t="shared" si="243"/>
        <v>lgtm_lgtm_type</v>
      </c>
      <c r="C267" s="25">
        <f t="shared" si="224"/>
        <v>266</v>
      </c>
      <c r="D267" s="22" t="str">
        <f t="shared" ref="D267:E267" si="246">D266</f>
        <v>lgtm</v>
      </c>
      <c r="E267" s="22" t="str">
        <f t="shared" si="246"/>
        <v>いいね</v>
      </c>
      <c r="F267" s="22" t="s">
        <v>324</v>
      </c>
      <c r="G267" s="22" t="s">
        <v>325</v>
      </c>
      <c r="H267" s="22" t="s">
        <v>326</v>
      </c>
      <c r="I267" s="22">
        <f>_xlfn.LET(
    _xlpm.可変bit数,--MID(H267,FIND("(",H267)+1,FIND(")",H267)-FIND("(",H267)-1),
    _xlfn.XLOOKUP(
        $H267,
        型とバイト数!$B$3:$B$53,
        型とバイト数!$E$3:$E$53,
        IF(LEFT($H267,7)="varchar",_xlpm.可変bit数*8,
            IF(LEFT($H267,3)="bit",_xlpm.可変bit数,"???"))
    )
)</f>
        <v>2</v>
      </c>
      <c r="J267" s="22"/>
      <c r="K267" s="22"/>
      <c r="L267" s="24"/>
      <c r="M267" s="22" t="str">
        <f>IF(K267="","",IF(L267="","参照先未定義",_xlfn.XLOOKUP(L267,B:B,C:C,"エラー")))</f>
        <v/>
      </c>
      <c r="N267" s="22" t="s">
        <v>52</v>
      </c>
      <c r="O267" s="22"/>
      <c r="P267" s="22"/>
      <c r="Q267" s="22" t="s">
        <v>327</v>
      </c>
      <c r="R267" s="24"/>
      <c r="S267" s="24"/>
      <c r="T267" s="24"/>
      <c r="U267" s="22" t="s">
        <v>524</v>
      </c>
    </row>
    <row r="268" spans="1:21" ht="18.75" customHeight="1" x14ac:dyDescent="0.25">
      <c r="A268" s="24" t="s">
        <v>47</v>
      </c>
      <c r="B268" s="24" t="str">
        <f t="shared" si="243"/>
        <v>lgtm_lgtm_datatime</v>
      </c>
      <c r="C268" s="25">
        <f t="shared" si="224"/>
        <v>267</v>
      </c>
      <c r="D268" s="22" t="str">
        <f t="shared" ref="D268:E268" si="247">D267</f>
        <v>lgtm</v>
      </c>
      <c r="E268" s="22" t="str">
        <f t="shared" si="247"/>
        <v>いいね</v>
      </c>
      <c r="F268" s="22" t="s">
        <v>328</v>
      </c>
      <c r="G268" s="22" t="s">
        <v>329</v>
      </c>
      <c r="H268" s="22" t="s">
        <v>78</v>
      </c>
      <c r="I268" s="22">
        <f>_xlfn.LET(
    _xlpm.可変bit数,--MID(H268,FIND("(",H268)+1,FIND(")",H268)-FIND("(",H268)-1),
    _xlfn.XLOOKUP(
        $H268,
        型とバイト数!$B$3:$B$53,
        型とバイト数!$E$3:$E$53,
        IF(LEFT($H268,7)="varchar",_xlpm.可変bit数*8,
            IF(LEFT($H268,3)="bit",_xlpm.可変bit数,"???"))
    )
)</f>
        <v>64</v>
      </c>
      <c r="J268" s="22"/>
      <c r="K268" s="22"/>
      <c r="L268" s="24"/>
      <c r="M268" s="22" t="str">
        <f>IF(K268="","",IF(L268="","参照先未定義",_xlfn.XLOOKUP(L268,B:B,C:C,"エラー")))</f>
        <v/>
      </c>
      <c r="N268" s="22" t="s">
        <v>52</v>
      </c>
      <c r="O268" s="22"/>
      <c r="P268" s="22"/>
      <c r="Q268" s="22"/>
      <c r="R268" s="24"/>
      <c r="S268" s="24"/>
      <c r="T268" s="24"/>
      <c r="U268" s="22"/>
    </row>
    <row r="269" spans="1:21" ht="18.75" customHeight="1" x14ac:dyDescent="0.25">
      <c r="A269" s="24" t="s">
        <v>47</v>
      </c>
      <c r="B269" s="24" t="str">
        <f t="shared" si="243"/>
        <v>lgtm_create_datetime</v>
      </c>
      <c r="C269" s="25">
        <f t="shared" si="224"/>
        <v>268</v>
      </c>
      <c r="D269" s="22" t="str">
        <f t="shared" ref="D269:E269" si="248">D268</f>
        <v>lgtm</v>
      </c>
      <c r="E269" s="22" t="str">
        <f t="shared" si="248"/>
        <v>いいね</v>
      </c>
      <c r="F269" s="22" t="s">
        <v>120</v>
      </c>
      <c r="G269" s="22" t="s">
        <v>121</v>
      </c>
      <c r="H269" s="22" t="s">
        <v>78</v>
      </c>
      <c r="I269" s="22">
        <f>_xlfn.LET(
    _xlpm.可変bit数,--MID(H269,FIND("(",H269)+1,FIND(")",H269)-FIND("(",H269)-1),
    _xlfn.XLOOKUP(
        $H269,
        型とバイト数!$B$3:$B$53,
        型とバイト数!$E$3:$E$53,
        IF(LEFT($H269,7)="varchar",_xlpm.可変bit数*8,
            IF(LEFT($H269,3)="bit",_xlpm.可変bit数,"???"))
    )
)</f>
        <v>64</v>
      </c>
      <c r="J269" s="22"/>
      <c r="K269" s="22"/>
      <c r="L269" s="24"/>
      <c r="M269" s="22" t="str">
        <f>IF(K269="","",IF(L269="","参照先未定義",_xlfn.XLOOKUP(L269,B:B,C:C,"エラー")))</f>
        <v/>
      </c>
      <c r="N269" s="22" t="s">
        <v>52</v>
      </c>
      <c r="O269" s="22"/>
      <c r="P269" s="22" t="s">
        <v>122</v>
      </c>
      <c r="Q269" s="22"/>
      <c r="R269" s="24"/>
      <c r="S269" s="24"/>
      <c r="T269" s="24"/>
      <c r="U269" s="22"/>
    </row>
    <row r="270" spans="1:21" ht="18.75" customHeight="1" x14ac:dyDescent="0.25">
      <c r="A270" s="24" t="s">
        <v>47</v>
      </c>
      <c r="B270" s="24" t="str">
        <f t="shared" si="243"/>
        <v>lgtm_create_user</v>
      </c>
      <c r="C270" s="25">
        <f t="shared" si="224"/>
        <v>269</v>
      </c>
      <c r="D270" s="22" t="str">
        <f t="shared" ref="D270:E270" si="249">D269</f>
        <v>lgtm</v>
      </c>
      <c r="E270" s="22" t="str">
        <f t="shared" si="249"/>
        <v>いいね</v>
      </c>
      <c r="F270" s="22" t="s">
        <v>123</v>
      </c>
      <c r="G270" s="22" t="s">
        <v>124</v>
      </c>
      <c r="H270" s="22" t="s">
        <v>75</v>
      </c>
      <c r="I270" s="22">
        <f>_xlfn.LET(
    _xlpm.可変bit数,--MID(H270,FIND("(",H270)+1,FIND(")",H270)-FIND("(",H270)-1),
    _xlfn.XLOOKUP(
        $H270,
        型とバイト数!$B$3:$B$53,
        型とバイト数!$E$3:$E$53,
        IF(LEFT($H270,7)="varchar",_xlpm.可変bit数*8,
            IF(LEFT($H270,3)="bit",_xlpm.可変bit数,"???"))
    )
)</f>
        <v>256</v>
      </c>
      <c r="J270" s="22"/>
      <c r="K270" s="22"/>
      <c r="L270" s="24"/>
      <c r="M270" s="22" t="str">
        <f>IF(K270="","",IF(L270="","参照先未定義",_xlfn.XLOOKUP(L270,B:B,C:C,"エラー")))</f>
        <v/>
      </c>
      <c r="N270" s="22" t="s">
        <v>52</v>
      </c>
      <c r="O270" s="22"/>
      <c r="P270" s="22" t="s">
        <v>125</v>
      </c>
      <c r="Q270" s="22"/>
      <c r="R270" s="24"/>
      <c r="S270" s="24"/>
      <c r="T270" s="24"/>
      <c r="U270" s="22" t="s">
        <v>126</v>
      </c>
    </row>
    <row r="271" spans="1:21" ht="18.75" customHeight="1" x14ac:dyDescent="0.25">
      <c r="A271" s="24" t="s">
        <v>47</v>
      </c>
      <c r="B271" s="24" t="str">
        <f t="shared" si="243"/>
        <v>lgtm_update_datetime</v>
      </c>
      <c r="C271" s="25">
        <f t="shared" si="224"/>
        <v>270</v>
      </c>
      <c r="D271" s="22" t="str">
        <f t="shared" ref="D271:E271" si="250">D270</f>
        <v>lgtm</v>
      </c>
      <c r="E271" s="22" t="str">
        <f t="shared" si="250"/>
        <v>いいね</v>
      </c>
      <c r="F271" s="22" t="s">
        <v>127</v>
      </c>
      <c r="G271" s="22" t="s">
        <v>128</v>
      </c>
      <c r="H271" s="22" t="s">
        <v>78</v>
      </c>
      <c r="I271" s="22">
        <f>_xlfn.LET(
    _xlpm.可変bit数,--MID(H271,FIND("(",H271)+1,FIND(")",H271)-FIND("(",H271)-1),
    _xlfn.XLOOKUP(
        $H271,
        型とバイト数!$B$3:$B$53,
        型とバイト数!$E$3:$E$53,
        IF(LEFT($H271,7)="varchar",_xlpm.可変bit数*8,
            IF(LEFT($H271,3)="bit",_xlpm.可変bit数,"???"))
    )
)</f>
        <v>64</v>
      </c>
      <c r="J271" s="22"/>
      <c r="K271" s="22"/>
      <c r="L271" s="24"/>
      <c r="M271" s="22" t="str">
        <f>IF(K271="","",IF(L271="","参照先未定義",_xlfn.XLOOKUP(L271,B:B,C:C,"エラー")))</f>
        <v/>
      </c>
      <c r="N271" s="22" t="s">
        <v>52</v>
      </c>
      <c r="O271" s="22"/>
      <c r="P271" s="22" t="s">
        <v>122</v>
      </c>
      <c r="Q271" s="22"/>
      <c r="R271" s="24"/>
      <c r="S271" s="24"/>
      <c r="T271" s="24"/>
      <c r="U271" s="22"/>
    </row>
    <row r="272" spans="1:21" ht="18.75" customHeight="1" x14ac:dyDescent="0.25">
      <c r="A272" s="24" t="s">
        <v>47</v>
      </c>
      <c r="B272" s="24" t="str">
        <f t="shared" si="243"/>
        <v>lgtm_update_user</v>
      </c>
      <c r="C272" s="25">
        <f t="shared" si="224"/>
        <v>271</v>
      </c>
      <c r="D272" s="22" t="str">
        <f t="shared" ref="D272:E272" si="251">D271</f>
        <v>lgtm</v>
      </c>
      <c r="E272" s="22" t="str">
        <f t="shared" si="251"/>
        <v>いいね</v>
      </c>
      <c r="F272" s="22" t="s">
        <v>129</v>
      </c>
      <c r="G272" s="22" t="s">
        <v>130</v>
      </c>
      <c r="H272" s="22" t="s">
        <v>75</v>
      </c>
      <c r="I272" s="22">
        <f>_xlfn.LET(
    _xlpm.可変bit数,--MID(H272,FIND("(",H272)+1,FIND(")",H272)-FIND("(",H272)-1),
    _xlfn.XLOOKUP(
        $H272,
        型とバイト数!$B$3:$B$53,
        型とバイト数!$E$3:$E$53,
        IF(LEFT($H272,7)="varchar",_xlpm.可変bit数*8,
            IF(LEFT($H272,3)="bit",_xlpm.可変bit数,"???"))
    )
)</f>
        <v>256</v>
      </c>
      <c r="J272" s="22"/>
      <c r="K272" s="22"/>
      <c r="L272" s="24"/>
      <c r="M272" s="22" t="str">
        <f>IF(K272="","",IF(L272="","参照先未定義",_xlfn.XLOOKUP(L272,B:B,C:C,"エラー")))</f>
        <v/>
      </c>
      <c r="N272" s="22" t="s">
        <v>52</v>
      </c>
      <c r="O272" s="22"/>
      <c r="P272" s="22" t="s">
        <v>125</v>
      </c>
      <c r="Q272" s="22"/>
      <c r="R272" s="24"/>
      <c r="S272" s="24"/>
      <c r="T272" s="24"/>
      <c r="U272" s="22" t="s">
        <v>126</v>
      </c>
    </row>
    <row r="273" spans="1:21" ht="18.75" customHeight="1" x14ac:dyDescent="0.25">
      <c r="A273" s="24" t="s">
        <v>47</v>
      </c>
      <c r="B273" s="24" t="str">
        <f t="shared" si="243"/>
        <v>lgtm_soft_delete_flag</v>
      </c>
      <c r="C273" s="25">
        <f t="shared" si="224"/>
        <v>272</v>
      </c>
      <c r="D273" s="22" t="str">
        <f t="shared" ref="D273:E273" si="252">D272</f>
        <v>lgtm</v>
      </c>
      <c r="E273" s="22" t="str">
        <f t="shared" si="252"/>
        <v>いいね</v>
      </c>
      <c r="F273" s="22" t="s">
        <v>131</v>
      </c>
      <c r="G273" s="22" t="s">
        <v>132</v>
      </c>
      <c r="H273" s="22" t="s">
        <v>133</v>
      </c>
      <c r="I273" s="22">
        <f>_xlfn.LET(
    _xlpm.可変bit数,--MID(H273,FIND("(",H273)+1,FIND(")",H273)-FIND("(",H273)-1),
    _xlfn.XLOOKUP(
        $H273,
        型とバイト数!$B$3:$B$53,
        型とバイト数!$E$3:$E$53,
        IF(LEFT($H273,7)="varchar",_xlpm.可変bit数*8,
            IF(LEFT($H273,3)="bit",_xlpm.可変bit数,"???"))
    )
)</f>
        <v>1</v>
      </c>
      <c r="J273" s="22"/>
      <c r="K273" s="22"/>
      <c r="L273" s="24"/>
      <c r="M273" s="22" t="str">
        <f>IF(K273="","",IF(L273="","参照先未定義",_xlfn.XLOOKUP(L273,B:B,C:C,"エラー")))</f>
        <v/>
      </c>
      <c r="N273" s="22" t="s">
        <v>52</v>
      </c>
      <c r="O273" s="22"/>
      <c r="P273" s="22">
        <v>0</v>
      </c>
      <c r="Q273" s="22"/>
      <c r="R273" s="24"/>
      <c r="S273" s="24"/>
      <c r="T273" s="24"/>
      <c r="U273" s="22"/>
    </row>
    <row r="274" spans="1:21" ht="18.75" customHeight="1" x14ac:dyDescent="0.25">
      <c r="A274" s="24" t="s">
        <v>47</v>
      </c>
      <c r="B274" s="24" t="str">
        <f t="shared" si="243"/>
        <v>lgtm_hard_delete_flag</v>
      </c>
      <c r="C274" s="25">
        <f t="shared" si="224"/>
        <v>273</v>
      </c>
      <c r="D274" s="22" t="str">
        <f t="shared" ref="D274:E274" si="253">D273</f>
        <v>lgtm</v>
      </c>
      <c r="E274" s="22" t="str">
        <f t="shared" si="253"/>
        <v>いいね</v>
      </c>
      <c r="F274" s="22" t="s">
        <v>134</v>
      </c>
      <c r="G274" s="22" t="s">
        <v>135</v>
      </c>
      <c r="H274" s="22" t="s">
        <v>133</v>
      </c>
      <c r="I274" s="22">
        <f>_xlfn.LET(
    _xlpm.可変bit数,--MID(H274,FIND("(",H274)+1,FIND(")",H274)-FIND("(",H274)-1),
    _xlfn.XLOOKUP(
        $H274,
        型とバイト数!$B$3:$B$53,
        型とバイト数!$E$3:$E$53,
        IF(LEFT($H274,7)="varchar",_xlpm.可変bit数*8,
            IF(LEFT($H274,3)="bit",_xlpm.可変bit数,"???"))
    )
)</f>
        <v>1</v>
      </c>
      <c r="J274" s="22"/>
      <c r="K274" s="22"/>
      <c r="L274" s="24"/>
      <c r="M274" s="22" t="str">
        <f>IF(K274="","",IF(L274="","参照先未定義",_xlfn.XLOOKUP(L274,B:B,C:C,"エラー")))</f>
        <v/>
      </c>
      <c r="N274" s="22" t="s">
        <v>52</v>
      </c>
      <c r="O274" s="22"/>
      <c r="P274" s="22">
        <v>0</v>
      </c>
      <c r="Q274" s="22"/>
      <c r="R274" s="24"/>
      <c r="S274" s="24"/>
      <c r="T274" s="24"/>
      <c r="U274" s="22"/>
    </row>
    <row r="275" spans="1:21" ht="18.75" customHeight="1" x14ac:dyDescent="0.25">
      <c r="A275" s="24" t="s">
        <v>47</v>
      </c>
      <c r="B275" s="24" t="str">
        <f t="shared" si="243"/>
        <v>movie_link_uuid</v>
      </c>
      <c r="C275" s="25">
        <f t="shared" si="224"/>
        <v>274</v>
      </c>
      <c r="D275" s="22" t="s">
        <v>330</v>
      </c>
      <c r="E275" s="22" t="s">
        <v>90</v>
      </c>
      <c r="F275" s="22" t="s">
        <v>50</v>
      </c>
      <c r="G275" s="22" t="s">
        <v>51</v>
      </c>
      <c r="H275" s="22" t="s">
        <v>50</v>
      </c>
      <c r="I275" s="22">
        <f>_xlfn.LET(
    _xlpm.可変bit数,--MID(H275,FIND("(",H275)+1,FIND(")",H275)-FIND("(",H275)-1),
    _xlfn.XLOOKUP(
        $H275,
        型とバイト数!$B$3:$B$53,
        型とバイト数!$E$3:$E$53,
        IF(LEFT($H275,7)="varchar",_xlpm.可変bit数*8,
            IF(LEFT($H275,3)="bit",_xlpm.可変bit数,"???"))
    )
)</f>
        <v>128</v>
      </c>
      <c r="J275" s="22" t="s">
        <v>52</v>
      </c>
      <c r="K275" s="22"/>
      <c r="L275" s="24"/>
      <c r="M275" s="22" t="str">
        <f>IF(K275="","",IF(L275="","参照先未定義",_xlfn.XLOOKUP(L275,B:B,C:C,"エラー")))</f>
        <v/>
      </c>
      <c r="N275" s="22"/>
      <c r="O275" s="22"/>
      <c r="P275" s="22"/>
      <c r="Q275" s="22"/>
      <c r="R275" s="24"/>
      <c r="S275" s="24"/>
      <c r="T275" s="24"/>
      <c r="U275" s="22"/>
    </row>
    <row r="276" spans="1:21" ht="18.75" customHeight="1" x14ac:dyDescent="0.25">
      <c r="A276" s="24" t="s">
        <v>47</v>
      </c>
      <c r="B276" s="24" t="str">
        <f t="shared" si="243"/>
        <v>movie_link_movie_id</v>
      </c>
      <c r="C276" s="25">
        <f t="shared" si="224"/>
        <v>275</v>
      </c>
      <c r="D276" s="22" t="s">
        <v>330</v>
      </c>
      <c r="E276" s="22" t="s">
        <v>90</v>
      </c>
      <c r="F276" s="22" t="s">
        <v>331</v>
      </c>
      <c r="G276" s="22" t="s">
        <v>332</v>
      </c>
      <c r="H276" s="22" t="s">
        <v>63</v>
      </c>
      <c r="I276" s="22">
        <f>_xlfn.LET(
    _xlpm.可変bit数,--MID(H276,FIND("(",H276)+1,FIND(")",H276)-FIND("(",H276)-1),
    _xlfn.XLOOKUP(
        $H276,
        型とバイト数!$B$3:$B$53,
        型とバイト数!$E$3:$E$53,
        IF(LEFT($H276,7)="varchar",_xlpm.可変bit数*8,
            IF(LEFT($H276,3)="bit",_xlpm.可変bit数,"???"))
    )
)</f>
        <v>64</v>
      </c>
      <c r="J276" s="22" t="s">
        <v>52</v>
      </c>
      <c r="K276" s="22"/>
      <c r="L276" s="24"/>
      <c r="M276" s="22" t="str">
        <f>IF(K276="","",IF(L276="","参照先未定義",_xlfn.XLOOKUP(L276,B:B,C:C,"エラー")))</f>
        <v/>
      </c>
      <c r="N276" s="22"/>
      <c r="O276" s="22"/>
      <c r="P276" s="22"/>
      <c r="Q276" s="22"/>
      <c r="R276" s="24"/>
      <c r="S276" s="24"/>
      <c r="T276" s="24"/>
      <c r="U276" s="22"/>
    </row>
    <row r="277" spans="1:21" ht="18.75" customHeight="1" x14ac:dyDescent="0.25">
      <c r="A277" s="24" t="s">
        <v>47</v>
      </c>
      <c r="B277" s="24" t="str">
        <f t="shared" si="243"/>
        <v>movie_link_vtuber_profiles_id</v>
      </c>
      <c r="C277" s="25">
        <f t="shared" si="224"/>
        <v>276</v>
      </c>
      <c r="D277" s="22" t="s">
        <v>330</v>
      </c>
      <c r="E277" s="22" t="s">
        <v>90</v>
      </c>
      <c r="F277" s="22" t="s">
        <v>54</v>
      </c>
      <c r="G277" s="22" t="s">
        <v>55</v>
      </c>
      <c r="H277" s="22" t="s">
        <v>56</v>
      </c>
      <c r="I277" s="22">
        <f>_xlfn.LET(
    _xlpm.可変bit数,--MID(H277,FIND("(",H277)+1,FIND(")",H277)-FIND("(",H277)-1),
    _xlfn.XLOOKUP(
        $H277,
        型とバイト数!$B$3:$B$53,
        型とバイト数!$E$3:$E$53,
        IF(LEFT($H277,7)="varchar",_xlpm.可変bit数*8,
            IF(LEFT($H277,3)="bit",_xlpm.可変bit数,"???"))
    )
)</f>
        <v>64</v>
      </c>
      <c r="J277" s="22"/>
      <c r="K277" s="22" t="s">
        <v>52</v>
      </c>
      <c r="L277" s="24" t="s">
        <v>158</v>
      </c>
      <c r="M277" s="22">
        <f>IF(K277="","",IF(L277="","参照先未定義",_xlfn.XLOOKUP(L277,B:B,C:C,"エラー")))</f>
        <v>2</v>
      </c>
      <c r="N277" s="22" t="s">
        <v>52</v>
      </c>
      <c r="O277" s="22"/>
      <c r="P277" s="22"/>
      <c r="Q277" s="22"/>
      <c r="R277" s="24"/>
      <c r="S277" s="24"/>
      <c r="T277" s="24"/>
      <c r="U277" s="22"/>
    </row>
    <row r="278" spans="1:21" ht="18.75" customHeight="1" x14ac:dyDescent="0.25">
      <c r="A278" s="24" t="s">
        <v>47</v>
      </c>
      <c r="B278" s="24" t="str">
        <f t="shared" si="243"/>
        <v>movie_link_url</v>
      </c>
      <c r="C278" s="25">
        <f t="shared" si="224"/>
        <v>277</v>
      </c>
      <c r="D278" s="22" t="s">
        <v>330</v>
      </c>
      <c r="E278" s="22" t="s">
        <v>90</v>
      </c>
      <c r="F278" s="22" t="s">
        <v>333</v>
      </c>
      <c r="G278" s="22" t="s">
        <v>334</v>
      </c>
      <c r="H278" s="22" t="s">
        <v>94</v>
      </c>
      <c r="I278" s="22" t="str">
        <f>_xlfn.LET(
    _xlpm.可変bit数,--MID(H278,FIND("(",H278)+1,FIND(")",H278)-FIND("(",H278)-1),
    _xlfn.XLOOKUP(
        $H278,
        型とバイト数!$B$3:$B$53,
        型とバイト数!$E$3:$E$53,
        IF(LEFT($H278,7)="varchar",_xlpm.可変bit数*8,
            IF(LEFT($H278,3)="bit",_xlpm.可変bit数,"???"))
    )
)</f>
        <v>-</v>
      </c>
      <c r="J278" s="22"/>
      <c r="K278" s="22"/>
      <c r="L278" s="24"/>
      <c r="M278" s="22" t="str">
        <f>IF(K278="","",IF(L278="","参照先未定義",_xlfn.XLOOKUP(L278,B:B,C:C,"エラー")))</f>
        <v/>
      </c>
      <c r="N278" s="22" t="s">
        <v>52</v>
      </c>
      <c r="O278" s="22"/>
      <c r="P278" s="22"/>
      <c r="Q278" s="22"/>
      <c r="R278" s="24"/>
      <c r="S278" s="24"/>
      <c r="T278" s="24"/>
      <c r="U278" s="22"/>
    </row>
    <row r="279" spans="1:21" ht="18.75" customHeight="1" x14ac:dyDescent="0.25">
      <c r="A279" s="24" t="s">
        <v>47</v>
      </c>
      <c r="B279" s="24" t="str">
        <f t="shared" si="243"/>
        <v>movie_link_create_datetime</v>
      </c>
      <c r="C279" s="25">
        <f t="shared" si="224"/>
        <v>278</v>
      </c>
      <c r="D279" s="22" t="s">
        <v>330</v>
      </c>
      <c r="E279" s="22" t="s">
        <v>90</v>
      </c>
      <c r="F279" s="22" t="s">
        <v>120</v>
      </c>
      <c r="G279" s="22" t="s">
        <v>121</v>
      </c>
      <c r="H279" s="22" t="s">
        <v>78</v>
      </c>
      <c r="I279" s="22">
        <f>_xlfn.LET(
    _xlpm.可変bit数,--MID(H279,FIND("(",H279)+1,FIND(")",H279)-FIND("(",H279)-1),
    _xlfn.XLOOKUP(
        $H279,
        型とバイト数!$B$3:$B$53,
        型とバイト数!$E$3:$E$53,
        IF(LEFT($H279,7)="varchar",_xlpm.可変bit数*8,
            IF(LEFT($H279,3)="bit",_xlpm.可変bit数,"???"))
    )
)</f>
        <v>64</v>
      </c>
      <c r="J279" s="22"/>
      <c r="K279" s="22"/>
      <c r="L279" s="24"/>
      <c r="M279" s="22" t="str">
        <f>IF(K279="","",IF(L279="","参照先未定義",_xlfn.XLOOKUP(L279,B:B,C:C,"エラー")))</f>
        <v/>
      </c>
      <c r="N279" s="22" t="s">
        <v>52</v>
      </c>
      <c r="O279" s="22"/>
      <c r="P279" s="22" t="s">
        <v>122</v>
      </c>
      <c r="Q279" s="22"/>
      <c r="R279" s="24"/>
      <c r="S279" s="24"/>
      <c r="T279" s="24"/>
      <c r="U279" s="22"/>
    </row>
    <row r="280" spans="1:21" ht="18.75" customHeight="1" x14ac:dyDescent="0.25">
      <c r="A280" s="24" t="s">
        <v>47</v>
      </c>
      <c r="B280" s="24" t="str">
        <f t="shared" si="243"/>
        <v>movie_link_create_user</v>
      </c>
      <c r="C280" s="25">
        <f t="shared" si="224"/>
        <v>279</v>
      </c>
      <c r="D280" s="22" t="s">
        <v>330</v>
      </c>
      <c r="E280" s="22" t="s">
        <v>90</v>
      </c>
      <c r="F280" s="22" t="s">
        <v>123</v>
      </c>
      <c r="G280" s="22" t="s">
        <v>124</v>
      </c>
      <c r="H280" s="22" t="s">
        <v>75</v>
      </c>
      <c r="I280" s="22">
        <f>_xlfn.LET(
    _xlpm.可変bit数,--MID(H280,FIND("(",H280)+1,FIND(")",H280)-FIND("(",H280)-1),
    _xlfn.XLOOKUP(
        $H280,
        型とバイト数!$B$3:$B$53,
        型とバイト数!$E$3:$E$53,
        IF(LEFT($H280,7)="varchar",_xlpm.可変bit数*8,
            IF(LEFT($H280,3)="bit",_xlpm.可変bit数,"???"))
    )
)</f>
        <v>256</v>
      </c>
      <c r="J280" s="22"/>
      <c r="K280" s="22"/>
      <c r="L280" s="24"/>
      <c r="M280" s="22" t="str">
        <f>IF(K280="","",IF(L280="","参照先未定義",_xlfn.XLOOKUP(L280,B:B,C:C,"エラー")))</f>
        <v/>
      </c>
      <c r="N280" s="22" t="s">
        <v>52</v>
      </c>
      <c r="O280" s="22"/>
      <c r="P280" s="22" t="s">
        <v>125</v>
      </c>
      <c r="Q280" s="22"/>
      <c r="R280" s="24"/>
      <c r="S280" s="24"/>
      <c r="T280" s="24"/>
      <c r="U280" s="22" t="s">
        <v>126</v>
      </c>
    </row>
    <row r="281" spans="1:21" ht="18.75" customHeight="1" x14ac:dyDescent="0.25">
      <c r="A281" s="24" t="s">
        <v>47</v>
      </c>
      <c r="B281" s="24" t="str">
        <f t="shared" si="243"/>
        <v>movie_link_update_datetime</v>
      </c>
      <c r="C281" s="25">
        <f t="shared" si="224"/>
        <v>280</v>
      </c>
      <c r="D281" s="22" t="s">
        <v>330</v>
      </c>
      <c r="E281" s="22" t="s">
        <v>90</v>
      </c>
      <c r="F281" s="22" t="s">
        <v>127</v>
      </c>
      <c r="G281" s="22" t="s">
        <v>128</v>
      </c>
      <c r="H281" s="22" t="s">
        <v>78</v>
      </c>
      <c r="I281" s="22">
        <f>_xlfn.LET(
    _xlpm.可変bit数,--MID(H281,FIND("(",H281)+1,FIND(")",H281)-FIND("(",H281)-1),
    _xlfn.XLOOKUP(
        $H281,
        型とバイト数!$B$3:$B$53,
        型とバイト数!$E$3:$E$53,
        IF(LEFT($H281,7)="varchar",_xlpm.可変bit数*8,
            IF(LEFT($H281,3)="bit",_xlpm.可変bit数,"???"))
    )
)</f>
        <v>64</v>
      </c>
      <c r="J281" s="22"/>
      <c r="K281" s="22"/>
      <c r="L281" s="24"/>
      <c r="M281" s="22" t="str">
        <f>IF(K281="","",IF(L281="","参照先未定義",_xlfn.XLOOKUP(L281,B:B,C:C,"エラー")))</f>
        <v/>
      </c>
      <c r="N281" s="22" t="s">
        <v>52</v>
      </c>
      <c r="O281" s="22"/>
      <c r="P281" s="22" t="s">
        <v>122</v>
      </c>
      <c r="Q281" s="22"/>
      <c r="R281" s="24"/>
      <c r="S281" s="24"/>
      <c r="T281" s="24"/>
      <c r="U281" s="22"/>
    </row>
    <row r="282" spans="1:21" ht="18.75" customHeight="1" x14ac:dyDescent="0.25">
      <c r="A282" s="24" t="s">
        <v>47</v>
      </c>
      <c r="B282" s="24" t="str">
        <f t="shared" si="243"/>
        <v>movie_link_update_user</v>
      </c>
      <c r="C282" s="25">
        <f t="shared" si="224"/>
        <v>281</v>
      </c>
      <c r="D282" s="22" t="s">
        <v>330</v>
      </c>
      <c r="E282" s="22" t="s">
        <v>90</v>
      </c>
      <c r="F282" s="22" t="s">
        <v>129</v>
      </c>
      <c r="G282" s="22" t="s">
        <v>130</v>
      </c>
      <c r="H282" s="22" t="s">
        <v>75</v>
      </c>
      <c r="I282" s="22">
        <f>_xlfn.LET(
    _xlpm.可変bit数,--MID(H282,FIND("(",H282)+1,FIND(")",H282)-FIND("(",H282)-1),
    _xlfn.XLOOKUP(
        $H282,
        型とバイト数!$B$3:$B$53,
        型とバイト数!$E$3:$E$53,
        IF(LEFT($H282,7)="varchar",_xlpm.可変bit数*8,
            IF(LEFT($H282,3)="bit",_xlpm.可変bit数,"???"))
    )
)</f>
        <v>256</v>
      </c>
      <c r="J282" s="22"/>
      <c r="K282" s="22"/>
      <c r="L282" s="24"/>
      <c r="M282" s="22" t="str">
        <f>IF(K282="","",IF(L282="","参照先未定義",_xlfn.XLOOKUP(L282,B:B,C:C,"エラー")))</f>
        <v/>
      </c>
      <c r="N282" s="22" t="s">
        <v>52</v>
      </c>
      <c r="O282" s="22"/>
      <c r="P282" s="22" t="s">
        <v>125</v>
      </c>
      <c r="Q282" s="22"/>
      <c r="R282" s="24"/>
      <c r="S282" s="24"/>
      <c r="T282" s="24"/>
      <c r="U282" s="22" t="s">
        <v>126</v>
      </c>
    </row>
    <row r="283" spans="1:21" ht="18.75" customHeight="1" x14ac:dyDescent="0.25">
      <c r="A283" s="24" t="s">
        <v>47</v>
      </c>
      <c r="B283" s="24" t="str">
        <f t="shared" si="243"/>
        <v>movie_link_soft_delete_flag</v>
      </c>
      <c r="C283" s="25">
        <f t="shared" si="224"/>
        <v>282</v>
      </c>
      <c r="D283" s="22" t="s">
        <v>330</v>
      </c>
      <c r="E283" s="22" t="s">
        <v>90</v>
      </c>
      <c r="F283" s="22" t="s">
        <v>131</v>
      </c>
      <c r="G283" s="22" t="s">
        <v>132</v>
      </c>
      <c r="H283" s="22" t="s">
        <v>133</v>
      </c>
      <c r="I283" s="22">
        <f>_xlfn.LET(
    _xlpm.可変bit数,--MID(H283,FIND("(",H283)+1,FIND(")",H283)-FIND("(",H283)-1),
    _xlfn.XLOOKUP(
        $H283,
        型とバイト数!$B$3:$B$53,
        型とバイト数!$E$3:$E$53,
        IF(LEFT($H283,7)="varchar",_xlpm.可変bit数*8,
            IF(LEFT($H283,3)="bit",_xlpm.可変bit数,"???"))
    )
)</f>
        <v>1</v>
      </c>
      <c r="J283" s="22"/>
      <c r="K283" s="22"/>
      <c r="L283" s="24"/>
      <c r="M283" s="22" t="str">
        <f>IF(K283="","",IF(L283="","参照先未定義",_xlfn.XLOOKUP(L283,B:B,C:C,"エラー")))</f>
        <v/>
      </c>
      <c r="N283" s="22" t="s">
        <v>52</v>
      </c>
      <c r="O283" s="22"/>
      <c r="P283" s="22">
        <v>0</v>
      </c>
      <c r="Q283" s="22"/>
      <c r="R283" s="24"/>
      <c r="S283" s="24"/>
      <c r="T283" s="24"/>
      <c r="U283" s="22"/>
    </row>
    <row r="284" spans="1:21" ht="18.75" customHeight="1" x14ac:dyDescent="0.25">
      <c r="A284" s="24" t="s">
        <v>47</v>
      </c>
      <c r="B284" s="24" t="str">
        <f t="shared" si="243"/>
        <v>movie_link_hard_delete_flag</v>
      </c>
      <c r="C284" s="25">
        <f t="shared" si="224"/>
        <v>283</v>
      </c>
      <c r="D284" s="22" t="s">
        <v>330</v>
      </c>
      <c r="E284" s="22" t="s">
        <v>90</v>
      </c>
      <c r="F284" s="22" t="s">
        <v>134</v>
      </c>
      <c r="G284" s="22" t="s">
        <v>135</v>
      </c>
      <c r="H284" s="22" t="s">
        <v>133</v>
      </c>
      <c r="I284" s="22">
        <f>_xlfn.LET(
    _xlpm.可変bit数,--MID(H284,FIND("(",H284)+1,FIND(")",H284)-FIND("(",H284)-1),
    _xlfn.XLOOKUP(
        $H284,
        型とバイト数!$B$3:$B$53,
        型とバイト数!$E$3:$E$53,
        IF(LEFT($H284,7)="varchar",_xlpm.可変bit数*8,
            IF(LEFT($H284,3)="bit",_xlpm.可変bit数,"???"))
    )
)</f>
        <v>1</v>
      </c>
      <c r="J284" s="22"/>
      <c r="K284" s="22"/>
      <c r="L284" s="24"/>
      <c r="M284" s="22" t="str">
        <f>IF(K284="","",IF(L284="","参照先未定義",_xlfn.XLOOKUP(L284,B:B,C:C,"エラー")))</f>
        <v/>
      </c>
      <c r="N284" s="22" t="s">
        <v>52</v>
      </c>
      <c r="O284" s="22"/>
      <c r="P284" s="22">
        <v>0</v>
      </c>
      <c r="Q284" s="22"/>
      <c r="R284" s="24"/>
      <c r="S284" s="24"/>
      <c r="T284" s="24"/>
      <c r="U284" s="22"/>
    </row>
    <row r="285" spans="1:21" ht="18.75" customHeight="1" x14ac:dyDescent="0.25">
      <c r="A285" s="24" t="s">
        <v>47</v>
      </c>
      <c r="B285" s="24" t="str">
        <f t="shared" si="243"/>
        <v>relation_uuid</v>
      </c>
      <c r="C285" s="25">
        <f t="shared" si="224"/>
        <v>284</v>
      </c>
      <c r="D285" s="22" t="s">
        <v>335</v>
      </c>
      <c r="E285" s="22" t="s">
        <v>336</v>
      </c>
      <c r="F285" s="22" t="s">
        <v>50</v>
      </c>
      <c r="G285" s="22" t="s">
        <v>51</v>
      </c>
      <c r="H285" s="22" t="s">
        <v>50</v>
      </c>
      <c r="I285" s="22">
        <f>_xlfn.LET(
    _xlpm.可変bit数,--MID(H285,FIND("(",H285)+1,FIND(")",H285)-FIND("(",H285)-1),
    _xlfn.XLOOKUP(
        $H285,
        型とバイト数!$B$3:$B$53,
        型とバイト数!$E$3:$E$53,
        IF(LEFT($H285,7)="varchar",_xlpm.可変bit数*8,
            IF(LEFT($H285,3)="bit",_xlpm.可変bit数,"???"))
    )
)</f>
        <v>128</v>
      </c>
      <c r="J285" s="22" t="s">
        <v>52</v>
      </c>
      <c r="K285" s="22"/>
      <c r="L285" s="24"/>
      <c r="M285" s="22" t="str">
        <f>IF(K285="","",IF(L285="","参照先未定義",_xlfn.XLOOKUP(L285,B:B,C:C,"エラー")))</f>
        <v/>
      </c>
      <c r="N285" s="22"/>
      <c r="O285" s="22"/>
      <c r="P285" s="22"/>
      <c r="Q285" s="22"/>
      <c r="R285" s="24"/>
      <c r="S285" s="24"/>
      <c r="T285" s="24"/>
      <c r="U285" s="22"/>
    </row>
    <row r="286" spans="1:21" ht="18.75" customHeight="1" x14ac:dyDescent="0.25">
      <c r="A286" s="24" t="s">
        <v>47</v>
      </c>
      <c r="B286" s="24" t="str">
        <f t="shared" si="243"/>
        <v>relation_node_from</v>
      </c>
      <c r="C286" s="25">
        <f t="shared" si="224"/>
        <v>285</v>
      </c>
      <c r="D286" s="22" t="s">
        <v>335</v>
      </c>
      <c r="E286" s="22" t="s">
        <v>336</v>
      </c>
      <c r="F286" s="22" t="s">
        <v>337</v>
      </c>
      <c r="G286" s="22" t="s">
        <v>338</v>
      </c>
      <c r="H286" s="22" t="s">
        <v>56</v>
      </c>
      <c r="I286" s="22">
        <f>_xlfn.LET(
    _xlpm.可変bit数,--MID(H286,FIND("(",H286)+1,FIND(")",H286)-FIND("(",H286)-1),
    _xlfn.XLOOKUP(
        $H286,
        型とバイト数!$B$3:$B$53,
        型とバイト数!$E$3:$E$53,
        IF(LEFT($H286,7)="varchar",_xlpm.可変bit数*8,
            IF(LEFT($H286,3)="bit",_xlpm.可変bit数,"???"))
    )
)</f>
        <v>64</v>
      </c>
      <c r="J286" s="22"/>
      <c r="K286" s="22" t="s">
        <v>52</v>
      </c>
      <c r="L286" s="24" t="s">
        <v>158</v>
      </c>
      <c r="M286" s="22">
        <f>IF(K286="","",IF(L286="","参照先未定義",_xlfn.XLOOKUP(L286,B:B,C:C,"エラー")))</f>
        <v>2</v>
      </c>
      <c r="N286" s="22" t="s">
        <v>52</v>
      </c>
      <c r="O286" s="22"/>
      <c r="P286" s="22"/>
      <c r="Q286" s="22"/>
      <c r="R286" s="24"/>
      <c r="S286" s="24"/>
      <c r="T286" s="24"/>
      <c r="U286" s="22"/>
    </row>
    <row r="287" spans="1:21" ht="18.75" customHeight="1" x14ac:dyDescent="0.25">
      <c r="A287" s="24" t="s">
        <v>47</v>
      </c>
      <c r="B287" s="24" t="str">
        <f t="shared" si="243"/>
        <v>relation_node_to</v>
      </c>
      <c r="C287" s="25">
        <f t="shared" si="224"/>
        <v>286</v>
      </c>
      <c r="D287" s="22" t="s">
        <v>335</v>
      </c>
      <c r="E287" s="22" t="s">
        <v>336</v>
      </c>
      <c r="F287" s="22" t="s">
        <v>339</v>
      </c>
      <c r="G287" s="22" t="s">
        <v>340</v>
      </c>
      <c r="H287" s="22" t="s">
        <v>56</v>
      </c>
      <c r="I287" s="22">
        <f>_xlfn.LET(
    _xlpm.可変bit数,--MID(H287,FIND("(",H287)+1,FIND(")",H287)-FIND("(",H287)-1),
    _xlfn.XLOOKUP(
        $H287,
        型とバイト数!$B$3:$B$53,
        型とバイト数!$E$3:$E$53,
        IF(LEFT($H287,7)="varchar",_xlpm.可変bit数*8,
            IF(LEFT($H287,3)="bit",_xlpm.可変bit数,"???"))
    )
)</f>
        <v>64</v>
      </c>
      <c r="J287" s="22"/>
      <c r="K287" s="22" t="s">
        <v>52</v>
      </c>
      <c r="L287" s="24" t="s">
        <v>158</v>
      </c>
      <c r="M287" s="22">
        <f>IF(K287="","",IF(L287="","参照先未定義",_xlfn.XLOOKUP(L287,B:B,C:C,"エラー")))</f>
        <v>2</v>
      </c>
      <c r="N287" s="22" t="s">
        <v>52</v>
      </c>
      <c r="O287" s="22"/>
      <c r="P287" s="22"/>
      <c r="Q287" s="22"/>
      <c r="R287" s="24"/>
      <c r="S287" s="24"/>
      <c r="T287" s="24"/>
      <c r="U287" s="22"/>
    </row>
    <row r="288" spans="1:21" ht="18.75" customHeight="1" x14ac:dyDescent="0.25">
      <c r="A288" s="24" t="s">
        <v>47</v>
      </c>
      <c r="B288" s="24" t="str">
        <f t="shared" si="243"/>
        <v>relation_node_name</v>
      </c>
      <c r="C288" s="25">
        <f t="shared" si="224"/>
        <v>287</v>
      </c>
      <c r="D288" s="22" t="s">
        <v>335</v>
      </c>
      <c r="E288" s="22" t="s">
        <v>336</v>
      </c>
      <c r="F288" s="22" t="s">
        <v>341</v>
      </c>
      <c r="G288" s="22" t="s">
        <v>342</v>
      </c>
      <c r="H288" s="22" t="s">
        <v>75</v>
      </c>
      <c r="I288" s="22">
        <f>_xlfn.LET(
    _xlpm.可変bit数,--MID(H288,FIND("(",H288)+1,FIND(")",H288)-FIND("(",H288)-1),
    _xlfn.XLOOKUP(
        $H288,
        型とバイト数!$B$3:$B$53,
        型とバイト数!$E$3:$E$53,
        IF(LEFT($H288,7)="varchar",_xlpm.可変bit数*8,
            IF(LEFT($H288,3)="bit",_xlpm.可変bit数,"???"))
    )
)</f>
        <v>256</v>
      </c>
      <c r="J288" s="22"/>
      <c r="K288" s="22"/>
      <c r="L288" s="24"/>
      <c r="M288" s="22" t="str">
        <f>IF(K288="","",IF(L288="","参照先未定義",_xlfn.XLOOKUP(L288,B:B,C:C,"エラー")))</f>
        <v/>
      </c>
      <c r="N288" s="22" t="s">
        <v>52</v>
      </c>
      <c r="O288" s="22"/>
      <c r="P288" s="22"/>
      <c r="Q288" s="22"/>
      <c r="R288" s="24"/>
      <c r="S288" s="24"/>
      <c r="T288" s="24"/>
      <c r="U288" s="22"/>
    </row>
    <row r="289" spans="1:21" ht="18.75" customHeight="1" x14ac:dyDescent="0.25">
      <c r="A289" s="24" t="s">
        <v>47</v>
      </c>
      <c r="B289" s="24" t="str">
        <f t="shared" si="243"/>
        <v>relation_create_datetime</v>
      </c>
      <c r="C289" s="25">
        <f t="shared" si="224"/>
        <v>288</v>
      </c>
      <c r="D289" s="22" t="s">
        <v>335</v>
      </c>
      <c r="E289" s="22" t="s">
        <v>336</v>
      </c>
      <c r="F289" s="22" t="s">
        <v>120</v>
      </c>
      <c r="G289" s="22" t="s">
        <v>121</v>
      </c>
      <c r="H289" s="22" t="s">
        <v>78</v>
      </c>
      <c r="I289" s="22">
        <f>_xlfn.LET(
    _xlpm.可変bit数,--MID(H289,FIND("(",H289)+1,FIND(")",H289)-FIND("(",H289)-1),
    _xlfn.XLOOKUP(
        $H289,
        型とバイト数!$B$3:$B$53,
        型とバイト数!$E$3:$E$53,
        IF(LEFT($H289,7)="varchar",_xlpm.可変bit数*8,
            IF(LEFT($H289,3)="bit",_xlpm.可変bit数,"???"))
    )
)</f>
        <v>64</v>
      </c>
      <c r="J289" s="22"/>
      <c r="K289" s="22"/>
      <c r="L289" s="24"/>
      <c r="M289" s="22" t="str">
        <f>IF(K289="","",IF(L289="","参照先未定義",_xlfn.XLOOKUP(L289,B:B,C:C,"エラー")))</f>
        <v/>
      </c>
      <c r="N289" s="22" t="s">
        <v>52</v>
      </c>
      <c r="O289" s="22"/>
      <c r="P289" s="22" t="s">
        <v>122</v>
      </c>
      <c r="Q289" s="22"/>
      <c r="R289" s="24"/>
      <c r="S289" s="24"/>
      <c r="T289" s="24"/>
      <c r="U289" s="22"/>
    </row>
    <row r="290" spans="1:21" ht="18.75" customHeight="1" x14ac:dyDescent="0.25">
      <c r="A290" s="24" t="s">
        <v>47</v>
      </c>
      <c r="B290" s="24" t="str">
        <f t="shared" si="243"/>
        <v>relation_create_user</v>
      </c>
      <c r="C290" s="25">
        <f t="shared" si="224"/>
        <v>289</v>
      </c>
      <c r="D290" s="22" t="s">
        <v>335</v>
      </c>
      <c r="E290" s="22" t="s">
        <v>336</v>
      </c>
      <c r="F290" s="22" t="s">
        <v>123</v>
      </c>
      <c r="G290" s="22" t="s">
        <v>124</v>
      </c>
      <c r="H290" s="22" t="s">
        <v>75</v>
      </c>
      <c r="I290" s="22">
        <f>_xlfn.LET(
    _xlpm.可変bit数,--MID(H290,FIND("(",H290)+1,FIND(")",H290)-FIND("(",H290)-1),
    _xlfn.XLOOKUP(
        $H290,
        型とバイト数!$B$3:$B$53,
        型とバイト数!$E$3:$E$53,
        IF(LEFT($H290,7)="varchar",_xlpm.可変bit数*8,
            IF(LEFT($H290,3)="bit",_xlpm.可変bit数,"???"))
    )
)</f>
        <v>256</v>
      </c>
      <c r="J290" s="22"/>
      <c r="K290" s="22"/>
      <c r="L290" s="24"/>
      <c r="M290" s="22" t="str">
        <f>IF(K290="","",IF(L290="","参照先未定義",_xlfn.XLOOKUP(L290,B:B,C:C,"エラー")))</f>
        <v/>
      </c>
      <c r="N290" s="22" t="s">
        <v>52</v>
      </c>
      <c r="O290" s="22"/>
      <c r="P290" s="22" t="s">
        <v>125</v>
      </c>
      <c r="Q290" s="22"/>
      <c r="R290" s="24"/>
      <c r="S290" s="24"/>
      <c r="T290" s="24"/>
      <c r="U290" s="22" t="s">
        <v>126</v>
      </c>
    </row>
    <row r="291" spans="1:21" ht="18.75" customHeight="1" x14ac:dyDescent="0.25">
      <c r="A291" s="24" t="s">
        <v>47</v>
      </c>
      <c r="B291" s="24" t="str">
        <f t="shared" si="243"/>
        <v>relation_update_datetime</v>
      </c>
      <c r="C291" s="25">
        <f t="shared" si="224"/>
        <v>290</v>
      </c>
      <c r="D291" s="22" t="s">
        <v>335</v>
      </c>
      <c r="E291" s="22" t="s">
        <v>336</v>
      </c>
      <c r="F291" s="22" t="s">
        <v>127</v>
      </c>
      <c r="G291" s="22" t="s">
        <v>128</v>
      </c>
      <c r="H291" s="22" t="s">
        <v>78</v>
      </c>
      <c r="I291" s="22">
        <f>_xlfn.LET(
    _xlpm.可変bit数,--MID(H291,FIND("(",H291)+1,FIND(")",H291)-FIND("(",H291)-1),
    _xlfn.XLOOKUP(
        $H291,
        型とバイト数!$B$3:$B$53,
        型とバイト数!$E$3:$E$53,
        IF(LEFT($H291,7)="varchar",_xlpm.可変bit数*8,
            IF(LEFT($H291,3)="bit",_xlpm.可変bit数,"???"))
    )
)</f>
        <v>64</v>
      </c>
      <c r="J291" s="22"/>
      <c r="K291" s="22"/>
      <c r="L291" s="24"/>
      <c r="M291" s="22" t="str">
        <f>IF(K291="","",IF(L291="","参照先未定義",_xlfn.XLOOKUP(L291,B:B,C:C,"エラー")))</f>
        <v/>
      </c>
      <c r="N291" s="22" t="s">
        <v>52</v>
      </c>
      <c r="O291" s="22"/>
      <c r="P291" s="22" t="s">
        <v>122</v>
      </c>
      <c r="Q291" s="22"/>
      <c r="R291" s="24"/>
      <c r="S291" s="24"/>
      <c r="T291" s="24"/>
      <c r="U291" s="22"/>
    </row>
    <row r="292" spans="1:21" ht="18.75" customHeight="1" x14ac:dyDescent="0.25">
      <c r="A292" s="24" t="s">
        <v>47</v>
      </c>
      <c r="B292" s="24" t="str">
        <f t="shared" si="243"/>
        <v>relation_update_user</v>
      </c>
      <c r="C292" s="25">
        <f t="shared" si="224"/>
        <v>291</v>
      </c>
      <c r="D292" s="22" t="s">
        <v>335</v>
      </c>
      <c r="E292" s="22" t="s">
        <v>336</v>
      </c>
      <c r="F292" s="22" t="s">
        <v>129</v>
      </c>
      <c r="G292" s="22" t="s">
        <v>130</v>
      </c>
      <c r="H292" s="22" t="s">
        <v>75</v>
      </c>
      <c r="I292" s="22">
        <f>_xlfn.LET(
    _xlpm.可変bit数,--MID(H292,FIND("(",H292)+1,FIND(")",H292)-FIND("(",H292)-1),
    _xlfn.XLOOKUP(
        $H292,
        型とバイト数!$B$3:$B$53,
        型とバイト数!$E$3:$E$53,
        IF(LEFT($H292,7)="varchar",_xlpm.可変bit数*8,
            IF(LEFT($H292,3)="bit",_xlpm.可変bit数,"???"))
    )
)</f>
        <v>256</v>
      </c>
      <c r="J292" s="22"/>
      <c r="K292" s="22"/>
      <c r="L292" s="24"/>
      <c r="M292" s="22" t="str">
        <f>IF(K292="","",IF(L292="","参照先未定義",_xlfn.XLOOKUP(L292,B:B,C:C,"エラー")))</f>
        <v/>
      </c>
      <c r="N292" s="22" t="s">
        <v>52</v>
      </c>
      <c r="O292" s="22"/>
      <c r="P292" s="22" t="s">
        <v>125</v>
      </c>
      <c r="Q292" s="22"/>
      <c r="R292" s="24"/>
      <c r="S292" s="24"/>
      <c r="T292" s="24"/>
      <c r="U292" s="22" t="s">
        <v>126</v>
      </c>
    </row>
    <row r="293" spans="1:21" ht="18.75" customHeight="1" x14ac:dyDescent="0.25">
      <c r="A293" s="24" t="s">
        <v>47</v>
      </c>
      <c r="B293" s="24" t="str">
        <f t="shared" si="243"/>
        <v>relation_soft_delete_flag</v>
      </c>
      <c r="C293" s="25">
        <f t="shared" si="224"/>
        <v>292</v>
      </c>
      <c r="D293" s="22" t="s">
        <v>335</v>
      </c>
      <c r="E293" s="22" t="s">
        <v>336</v>
      </c>
      <c r="F293" s="22" t="s">
        <v>131</v>
      </c>
      <c r="G293" s="22" t="s">
        <v>132</v>
      </c>
      <c r="H293" s="22" t="s">
        <v>133</v>
      </c>
      <c r="I293" s="22">
        <f>_xlfn.LET(
    _xlpm.可変bit数,--MID(H293,FIND("(",H293)+1,FIND(")",H293)-FIND("(",H293)-1),
    _xlfn.XLOOKUP(
        $H293,
        型とバイト数!$B$3:$B$53,
        型とバイト数!$E$3:$E$53,
        IF(LEFT($H293,7)="varchar",_xlpm.可変bit数*8,
            IF(LEFT($H293,3)="bit",_xlpm.可変bit数,"???"))
    )
)</f>
        <v>1</v>
      </c>
      <c r="J293" s="22"/>
      <c r="K293" s="22"/>
      <c r="L293" s="24"/>
      <c r="M293" s="22" t="str">
        <f>IF(K293="","",IF(L293="","参照先未定義",_xlfn.XLOOKUP(L293,B:B,C:C,"エラー")))</f>
        <v/>
      </c>
      <c r="N293" s="22" t="s">
        <v>52</v>
      </c>
      <c r="O293" s="22"/>
      <c r="P293" s="22">
        <v>0</v>
      </c>
      <c r="Q293" s="22"/>
      <c r="R293" s="24"/>
      <c r="S293" s="24"/>
      <c r="T293" s="24"/>
      <c r="U293" s="22"/>
    </row>
    <row r="294" spans="1:21" ht="18.75" customHeight="1" x14ac:dyDescent="0.25">
      <c r="A294" s="24" t="s">
        <v>47</v>
      </c>
      <c r="B294" s="24" t="str">
        <f t="shared" si="243"/>
        <v>relation_hard_delete_flag</v>
      </c>
      <c r="C294" s="25">
        <f t="shared" si="224"/>
        <v>293</v>
      </c>
      <c r="D294" s="22" t="s">
        <v>335</v>
      </c>
      <c r="E294" s="22" t="s">
        <v>336</v>
      </c>
      <c r="F294" s="22" t="s">
        <v>134</v>
      </c>
      <c r="G294" s="22" t="s">
        <v>135</v>
      </c>
      <c r="H294" s="22" t="s">
        <v>133</v>
      </c>
      <c r="I294" s="22">
        <f>_xlfn.LET(
    _xlpm.可変bit数,--MID(H294,FIND("(",H294)+1,FIND(")",H294)-FIND("(",H294)-1),
    _xlfn.XLOOKUP(
        $H294,
        型とバイト数!$B$3:$B$53,
        型とバイト数!$E$3:$E$53,
        IF(LEFT($H294,7)="varchar",_xlpm.可変bit数*8,
            IF(LEFT($H294,3)="bit",_xlpm.可変bit数,"???"))
    )
)</f>
        <v>1</v>
      </c>
      <c r="J294" s="22"/>
      <c r="K294" s="22"/>
      <c r="L294" s="24"/>
      <c r="M294" s="22" t="str">
        <f>IF(K294="","",IF(L294="","参照先未定義",_xlfn.XLOOKUP(L294,B:B,C:C,"エラー")))</f>
        <v/>
      </c>
      <c r="N294" s="22" t="s">
        <v>52</v>
      </c>
      <c r="O294" s="22"/>
      <c r="P294" s="22">
        <v>0</v>
      </c>
      <c r="Q294" s="22"/>
      <c r="R294" s="24"/>
      <c r="S294" s="24"/>
      <c r="T294" s="24"/>
      <c r="U294" s="22"/>
    </row>
    <row r="295" spans="1:21" ht="18.75" customHeight="1" x14ac:dyDescent="0.25">
      <c r="A295" s="5"/>
      <c r="B295" s="5"/>
      <c r="C295" s="6"/>
      <c r="L295" s="5"/>
      <c r="R295" s="5"/>
      <c r="S295" s="5"/>
      <c r="T295" s="5"/>
    </row>
    <row r="296" spans="1:21" ht="18.75" customHeight="1" x14ac:dyDescent="0.25">
      <c r="A296" s="5"/>
      <c r="B296" s="5"/>
      <c r="C296" s="6"/>
      <c r="L296" s="5"/>
      <c r="R296" s="5"/>
      <c r="S296" s="5"/>
      <c r="T296" s="5"/>
    </row>
    <row r="297" spans="1:21" ht="18.75" customHeight="1" x14ac:dyDescent="0.25">
      <c r="A297" s="5"/>
      <c r="B297" s="5"/>
      <c r="C297" s="6"/>
      <c r="L297" s="5"/>
      <c r="R297" s="5"/>
      <c r="S297" s="5"/>
      <c r="T297" s="5"/>
    </row>
    <row r="298" spans="1:21" ht="18.75" customHeight="1" x14ac:dyDescent="0.25">
      <c r="A298" s="5"/>
      <c r="B298" s="5"/>
      <c r="C298" s="6"/>
      <c r="L298" s="5"/>
      <c r="R298" s="5"/>
      <c r="S298" s="5"/>
      <c r="T298" s="5"/>
    </row>
    <row r="299" spans="1:21" ht="18.75" customHeight="1" x14ac:dyDescent="0.25">
      <c r="A299" s="5"/>
      <c r="B299" s="5"/>
      <c r="C299" s="6"/>
      <c r="L299" s="5"/>
      <c r="R299" s="5"/>
      <c r="S299" s="5"/>
      <c r="T299" s="5"/>
    </row>
    <row r="300" spans="1:21" ht="18.75" customHeight="1" x14ac:dyDescent="0.25">
      <c r="A300" s="5"/>
      <c r="B300" s="5"/>
      <c r="C300" s="6"/>
      <c r="L300" s="5"/>
      <c r="R300" s="5"/>
      <c r="S300" s="5"/>
      <c r="T300" s="5"/>
    </row>
    <row r="301" spans="1:21" ht="18.75" customHeight="1" x14ac:dyDescent="0.25">
      <c r="A301" s="5"/>
      <c r="B301" s="5"/>
      <c r="C301" s="6"/>
      <c r="L301" s="5"/>
      <c r="R301" s="5"/>
      <c r="S301" s="5"/>
      <c r="T301" s="5"/>
    </row>
    <row r="302" spans="1:21" ht="18.75" customHeight="1" x14ac:dyDescent="0.25">
      <c r="A302" s="5"/>
      <c r="B302" s="5"/>
      <c r="C302" s="6"/>
      <c r="L302" s="5"/>
      <c r="R302" s="5"/>
      <c r="S302" s="5"/>
      <c r="T302" s="5"/>
    </row>
    <row r="303" spans="1:21" ht="18.75" customHeight="1" x14ac:dyDescent="0.25">
      <c r="A303" s="5"/>
      <c r="B303" s="5"/>
      <c r="C303" s="6"/>
      <c r="L303" s="5"/>
      <c r="R303" s="5"/>
      <c r="S303" s="5"/>
      <c r="T303" s="5"/>
    </row>
    <row r="304" spans="1:21" ht="18.75" customHeight="1" x14ac:dyDescent="0.25">
      <c r="A304" s="5"/>
      <c r="B304" s="5"/>
      <c r="C304" s="6"/>
      <c r="L304" s="5"/>
      <c r="R304" s="5"/>
      <c r="S304" s="5"/>
      <c r="T304" s="5"/>
    </row>
    <row r="305" spans="1:20" ht="18.75" customHeight="1" x14ac:dyDescent="0.25">
      <c r="A305" s="5"/>
      <c r="B305" s="5"/>
      <c r="C305" s="6"/>
      <c r="L305" s="5"/>
      <c r="R305" s="5"/>
      <c r="S305" s="5"/>
      <c r="T305" s="5"/>
    </row>
    <row r="306" spans="1:20" ht="18.75" customHeight="1" x14ac:dyDescent="0.25">
      <c r="A306" s="5"/>
      <c r="B306" s="5"/>
      <c r="C306" s="6"/>
      <c r="L306" s="5"/>
      <c r="R306" s="5"/>
      <c r="S306" s="5"/>
      <c r="T306" s="5"/>
    </row>
    <row r="307" spans="1:20" ht="18.75" customHeight="1" x14ac:dyDescent="0.25">
      <c r="A307" s="5"/>
      <c r="B307" s="5"/>
      <c r="C307" s="6"/>
      <c r="L307" s="5"/>
      <c r="R307" s="5"/>
      <c r="S307" s="5"/>
      <c r="T307" s="5"/>
    </row>
    <row r="308" spans="1:20" ht="18.75" customHeight="1" x14ac:dyDescent="0.25">
      <c r="A308" s="5"/>
      <c r="B308" s="5"/>
      <c r="C308" s="6"/>
      <c r="L308" s="5"/>
      <c r="R308" s="5"/>
      <c r="S308" s="5"/>
      <c r="T308" s="5"/>
    </row>
    <row r="309" spans="1:20" ht="18.75" customHeight="1" x14ac:dyDescent="0.25">
      <c r="A309" s="5"/>
      <c r="B309" s="5"/>
      <c r="C309" s="6"/>
      <c r="L309" s="5"/>
      <c r="R309" s="5"/>
      <c r="S309" s="5"/>
      <c r="T309" s="5"/>
    </row>
    <row r="310" spans="1:20" ht="18.75" customHeight="1" x14ac:dyDescent="0.25">
      <c r="A310" s="5"/>
      <c r="B310" s="5"/>
      <c r="C310" s="6"/>
      <c r="L310" s="5"/>
      <c r="R310" s="5"/>
      <c r="S310" s="5"/>
      <c r="T310" s="5"/>
    </row>
    <row r="311" spans="1:20" ht="18.75" customHeight="1" x14ac:dyDescent="0.25">
      <c r="A311" s="5"/>
      <c r="B311" s="5"/>
      <c r="C311" s="6"/>
      <c r="L311" s="5"/>
      <c r="R311" s="5"/>
      <c r="S311" s="5"/>
      <c r="T311" s="5"/>
    </row>
    <row r="312" spans="1:20" ht="18.75" customHeight="1" x14ac:dyDescent="0.25">
      <c r="A312" s="5"/>
      <c r="B312" s="5"/>
      <c r="C312" s="6"/>
      <c r="L312" s="5"/>
      <c r="R312" s="5"/>
      <c r="S312" s="5"/>
      <c r="T312" s="5"/>
    </row>
    <row r="313" spans="1:20" ht="18.75" customHeight="1" x14ac:dyDescent="0.25">
      <c r="A313" s="5"/>
      <c r="B313" s="5"/>
      <c r="C313" s="6"/>
      <c r="L313" s="5"/>
      <c r="R313" s="5"/>
      <c r="S313" s="5"/>
      <c r="T313" s="5"/>
    </row>
    <row r="314" spans="1:20" ht="18.75" customHeight="1" x14ac:dyDescent="0.25">
      <c r="A314" s="5"/>
      <c r="B314" s="5"/>
      <c r="C314" s="6"/>
      <c r="L314" s="5"/>
      <c r="R314" s="5"/>
      <c r="S314" s="5"/>
      <c r="T314" s="5"/>
    </row>
    <row r="315" spans="1:20" ht="18.75" customHeight="1" x14ac:dyDescent="0.25">
      <c r="A315" s="5"/>
      <c r="B315" s="5"/>
      <c r="C315" s="6"/>
      <c r="L315" s="5"/>
      <c r="R315" s="5"/>
      <c r="S315" s="5"/>
      <c r="T315" s="5"/>
    </row>
    <row r="316" spans="1:20" ht="18.75" customHeight="1" x14ac:dyDescent="0.25">
      <c r="A316" s="5"/>
      <c r="B316" s="5"/>
      <c r="C316" s="6"/>
      <c r="L316" s="5"/>
      <c r="R316" s="5"/>
      <c r="S316" s="5"/>
      <c r="T316" s="5"/>
    </row>
    <row r="317" spans="1:20" ht="18.75" customHeight="1" x14ac:dyDescent="0.25">
      <c r="A317" s="5"/>
      <c r="B317" s="5"/>
      <c r="C317" s="6"/>
      <c r="L317" s="5"/>
      <c r="R317" s="5"/>
      <c r="S317" s="5"/>
      <c r="T317" s="5"/>
    </row>
    <row r="318" spans="1:20" ht="18.75" customHeight="1" x14ac:dyDescent="0.25">
      <c r="A318" s="5"/>
      <c r="B318" s="5"/>
      <c r="C318" s="6"/>
      <c r="L318" s="5"/>
      <c r="R318" s="5"/>
      <c r="S318" s="5"/>
      <c r="T318" s="5"/>
    </row>
    <row r="319" spans="1:20" ht="18.75" customHeight="1" x14ac:dyDescent="0.25">
      <c r="A319" s="5"/>
      <c r="B319" s="5"/>
      <c r="C319" s="6"/>
      <c r="L319" s="5"/>
      <c r="R319" s="5"/>
      <c r="S319" s="5"/>
      <c r="T319" s="5"/>
    </row>
    <row r="320" spans="1:20" ht="18.75" customHeight="1" x14ac:dyDescent="0.25">
      <c r="A320" s="5"/>
      <c r="B320" s="5"/>
      <c r="C320" s="6"/>
      <c r="L320" s="5"/>
      <c r="R320" s="5"/>
      <c r="S320" s="5"/>
      <c r="T320" s="5"/>
    </row>
    <row r="321" spans="1:20" ht="18.75" customHeight="1" x14ac:dyDescent="0.25">
      <c r="A321" s="5"/>
      <c r="B321" s="5"/>
      <c r="C321" s="6"/>
      <c r="L321" s="5"/>
      <c r="R321" s="5"/>
      <c r="S321" s="5"/>
      <c r="T321" s="5"/>
    </row>
    <row r="322" spans="1:20" ht="18.75" customHeight="1" x14ac:dyDescent="0.25">
      <c r="A322" s="5"/>
      <c r="B322" s="5"/>
      <c r="C322" s="6"/>
      <c r="L322" s="5"/>
      <c r="R322" s="5"/>
      <c r="S322" s="5"/>
      <c r="T322" s="5"/>
    </row>
    <row r="323" spans="1:20" ht="18.75" customHeight="1" x14ac:dyDescent="0.25">
      <c r="A323" s="5"/>
      <c r="B323" s="5"/>
      <c r="C323" s="6"/>
      <c r="L323" s="5"/>
      <c r="R323" s="5"/>
      <c r="S323" s="5"/>
      <c r="T323" s="5"/>
    </row>
    <row r="324" spans="1:20" ht="18.75" customHeight="1" x14ac:dyDescent="0.25">
      <c r="A324" s="5"/>
      <c r="B324" s="5"/>
      <c r="C324" s="6"/>
      <c r="L324" s="5"/>
      <c r="R324" s="5"/>
      <c r="S324" s="5"/>
      <c r="T324" s="5"/>
    </row>
    <row r="325" spans="1:20" ht="18.75" customHeight="1" x14ac:dyDescent="0.25">
      <c r="A325" s="5"/>
      <c r="B325" s="5"/>
      <c r="C325" s="6"/>
      <c r="L325" s="5"/>
      <c r="R325" s="5"/>
      <c r="S325" s="5"/>
      <c r="T325" s="5"/>
    </row>
    <row r="326" spans="1:20" ht="18.75" customHeight="1" x14ac:dyDescent="0.25">
      <c r="A326" s="5"/>
      <c r="B326" s="5"/>
      <c r="C326" s="6"/>
      <c r="L326" s="5"/>
      <c r="R326" s="5"/>
      <c r="S326" s="5"/>
      <c r="T326" s="5"/>
    </row>
    <row r="327" spans="1:20" ht="18.75" customHeight="1" x14ac:dyDescent="0.25">
      <c r="A327" s="5"/>
      <c r="B327" s="5"/>
      <c r="C327" s="6"/>
      <c r="L327" s="5"/>
      <c r="R327" s="5"/>
      <c r="S327" s="5"/>
      <c r="T327" s="5"/>
    </row>
    <row r="328" spans="1:20" ht="18.75" customHeight="1" x14ac:dyDescent="0.25">
      <c r="A328" s="5"/>
      <c r="B328" s="5"/>
      <c r="C328" s="6"/>
      <c r="L328" s="5"/>
      <c r="R328" s="5"/>
      <c r="S328" s="5"/>
      <c r="T328" s="5"/>
    </row>
    <row r="329" spans="1:20" ht="18.75" customHeight="1" x14ac:dyDescent="0.25">
      <c r="A329" s="5"/>
      <c r="B329" s="5"/>
      <c r="C329" s="6"/>
      <c r="L329" s="5"/>
      <c r="R329" s="5"/>
      <c r="S329" s="5"/>
      <c r="T329" s="5"/>
    </row>
    <row r="330" spans="1:20" ht="18.75" customHeight="1" x14ac:dyDescent="0.25">
      <c r="A330" s="5"/>
      <c r="B330" s="5"/>
      <c r="C330" s="6"/>
      <c r="L330" s="5"/>
      <c r="R330" s="5"/>
      <c r="S330" s="5"/>
      <c r="T330" s="5"/>
    </row>
    <row r="331" spans="1:20" ht="18.75" customHeight="1" x14ac:dyDescent="0.25">
      <c r="A331" s="5"/>
      <c r="B331" s="5"/>
      <c r="C331" s="6"/>
      <c r="L331" s="5"/>
      <c r="R331" s="5"/>
      <c r="S331" s="5"/>
      <c r="T331" s="5"/>
    </row>
    <row r="332" spans="1:20" ht="18.75" customHeight="1" x14ac:dyDescent="0.25">
      <c r="A332" s="5"/>
      <c r="B332" s="5"/>
      <c r="C332" s="6"/>
      <c r="L332" s="5"/>
      <c r="R332" s="5"/>
      <c r="S332" s="5"/>
      <c r="T332" s="5"/>
    </row>
    <row r="333" spans="1:20" ht="18.75" customHeight="1" x14ac:dyDescent="0.25">
      <c r="A333" s="5"/>
      <c r="B333" s="5"/>
      <c r="C333" s="6"/>
      <c r="L333" s="5"/>
      <c r="R333" s="5"/>
      <c r="S333" s="5"/>
      <c r="T333" s="5"/>
    </row>
    <row r="334" spans="1:20" ht="18.75" customHeight="1" x14ac:dyDescent="0.25">
      <c r="A334" s="5"/>
      <c r="B334" s="5"/>
      <c r="C334" s="6"/>
      <c r="L334" s="5"/>
      <c r="R334" s="5"/>
      <c r="S334" s="5"/>
      <c r="T334" s="5"/>
    </row>
    <row r="335" spans="1:20" ht="18.75" customHeight="1" x14ac:dyDescent="0.25">
      <c r="A335" s="5"/>
      <c r="B335" s="5"/>
      <c r="C335" s="6"/>
      <c r="L335" s="5"/>
      <c r="R335" s="5"/>
      <c r="S335" s="5"/>
      <c r="T335" s="5"/>
    </row>
    <row r="336" spans="1:20" ht="18.75" customHeight="1" x14ac:dyDescent="0.25">
      <c r="A336" s="5"/>
      <c r="B336" s="5"/>
      <c r="C336" s="6"/>
      <c r="L336" s="5"/>
      <c r="R336" s="5"/>
      <c r="S336" s="5"/>
      <c r="T336" s="5"/>
    </row>
    <row r="337" spans="1:20" ht="18.75" customHeight="1" x14ac:dyDescent="0.25">
      <c r="A337" s="5"/>
      <c r="B337" s="5"/>
      <c r="C337" s="6"/>
      <c r="L337" s="5"/>
      <c r="R337" s="5"/>
      <c r="S337" s="5"/>
      <c r="T337" s="5"/>
    </row>
    <row r="338" spans="1:20" ht="18.75" customHeight="1" x14ac:dyDescent="0.25">
      <c r="A338" s="5"/>
      <c r="B338" s="5"/>
      <c r="C338" s="6"/>
      <c r="L338" s="5"/>
      <c r="R338" s="5"/>
      <c r="S338" s="5"/>
      <c r="T338" s="5"/>
    </row>
    <row r="339" spans="1:20" ht="18.75" customHeight="1" x14ac:dyDescent="0.25">
      <c r="A339" s="5"/>
      <c r="B339" s="5"/>
      <c r="C339" s="6"/>
      <c r="L339" s="5"/>
      <c r="R339" s="5"/>
      <c r="S339" s="5"/>
      <c r="T339" s="5"/>
    </row>
    <row r="340" spans="1:20" ht="18.75" customHeight="1" x14ac:dyDescent="0.25">
      <c r="A340" s="5"/>
      <c r="B340" s="5"/>
      <c r="C340" s="6"/>
      <c r="L340" s="5"/>
      <c r="R340" s="5"/>
      <c r="S340" s="5"/>
      <c r="T340" s="5"/>
    </row>
    <row r="341" spans="1:20" ht="18.75" customHeight="1" x14ac:dyDescent="0.25">
      <c r="A341" s="5"/>
      <c r="B341" s="5"/>
      <c r="C341" s="6"/>
      <c r="L341" s="5"/>
      <c r="R341" s="5"/>
      <c r="S341" s="5"/>
      <c r="T341" s="5"/>
    </row>
    <row r="342" spans="1:20" ht="18.75" customHeight="1" x14ac:dyDescent="0.25">
      <c r="A342" s="5"/>
      <c r="B342" s="5"/>
      <c r="C342" s="6"/>
      <c r="L342" s="5"/>
      <c r="R342" s="5"/>
      <c r="S342" s="5"/>
      <c r="T342" s="5"/>
    </row>
    <row r="343" spans="1:20" ht="18.75" customHeight="1" x14ac:dyDescent="0.25">
      <c r="A343" s="5"/>
      <c r="B343" s="5"/>
      <c r="C343" s="6"/>
      <c r="L343" s="5"/>
      <c r="R343" s="5"/>
      <c r="S343" s="5"/>
      <c r="T343" s="5"/>
    </row>
    <row r="344" spans="1:20" ht="18.75" customHeight="1" x14ac:dyDescent="0.25">
      <c r="A344" s="5"/>
      <c r="B344" s="5"/>
      <c r="C344" s="6"/>
      <c r="L344" s="5"/>
      <c r="R344" s="5"/>
      <c r="S344" s="5"/>
      <c r="T344" s="5"/>
    </row>
    <row r="345" spans="1:20" ht="18.75" customHeight="1" x14ac:dyDescent="0.25">
      <c r="A345" s="5"/>
      <c r="B345" s="5"/>
      <c r="C345" s="6"/>
      <c r="L345" s="5"/>
      <c r="R345" s="5"/>
      <c r="S345" s="5"/>
      <c r="T345" s="5"/>
    </row>
    <row r="346" spans="1:20" ht="18.75" customHeight="1" x14ac:dyDescent="0.25">
      <c r="A346" s="5"/>
      <c r="B346" s="5"/>
      <c r="C346" s="6"/>
      <c r="L346" s="5"/>
      <c r="R346" s="5"/>
      <c r="S346" s="5"/>
      <c r="T346" s="5"/>
    </row>
    <row r="347" spans="1:20" ht="18.75" customHeight="1" x14ac:dyDescent="0.25">
      <c r="A347" s="5"/>
      <c r="B347" s="5"/>
      <c r="C347" s="6"/>
      <c r="L347" s="5"/>
      <c r="R347" s="5"/>
      <c r="S347" s="5"/>
      <c r="T347" s="5"/>
    </row>
    <row r="348" spans="1:20" ht="18.75" customHeight="1" x14ac:dyDescent="0.25">
      <c r="A348" s="5"/>
      <c r="B348" s="5"/>
      <c r="C348" s="6"/>
      <c r="L348" s="5"/>
      <c r="R348" s="5"/>
      <c r="S348" s="5"/>
      <c r="T348" s="5"/>
    </row>
    <row r="349" spans="1:20" ht="18.75" customHeight="1" x14ac:dyDescent="0.25">
      <c r="A349" s="5"/>
      <c r="B349" s="5"/>
      <c r="C349" s="6"/>
      <c r="L349" s="5"/>
      <c r="R349" s="5"/>
      <c r="S349" s="5"/>
      <c r="T349" s="5"/>
    </row>
    <row r="350" spans="1:20" ht="18.75" customHeight="1" x14ac:dyDescent="0.25">
      <c r="A350" s="5"/>
      <c r="B350" s="5"/>
      <c r="C350" s="6"/>
      <c r="L350" s="5"/>
      <c r="R350" s="5"/>
      <c r="S350" s="5"/>
      <c r="T350" s="5"/>
    </row>
    <row r="351" spans="1:20" ht="18.75" customHeight="1" x14ac:dyDescent="0.25">
      <c r="A351" s="5"/>
      <c r="B351" s="5"/>
      <c r="C351" s="6"/>
      <c r="L351" s="5"/>
      <c r="R351" s="5"/>
      <c r="S351" s="5"/>
      <c r="T351" s="5"/>
    </row>
    <row r="352" spans="1:20" ht="18.75" customHeight="1" x14ac:dyDescent="0.25">
      <c r="A352" s="5"/>
      <c r="B352" s="5"/>
      <c r="C352" s="6"/>
      <c r="L352" s="5"/>
      <c r="R352" s="5"/>
      <c r="S352" s="5"/>
      <c r="T352" s="5"/>
    </row>
    <row r="353" spans="1:20" ht="18.75" customHeight="1" x14ac:dyDescent="0.25">
      <c r="A353" s="5"/>
      <c r="B353" s="5"/>
      <c r="C353" s="6"/>
      <c r="L353" s="5"/>
      <c r="R353" s="5"/>
      <c r="S353" s="5"/>
      <c r="T353" s="5"/>
    </row>
    <row r="354" spans="1:20" ht="18.75" customHeight="1" x14ac:dyDescent="0.25">
      <c r="A354" s="5"/>
      <c r="B354" s="5"/>
      <c r="C354" s="6"/>
      <c r="L354" s="5"/>
      <c r="R354" s="5"/>
      <c r="S354" s="5"/>
      <c r="T354" s="5"/>
    </row>
    <row r="355" spans="1:20" ht="18.75" customHeight="1" x14ac:dyDescent="0.25">
      <c r="A355" s="5"/>
      <c r="B355" s="5"/>
      <c r="C355" s="6"/>
      <c r="L355" s="5"/>
      <c r="R355" s="5"/>
      <c r="S355" s="5"/>
      <c r="T355" s="5"/>
    </row>
    <row r="356" spans="1:20" ht="18.75" customHeight="1" x14ac:dyDescent="0.25">
      <c r="A356" s="5"/>
      <c r="B356" s="5"/>
      <c r="C356" s="6"/>
      <c r="L356" s="5"/>
      <c r="R356" s="5"/>
      <c r="S356" s="5"/>
      <c r="T356" s="5"/>
    </row>
    <row r="357" spans="1:20" ht="18.75" customHeight="1" x14ac:dyDescent="0.25">
      <c r="A357" s="5"/>
      <c r="B357" s="5"/>
      <c r="C357" s="6"/>
      <c r="L357" s="5"/>
      <c r="R357" s="5"/>
      <c r="S357" s="5"/>
      <c r="T357" s="5"/>
    </row>
    <row r="358" spans="1:20" ht="18.75" customHeight="1" x14ac:dyDescent="0.25">
      <c r="A358" s="5"/>
      <c r="B358" s="5"/>
      <c r="C358" s="6"/>
      <c r="L358" s="5"/>
      <c r="R358" s="5"/>
      <c r="S358" s="5"/>
      <c r="T358" s="5"/>
    </row>
    <row r="359" spans="1:20" ht="18.75" customHeight="1" x14ac:dyDescent="0.25">
      <c r="A359" s="5"/>
      <c r="B359" s="5"/>
      <c r="C359" s="6"/>
      <c r="L359" s="5"/>
      <c r="R359" s="5"/>
      <c r="S359" s="5"/>
      <c r="T359" s="5"/>
    </row>
    <row r="360" spans="1:20" ht="18.75" customHeight="1" x14ac:dyDescent="0.25">
      <c r="A360" s="5"/>
      <c r="B360" s="5"/>
      <c r="C360" s="6"/>
      <c r="L360" s="5"/>
      <c r="R360" s="5"/>
      <c r="S360" s="5"/>
      <c r="T360" s="5"/>
    </row>
    <row r="361" spans="1:20" ht="18.75" customHeight="1" x14ac:dyDescent="0.25">
      <c r="A361" s="5"/>
      <c r="B361" s="5"/>
      <c r="C361" s="6"/>
      <c r="L361" s="5"/>
      <c r="R361" s="5"/>
      <c r="S361" s="5"/>
      <c r="T361" s="5"/>
    </row>
    <row r="362" spans="1:20" ht="18.75" customHeight="1" x14ac:dyDescent="0.25">
      <c r="A362" s="5"/>
      <c r="B362" s="5"/>
      <c r="C362" s="6"/>
      <c r="L362" s="5"/>
      <c r="R362" s="5"/>
      <c r="S362" s="5"/>
      <c r="T362" s="5"/>
    </row>
    <row r="363" spans="1:20" ht="18.75" customHeight="1" x14ac:dyDescent="0.25">
      <c r="A363" s="5"/>
      <c r="B363" s="5"/>
      <c r="C363" s="6"/>
      <c r="L363" s="5"/>
      <c r="R363" s="5"/>
      <c r="S363" s="5"/>
      <c r="T363" s="5"/>
    </row>
    <row r="364" spans="1:20" ht="18.75" customHeight="1" x14ac:dyDescent="0.25">
      <c r="A364" s="5"/>
      <c r="B364" s="5"/>
      <c r="C364" s="6"/>
      <c r="L364" s="5"/>
      <c r="R364" s="5"/>
      <c r="S364" s="5"/>
      <c r="T364" s="5"/>
    </row>
    <row r="365" spans="1:20" ht="18.75" customHeight="1" x14ac:dyDescent="0.25">
      <c r="A365" s="5"/>
      <c r="B365" s="5"/>
      <c r="C365" s="6"/>
      <c r="L365" s="5"/>
      <c r="R365" s="5"/>
      <c r="S365" s="5"/>
      <c r="T365" s="5"/>
    </row>
    <row r="366" spans="1:20" ht="18.75" customHeight="1" x14ac:dyDescent="0.25">
      <c r="A366" s="5"/>
      <c r="B366" s="5"/>
      <c r="C366" s="6"/>
      <c r="L366" s="5"/>
      <c r="R366" s="5"/>
      <c r="S366" s="5"/>
      <c r="T366" s="5"/>
    </row>
    <row r="367" spans="1:20" ht="18.75" customHeight="1" x14ac:dyDescent="0.25">
      <c r="A367" s="5"/>
      <c r="B367" s="5"/>
      <c r="C367" s="6"/>
      <c r="L367" s="5"/>
      <c r="R367" s="5"/>
      <c r="S367" s="5"/>
      <c r="T367" s="5"/>
    </row>
    <row r="368" spans="1:20" ht="18.75" customHeight="1" x14ac:dyDescent="0.25">
      <c r="A368" s="5"/>
      <c r="B368" s="5"/>
      <c r="C368" s="6"/>
      <c r="L368" s="5"/>
      <c r="R368" s="5"/>
      <c r="S368" s="5"/>
      <c r="T368" s="5"/>
    </row>
    <row r="369" spans="1:20" ht="18.75" customHeight="1" x14ac:dyDescent="0.25">
      <c r="A369" s="5"/>
      <c r="B369" s="5"/>
      <c r="C369" s="6"/>
      <c r="L369" s="5"/>
      <c r="R369" s="5"/>
      <c r="S369" s="5"/>
      <c r="T369" s="5"/>
    </row>
    <row r="370" spans="1:20" ht="18.75" customHeight="1" x14ac:dyDescent="0.25">
      <c r="A370" s="5"/>
      <c r="B370" s="5"/>
      <c r="C370" s="6"/>
      <c r="L370" s="5"/>
      <c r="R370" s="5"/>
      <c r="S370" s="5"/>
      <c r="T370" s="5"/>
    </row>
    <row r="371" spans="1:20" ht="18.75" customHeight="1" x14ac:dyDescent="0.25">
      <c r="A371" s="5"/>
      <c r="B371" s="5"/>
      <c r="C371" s="6"/>
      <c r="L371" s="5"/>
      <c r="R371" s="5"/>
      <c r="S371" s="5"/>
      <c r="T371" s="5"/>
    </row>
    <row r="372" spans="1:20" ht="18.75" customHeight="1" x14ac:dyDescent="0.25">
      <c r="A372" s="5"/>
      <c r="B372" s="5"/>
      <c r="C372" s="6"/>
      <c r="L372" s="5"/>
      <c r="R372" s="5"/>
      <c r="S372" s="5"/>
      <c r="T372" s="5"/>
    </row>
    <row r="373" spans="1:20" ht="18.75" customHeight="1" x14ac:dyDescent="0.25">
      <c r="A373" s="5"/>
      <c r="B373" s="5"/>
      <c r="C373" s="6"/>
      <c r="L373" s="5"/>
      <c r="R373" s="5"/>
      <c r="S373" s="5"/>
      <c r="T373" s="5"/>
    </row>
    <row r="374" spans="1:20" ht="18.75" customHeight="1" x14ac:dyDescent="0.25">
      <c r="A374" s="5"/>
      <c r="B374" s="5"/>
      <c r="C374" s="6"/>
      <c r="L374" s="5"/>
      <c r="R374" s="5"/>
      <c r="S374" s="5"/>
      <c r="T374" s="5"/>
    </row>
    <row r="375" spans="1:20" ht="18.75" customHeight="1" x14ac:dyDescent="0.25">
      <c r="A375" s="5"/>
      <c r="B375" s="5"/>
      <c r="C375" s="6"/>
      <c r="L375" s="5"/>
      <c r="R375" s="5"/>
      <c r="S375" s="5"/>
      <c r="T375" s="5"/>
    </row>
    <row r="376" spans="1:20" ht="18.75" customHeight="1" x14ac:dyDescent="0.25">
      <c r="A376" s="5"/>
      <c r="B376" s="5"/>
      <c r="C376" s="6"/>
      <c r="L376" s="5"/>
      <c r="R376" s="5"/>
      <c r="S376" s="5"/>
      <c r="T376" s="5"/>
    </row>
    <row r="377" spans="1:20" ht="18.75" customHeight="1" x14ac:dyDescent="0.25">
      <c r="A377" s="5"/>
      <c r="B377" s="5"/>
      <c r="C377" s="6"/>
      <c r="L377" s="5"/>
      <c r="R377" s="5"/>
      <c r="S377" s="5"/>
      <c r="T377" s="5"/>
    </row>
    <row r="378" spans="1:20" ht="18.75" customHeight="1" x14ac:dyDescent="0.25">
      <c r="A378" s="5"/>
      <c r="B378" s="5"/>
      <c r="C378" s="6"/>
      <c r="L378" s="5"/>
      <c r="R378" s="5"/>
      <c r="S378" s="5"/>
      <c r="T378" s="5"/>
    </row>
    <row r="379" spans="1:20" ht="18.75" customHeight="1" x14ac:dyDescent="0.25">
      <c r="A379" s="5"/>
      <c r="B379" s="5"/>
      <c r="C379" s="6"/>
      <c r="L379" s="5"/>
      <c r="R379" s="5"/>
      <c r="S379" s="5"/>
      <c r="T379" s="5"/>
    </row>
    <row r="380" spans="1:20" ht="18.75" customHeight="1" x14ac:dyDescent="0.25">
      <c r="A380" s="5"/>
      <c r="B380" s="5"/>
      <c r="C380" s="6"/>
      <c r="L380" s="5"/>
      <c r="R380" s="5"/>
      <c r="S380" s="5"/>
      <c r="T380" s="5"/>
    </row>
    <row r="381" spans="1:20" ht="18.75" customHeight="1" x14ac:dyDescent="0.25">
      <c r="A381" s="5"/>
      <c r="B381" s="5"/>
      <c r="C381" s="6"/>
      <c r="L381" s="5"/>
      <c r="R381" s="5"/>
      <c r="S381" s="5"/>
      <c r="T381" s="5"/>
    </row>
    <row r="382" spans="1:20" ht="18.75" customHeight="1" x14ac:dyDescent="0.25">
      <c r="A382" s="5"/>
      <c r="B382" s="5"/>
      <c r="C382" s="6"/>
      <c r="L382" s="5"/>
      <c r="R382" s="5"/>
      <c r="S382" s="5"/>
      <c r="T382" s="5"/>
    </row>
    <row r="383" spans="1:20" ht="18.75" customHeight="1" x14ac:dyDescent="0.25">
      <c r="A383" s="5"/>
      <c r="B383" s="5"/>
      <c r="C383" s="6"/>
      <c r="L383" s="5"/>
      <c r="R383" s="5"/>
      <c r="S383" s="5"/>
      <c r="T383" s="5"/>
    </row>
    <row r="384" spans="1:20" ht="18.75" customHeight="1" x14ac:dyDescent="0.25">
      <c r="A384" s="5"/>
      <c r="B384" s="5"/>
      <c r="C384" s="6"/>
      <c r="L384" s="5"/>
      <c r="R384" s="5"/>
      <c r="S384" s="5"/>
      <c r="T384" s="5"/>
    </row>
    <row r="385" spans="1:20" ht="18.75" customHeight="1" x14ac:dyDescent="0.25">
      <c r="A385" s="5"/>
      <c r="B385" s="5"/>
      <c r="C385" s="6"/>
      <c r="L385" s="5"/>
      <c r="R385" s="5"/>
      <c r="S385" s="5"/>
      <c r="T385" s="5"/>
    </row>
    <row r="386" spans="1:20" ht="18.75" customHeight="1" x14ac:dyDescent="0.25">
      <c r="A386" s="5"/>
      <c r="B386" s="5"/>
      <c r="C386" s="6"/>
      <c r="L386" s="5"/>
      <c r="R386" s="5"/>
      <c r="S386" s="5"/>
      <c r="T386" s="5"/>
    </row>
    <row r="387" spans="1:20" ht="18.75" customHeight="1" x14ac:dyDescent="0.25">
      <c r="A387" s="5"/>
      <c r="B387" s="5"/>
      <c r="C387" s="6"/>
      <c r="L387" s="5"/>
      <c r="R387" s="5"/>
      <c r="S387" s="5"/>
      <c r="T387" s="5"/>
    </row>
    <row r="388" spans="1:20" ht="18.75" customHeight="1" x14ac:dyDescent="0.25">
      <c r="A388" s="5"/>
      <c r="B388" s="5"/>
      <c r="C388" s="6"/>
      <c r="L388" s="5"/>
      <c r="R388" s="5"/>
      <c r="S388" s="5"/>
      <c r="T388" s="5"/>
    </row>
    <row r="389" spans="1:20" ht="18.75" customHeight="1" x14ac:dyDescent="0.25">
      <c r="A389" s="5"/>
      <c r="B389" s="5"/>
      <c r="C389" s="6"/>
      <c r="L389" s="5"/>
      <c r="R389" s="5"/>
      <c r="S389" s="5"/>
      <c r="T389" s="5"/>
    </row>
    <row r="390" spans="1:20" ht="18.75" customHeight="1" x14ac:dyDescent="0.25">
      <c r="A390" s="5"/>
      <c r="B390" s="5"/>
      <c r="C390" s="6"/>
      <c r="L390" s="5"/>
      <c r="R390" s="5"/>
      <c r="S390" s="5"/>
      <c r="T390" s="5"/>
    </row>
    <row r="391" spans="1:20" ht="18.75" customHeight="1" x14ac:dyDescent="0.25">
      <c r="A391" s="5"/>
      <c r="B391" s="5"/>
      <c r="C391" s="6"/>
      <c r="L391" s="5"/>
      <c r="R391" s="5"/>
      <c r="S391" s="5"/>
      <c r="T391" s="5"/>
    </row>
    <row r="392" spans="1:20" ht="18.75" customHeight="1" x14ac:dyDescent="0.25">
      <c r="A392" s="5"/>
      <c r="B392" s="5"/>
      <c r="C392" s="6"/>
      <c r="L392" s="5"/>
      <c r="R392" s="5"/>
      <c r="S392" s="5"/>
      <c r="T392" s="5"/>
    </row>
    <row r="393" spans="1:20" ht="18.75" customHeight="1" x14ac:dyDescent="0.25">
      <c r="A393" s="5"/>
      <c r="B393" s="5"/>
      <c r="C393" s="6"/>
      <c r="L393" s="5"/>
      <c r="R393" s="5"/>
      <c r="S393" s="5"/>
      <c r="T393" s="5"/>
    </row>
    <row r="394" spans="1:20" ht="18.75" customHeight="1" x14ac:dyDescent="0.25">
      <c r="A394" s="5"/>
      <c r="B394" s="5"/>
      <c r="C394" s="6"/>
      <c r="L394" s="5"/>
      <c r="R394" s="5"/>
      <c r="S394" s="5"/>
      <c r="T394" s="5"/>
    </row>
    <row r="395" spans="1:20" ht="18.75" customHeight="1" x14ac:dyDescent="0.25">
      <c r="A395" s="5"/>
      <c r="B395" s="5"/>
      <c r="C395" s="6"/>
      <c r="L395" s="5"/>
      <c r="R395" s="5"/>
      <c r="S395" s="5"/>
      <c r="T395" s="5"/>
    </row>
    <row r="396" spans="1:20" ht="18.75" customHeight="1" x14ac:dyDescent="0.25">
      <c r="A396" s="5"/>
      <c r="B396" s="5"/>
      <c r="C396" s="6"/>
      <c r="L396" s="5"/>
      <c r="R396" s="5"/>
      <c r="S396" s="5"/>
      <c r="T396" s="5"/>
    </row>
    <row r="397" spans="1:20" ht="18.75" customHeight="1" x14ac:dyDescent="0.25">
      <c r="A397" s="5"/>
      <c r="B397" s="5"/>
      <c r="C397" s="6"/>
      <c r="L397" s="5"/>
      <c r="R397" s="5"/>
      <c r="S397" s="5"/>
      <c r="T397" s="5"/>
    </row>
    <row r="398" spans="1:20" ht="18.75" customHeight="1" x14ac:dyDescent="0.25">
      <c r="A398" s="5"/>
      <c r="B398" s="5"/>
      <c r="C398" s="6"/>
      <c r="L398" s="5"/>
      <c r="R398" s="5"/>
      <c r="S398" s="5"/>
      <c r="T398" s="5"/>
    </row>
    <row r="399" spans="1:20" ht="18.75" customHeight="1" x14ac:dyDescent="0.25">
      <c r="A399" s="5"/>
      <c r="B399" s="5"/>
      <c r="C399" s="6"/>
      <c r="L399" s="5"/>
      <c r="R399" s="5"/>
      <c r="S399" s="5"/>
      <c r="T399" s="5"/>
    </row>
    <row r="400" spans="1:20" ht="18.75" customHeight="1" x14ac:dyDescent="0.25">
      <c r="A400" s="5"/>
      <c r="B400" s="5"/>
      <c r="C400" s="6"/>
      <c r="L400" s="5"/>
      <c r="R400" s="5"/>
      <c r="S400" s="5"/>
      <c r="T400" s="5"/>
    </row>
    <row r="401" spans="1:20" ht="18.75" customHeight="1" x14ac:dyDescent="0.25">
      <c r="A401" s="5"/>
      <c r="B401" s="5"/>
      <c r="C401" s="6"/>
      <c r="L401" s="5"/>
      <c r="R401" s="5"/>
      <c r="S401" s="5"/>
      <c r="T401" s="5"/>
    </row>
    <row r="402" spans="1:20" ht="18.75" customHeight="1" x14ac:dyDescent="0.25">
      <c r="A402" s="5"/>
      <c r="B402" s="5"/>
      <c r="C402" s="6"/>
      <c r="L402" s="5"/>
      <c r="R402" s="5"/>
      <c r="S402" s="5"/>
      <c r="T402" s="5"/>
    </row>
    <row r="403" spans="1:20" ht="18.75" customHeight="1" x14ac:dyDescent="0.25">
      <c r="A403" s="5"/>
      <c r="B403" s="5"/>
      <c r="C403" s="6"/>
      <c r="L403" s="5"/>
      <c r="R403" s="5"/>
      <c r="S403" s="5"/>
      <c r="T403" s="5"/>
    </row>
    <row r="404" spans="1:20" ht="18.75" customHeight="1" x14ac:dyDescent="0.25">
      <c r="A404" s="5"/>
      <c r="B404" s="5"/>
      <c r="C404" s="6"/>
      <c r="L404" s="5"/>
      <c r="R404" s="5"/>
      <c r="S404" s="5"/>
      <c r="T404" s="5"/>
    </row>
    <row r="405" spans="1:20" ht="18.75" customHeight="1" x14ac:dyDescent="0.25">
      <c r="A405" s="5"/>
      <c r="B405" s="5"/>
      <c r="C405" s="6"/>
      <c r="L405" s="5"/>
      <c r="R405" s="5"/>
      <c r="S405" s="5"/>
      <c r="T405" s="5"/>
    </row>
    <row r="406" spans="1:20" ht="18.75" customHeight="1" x14ac:dyDescent="0.25">
      <c r="A406" s="5"/>
      <c r="B406" s="5"/>
      <c r="C406" s="6"/>
      <c r="L406" s="5"/>
      <c r="R406" s="5"/>
      <c r="S406" s="5"/>
      <c r="T406" s="5"/>
    </row>
    <row r="407" spans="1:20" ht="18.75" customHeight="1" x14ac:dyDescent="0.25">
      <c r="A407" s="5"/>
      <c r="B407" s="5"/>
      <c r="C407" s="6"/>
      <c r="L407" s="5"/>
      <c r="R407" s="5"/>
      <c r="S407" s="5"/>
      <c r="T407" s="5"/>
    </row>
    <row r="408" spans="1:20" ht="18.75" customHeight="1" x14ac:dyDescent="0.25">
      <c r="A408" s="5"/>
      <c r="B408" s="5"/>
      <c r="C408" s="6"/>
      <c r="L408" s="5"/>
      <c r="R408" s="5"/>
      <c r="S408" s="5"/>
      <c r="T408" s="5"/>
    </row>
    <row r="409" spans="1:20" ht="18.75" customHeight="1" x14ac:dyDescent="0.25">
      <c r="A409" s="5"/>
      <c r="B409" s="5"/>
      <c r="C409" s="6"/>
      <c r="L409" s="5"/>
      <c r="R409" s="5"/>
      <c r="S409" s="5"/>
      <c r="T409" s="5"/>
    </row>
    <row r="410" spans="1:20" ht="18.75" customHeight="1" x14ac:dyDescent="0.25">
      <c r="A410" s="5"/>
      <c r="B410" s="5"/>
      <c r="C410" s="6"/>
      <c r="L410" s="5"/>
      <c r="R410" s="5"/>
      <c r="S410" s="5"/>
      <c r="T410" s="5"/>
    </row>
    <row r="411" spans="1:20" ht="18.75" customHeight="1" x14ac:dyDescent="0.25">
      <c r="A411" s="5"/>
      <c r="B411" s="5"/>
      <c r="C411" s="6"/>
      <c r="L411" s="5"/>
      <c r="R411" s="5"/>
      <c r="S411" s="5"/>
      <c r="T411" s="5"/>
    </row>
    <row r="412" spans="1:20" ht="18.75" customHeight="1" x14ac:dyDescent="0.25">
      <c r="A412" s="5"/>
      <c r="B412" s="5"/>
      <c r="C412" s="6"/>
      <c r="L412" s="5"/>
      <c r="R412" s="5"/>
      <c r="S412" s="5"/>
      <c r="T412" s="5"/>
    </row>
    <row r="413" spans="1:20" ht="18.75" customHeight="1" x14ac:dyDescent="0.25">
      <c r="A413" s="5"/>
      <c r="B413" s="5"/>
      <c r="C413" s="6"/>
      <c r="L413" s="5"/>
      <c r="R413" s="5"/>
      <c r="S413" s="5"/>
      <c r="T413" s="5"/>
    </row>
    <row r="414" spans="1:20" ht="18.75" customHeight="1" x14ac:dyDescent="0.25">
      <c r="A414" s="5"/>
      <c r="B414" s="5"/>
      <c r="C414" s="6"/>
      <c r="L414" s="5"/>
      <c r="R414" s="5"/>
      <c r="S414" s="5"/>
      <c r="T414" s="5"/>
    </row>
    <row r="415" spans="1:20" ht="18.75" customHeight="1" x14ac:dyDescent="0.25">
      <c r="A415" s="5"/>
      <c r="B415" s="5"/>
      <c r="C415" s="6"/>
      <c r="L415" s="5"/>
      <c r="R415" s="5"/>
      <c r="S415" s="5"/>
      <c r="T415" s="5"/>
    </row>
    <row r="416" spans="1:20" ht="18.75" customHeight="1" x14ac:dyDescent="0.25">
      <c r="A416" s="5"/>
      <c r="B416" s="5"/>
      <c r="C416" s="6"/>
      <c r="L416" s="5"/>
      <c r="R416" s="5"/>
      <c r="S416" s="5"/>
      <c r="T416" s="5"/>
    </row>
    <row r="417" spans="1:20" ht="18.75" customHeight="1" x14ac:dyDescent="0.25">
      <c r="A417" s="5"/>
      <c r="B417" s="5"/>
      <c r="C417" s="6"/>
      <c r="L417" s="5"/>
      <c r="R417" s="5"/>
      <c r="S417" s="5"/>
      <c r="T417" s="5"/>
    </row>
    <row r="418" spans="1:20" ht="18.75" customHeight="1" x14ac:dyDescent="0.25">
      <c r="A418" s="5"/>
      <c r="B418" s="5"/>
      <c r="C418" s="6"/>
      <c r="L418" s="5"/>
      <c r="R418" s="5"/>
      <c r="S418" s="5"/>
      <c r="T418" s="5"/>
    </row>
    <row r="419" spans="1:20" ht="18.75" customHeight="1" x14ac:dyDescent="0.25">
      <c r="A419" s="5"/>
      <c r="B419" s="5"/>
      <c r="C419" s="6"/>
      <c r="L419" s="5"/>
      <c r="R419" s="5"/>
      <c r="S419" s="5"/>
      <c r="T419" s="5"/>
    </row>
    <row r="420" spans="1:20" ht="18.75" customHeight="1" x14ac:dyDescent="0.25">
      <c r="A420" s="5"/>
      <c r="B420" s="5"/>
      <c r="C420" s="6"/>
      <c r="L420" s="5"/>
      <c r="R420" s="5"/>
      <c r="S420" s="5"/>
      <c r="T420" s="5"/>
    </row>
    <row r="421" spans="1:20" ht="18.75" customHeight="1" x14ac:dyDescent="0.25">
      <c r="A421" s="5"/>
      <c r="B421" s="5"/>
      <c r="C421" s="6"/>
      <c r="L421" s="5"/>
      <c r="R421" s="5"/>
      <c r="S421" s="5"/>
      <c r="T421" s="5"/>
    </row>
    <row r="422" spans="1:20" ht="18.75" customHeight="1" x14ac:dyDescent="0.25">
      <c r="A422" s="5"/>
      <c r="B422" s="5"/>
      <c r="C422" s="6"/>
      <c r="L422" s="5"/>
      <c r="R422" s="5"/>
      <c r="S422" s="5"/>
      <c r="T422" s="5"/>
    </row>
    <row r="423" spans="1:20" ht="18.75" customHeight="1" x14ac:dyDescent="0.25">
      <c r="A423" s="5"/>
      <c r="B423" s="5"/>
      <c r="C423" s="6"/>
      <c r="L423" s="5"/>
      <c r="R423" s="5"/>
      <c r="S423" s="5"/>
      <c r="T423" s="5"/>
    </row>
    <row r="424" spans="1:20" ht="18.75" customHeight="1" x14ac:dyDescent="0.25">
      <c r="A424" s="5"/>
      <c r="B424" s="5"/>
      <c r="C424" s="6"/>
      <c r="L424" s="5"/>
      <c r="R424" s="5"/>
      <c r="S424" s="5"/>
      <c r="T424" s="5"/>
    </row>
    <row r="425" spans="1:20" ht="18.75" customHeight="1" x14ac:dyDescent="0.25">
      <c r="A425" s="5"/>
      <c r="B425" s="5"/>
      <c r="C425" s="6"/>
      <c r="L425" s="5"/>
      <c r="R425" s="5"/>
      <c r="S425" s="5"/>
      <c r="T425" s="5"/>
    </row>
    <row r="426" spans="1:20" ht="18.75" customHeight="1" x14ac:dyDescent="0.25">
      <c r="A426" s="5"/>
      <c r="B426" s="5"/>
      <c r="C426" s="6"/>
      <c r="L426" s="5"/>
      <c r="R426" s="5"/>
      <c r="S426" s="5"/>
      <c r="T426" s="5"/>
    </row>
    <row r="427" spans="1:20" ht="18.75" customHeight="1" x14ac:dyDescent="0.25">
      <c r="A427" s="5"/>
      <c r="B427" s="5"/>
      <c r="C427" s="6"/>
      <c r="L427" s="5"/>
      <c r="R427" s="5"/>
      <c r="S427" s="5"/>
      <c r="T427" s="5"/>
    </row>
    <row r="428" spans="1:20" ht="18.75" customHeight="1" x14ac:dyDescent="0.25">
      <c r="A428" s="5"/>
      <c r="B428" s="5"/>
      <c r="C428" s="6"/>
      <c r="L428" s="5"/>
      <c r="R428" s="5"/>
      <c r="S428" s="5"/>
      <c r="T428" s="5"/>
    </row>
    <row r="429" spans="1:20" ht="18.75" customHeight="1" x14ac:dyDescent="0.25">
      <c r="A429" s="5"/>
      <c r="B429" s="5"/>
      <c r="C429" s="6"/>
      <c r="L429" s="5"/>
      <c r="R429" s="5"/>
      <c r="S429" s="5"/>
      <c r="T429" s="5"/>
    </row>
    <row r="430" spans="1:20" ht="18.75" customHeight="1" x14ac:dyDescent="0.25">
      <c r="A430" s="5"/>
      <c r="B430" s="5"/>
      <c r="C430" s="6"/>
      <c r="L430" s="5"/>
      <c r="R430" s="5"/>
      <c r="S430" s="5"/>
      <c r="T430" s="5"/>
    </row>
    <row r="431" spans="1:20" ht="18.75" customHeight="1" x14ac:dyDescent="0.25">
      <c r="A431" s="5"/>
      <c r="B431" s="5"/>
      <c r="C431" s="6"/>
      <c r="L431" s="5"/>
      <c r="R431" s="5"/>
      <c r="S431" s="5"/>
      <c r="T431" s="5"/>
    </row>
    <row r="432" spans="1:20" ht="18.75" customHeight="1" x14ac:dyDescent="0.25">
      <c r="A432" s="5"/>
      <c r="B432" s="5"/>
      <c r="C432" s="6"/>
      <c r="L432" s="5"/>
      <c r="R432" s="5"/>
      <c r="S432" s="5"/>
      <c r="T432" s="5"/>
    </row>
    <row r="433" spans="1:20" ht="18.75" customHeight="1" x14ac:dyDescent="0.25">
      <c r="A433" s="5"/>
      <c r="B433" s="5"/>
      <c r="C433" s="6"/>
      <c r="L433" s="5"/>
      <c r="R433" s="5"/>
      <c r="S433" s="5"/>
      <c r="T433" s="5"/>
    </row>
    <row r="434" spans="1:20" ht="18.75" customHeight="1" x14ac:dyDescent="0.25">
      <c r="A434" s="5"/>
      <c r="B434" s="5"/>
      <c r="C434" s="6"/>
      <c r="L434" s="5"/>
      <c r="R434" s="5"/>
      <c r="S434" s="5"/>
      <c r="T434" s="5"/>
    </row>
    <row r="435" spans="1:20" ht="18.75" customHeight="1" x14ac:dyDescent="0.25">
      <c r="A435" s="5"/>
      <c r="B435" s="5"/>
      <c r="C435" s="6"/>
      <c r="L435" s="5"/>
      <c r="R435" s="5"/>
      <c r="S435" s="5"/>
      <c r="T435" s="5"/>
    </row>
    <row r="436" spans="1:20" ht="18.75" customHeight="1" x14ac:dyDescent="0.25">
      <c r="A436" s="5"/>
      <c r="B436" s="5"/>
      <c r="C436" s="6"/>
      <c r="L436" s="5"/>
      <c r="R436" s="5"/>
      <c r="S436" s="5"/>
      <c r="T436" s="5"/>
    </row>
    <row r="437" spans="1:20" ht="18.75" customHeight="1" x14ac:dyDescent="0.25">
      <c r="A437" s="5"/>
      <c r="B437" s="5"/>
      <c r="C437" s="6"/>
      <c r="L437" s="5"/>
      <c r="R437" s="5"/>
      <c r="S437" s="5"/>
      <c r="T437" s="5"/>
    </row>
    <row r="438" spans="1:20" ht="18.75" customHeight="1" x14ac:dyDescent="0.25">
      <c r="A438" s="5"/>
      <c r="B438" s="5"/>
      <c r="C438" s="6"/>
      <c r="L438" s="5"/>
      <c r="R438" s="5"/>
      <c r="S438" s="5"/>
      <c r="T438" s="5"/>
    </row>
    <row r="439" spans="1:20" ht="18.75" customHeight="1" x14ac:dyDescent="0.25">
      <c r="A439" s="5"/>
      <c r="B439" s="5"/>
      <c r="C439" s="6"/>
      <c r="L439" s="5"/>
      <c r="R439" s="5"/>
      <c r="S439" s="5"/>
      <c r="T439" s="5"/>
    </row>
    <row r="440" spans="1:20" ht="18.75" customHeight="1" x14ac:dyDescent="0.25">
      <c r="A440" s="5"/>
      <c r="B440" s="5"/>
      <c r="C440" s="6"/>
      <c r="L440" s="5"/>
      <c r="R440" s="5"/>
      <c r="S440" s="5"/>
      <c r="T440" s="5"/>
    </row>
    <row r="441" spans="1:20" ht="18.75" customHeight="1" x14ac:dyDescent="0.25">
      <c r="A441" s="5"/>
      <c r="B441" s="5"/>
      <c r="C441" s="6"/>
      <c r="L441" s="5"/>
      <c r="R441" s="5"/>
      <c r="S441" s="5"/>
      <c r="T441" s="5"/>
    </row>
    <row r="442" spans="1:20" ht="18.75" customHeight="1" x14ac:dyDescent="0.25">
      <c r="A442" s="5"/>
      <c r="B442" s="5"/>
      <c r="C442" s="6"/>
      <c r="L442" s="5"/>
      <c r="R442" s="5"/>
      <c r="S442" s="5"/>
      <c r="T442" s="5"/>
    </row>
    <row r="443" spans="1:20" ht="18.75" customHeight="1" x14ac:dyDescent="0.25">
      <c r="A443" s="5"/>
      <c r="B443" s="5"/>
      <c r="C443" s="6"/>
      <c r="L443" s="5"/>
      <c r="R443" s="5"/>
      <c r="S443" s="5"/>
      <c r="T443" s="5"/>
    </row>
    <row r="444" spans="1:20" ht="18.75" customHeight="1" x14ac:dyDescent="0.25">
      <c r="A444" s="5"/>
      <c r="B444" s="5"/>
      <c r="C444" s="6"/>
      <c r="L444" s="5"/>
      <c r="R444" s="5"/>
      <c r="S444" s="5"/>
      <c r="T444" s="5"/>
    </row>
    <row r="445" spans="1:20" ht="18.75" customHeight="1" x14ac:dyDescent="0.25">
      <c r="A445" s="5"/>
      <c r="B445" s="5"/>
      <c r="C445" s="6"/>
      <c r="L445" s="5"/>
      <c r="R445" s="5"/>
      <c r="S445" s="5"/>
      <c r="T445" s="5"/>
    </row>
    <row r="446" spans="1:20" ht="18.75" customHeight="1" x14ac:dyDescent="0.25">
      <c r="A446" s="5"/>
      <c r="B446" s="5"/>
      <c r="C446" s="6"/>
      <c r="L446" s="5"/>
      <c r="R446" s="5"/>
      <c r="S446" s="5"/>
      <c r="T446" s="5"/>
    </row>
    <row r="447" spans="1:20" ht="18.75" customHeight="1" x14ac:dyDescent="0.25">
      <c r="A447" s="5"/>
      <c r="B447" s="5"/>
      <c r="C447" s="6"/>
      <c r="L447" s="5"/>
      <c r="R447" s="5"/>
      <c r="S447" s="5"/>
      <c r="T447" s="5"/>
    </row>
    <row r="448" spans="1:20" ht="18.75" customHeight="1" x14ac:dyDescent="0.25">
      <c r="A448" s="5"/>
      <c r="B448" s="5"/>
      <c r="C448" s="6"/>
      <c r="L448" s="5"/>
      <c r="R448" s="5"/>
      <c r="S448" s="5"/>
      <c r="T448" s="5"/>
    </row>
    <row r="449" spans="1:20" ht="18.75" customHeight="1" x14ac:dyDescent="0.25">
      <c r="A449" s="5"/>
      <c r="B449" s="5"/>
      <c r="C449" s="6"/>
      <c r="L449" s="5"/>
      <c r="R449" s="5"/>
      <c r="S449" s="5"/>
      <c r="T449" s="5"/>
    </row>
    <row r="450" spans="1:20" ht="18.75" customHeight="1" x14ac:dyDescent="0.25">
      <c r="A450" s="5"/>
      <c r="B450" s="5"/>
      <c r="C450" s="6"/>
      <c r="L450" s="5"/>
      <c r="R450" s="5"/>
      <c r="S450" s="5"/>
      <c r="T450" s="5"/>
    </row>
    <row r="451" spans="1:20" ht="18.75" customHeight="1" x14ac:dyDescent="0.25">
      <c r="A451" s="5"/>
      <c r="B451" s="5"/>
      <c r="C451" s="6"/>
      <c r="L451" s="5"/>
      <c r="R451" s="5"/>
      <c r="S451" s="5"/>
      <c r="T451" s="5"/>
    </row>
    <row r="452" spans="1:20" ht="18.75" customHeight="1" x14ac:dyDescent="0.25">
      <c r="A452" s="5"/>
      <c r="B452" s="5"/>
      <c r="C452" s="6"/>
      <c r="L452" s="5"/>
      <c r="R452" s="5"/>
      <c r="S452" s="5"/>
      <c r="T452" s="5"/>
    </row>
    <row r="453" spans="1:20" ht="18.75" customHeight="1" x14ac:dyDescent="0.25">
      <c r="A453" s="5"/>
      <c r="B453" s="5"/>
      <c r="C453" s="6"/>
      <c r="L453" s="5"/>
      <c r="R453" s="5"/>
      <c r="S453" s="5"/>
      <c r="T453" s="5"/>
    </row>
    <row r="454" spans="1:20" ht="18.75" customHeight="1" x14ac:dyDescent="0.25">
      <c r="A454" s="5"/>
      <c r="B454" s="5"/>
      <c r="C454" s="6"/>
      <c r="L454" s="5"/>
      <c r="R454" s="5"/>
      <c r="S454" s="5"/>
      <c r="T454" s="5"/>
    </row>
    <row r="455" spans="1:20" ht="18.75" customHeight="1" x14ac:dyDescent="0.25">
      <c r="A455" s="5"/>
      <c r="B455" s="5"/>
      <c r="C455" s="6"/>
      <c r="L455" s="5"/>
      <c r="R455" s="5"/>
      <c r="S455" s="5"/>
      <c r="T455" s="5"/>
    </row>
    <row r="456" spans="1:20" ht="18.75" customHeight="1" x14ac:dyDescent="0.25">
      <c r="A456" s="5"/>
      <c r="B456" s="5"/>
      <c r="C456" s="6"/>
      <c r="L456" s="5"/>
      <c r="R456" s="5"/>
      <c r="S456" s="5"/>
      <c r="T456" s="5"/>
    </row>
    <row r="457" spans="1:20" ht="18.75" customHeight="1" x14ac:dyDescent="0.25">
      <c r="A457" s="5"/>
      <c r="B457" s="5"/>
      <c r="C457" s="6"/>
      <c r="L457" s="5"/>
      <c r="R457" s="5"/>
      <c r="S457" s="5"/>
      <c r="T457" s="5"/>
    </row>
    <row r="458" spans="1:20" ht="18.75" customHeight="1" x14ac:dyDescent="0.25">
      <c r="A458" s="5"/>
      <c r="B458" s="5"/>
      <c r="C458" s="6"/>
      <c r="L458" s="5"/>
      <c r="R458" s="5"/>
      <c r="S458" s="5"/>
      <c r="T458" s="5"/>
    </row>
    <row r="459" spans="1:20" ht="18.75" customHeight="1" x14ac:dyDescent="0.25">
      <c r="A459" s="5"/>
      <c r="B459" s="5"/>
      <c r="C459" s="6"/>
      <c r="L459" s="5"/>
      <c r="R459" s="5"/>
      <c r="S459" s="5"/>
      <c r="T459" s="5"/>
    </row>
    <row r="460" spans="1:20" ht="18.75" customHeight="1" x14ac:dyDescent="0.25">
      <c r="A460" s="5"/>
      <c r="B460" s="5"/>
      <c r="C460" s="6"/>
      <c r="L460" s="5"/>
      <c r="R460" s="5"/>
      <c r="S460" s="5"/>
      <c r="T460" s="5"/>
    </row>
    <row r="461" spans="1:20" ht="18.75" customHeight="1" x14ac:dyDescent="0.25">
      <c r="A461" s="5"/>
      <c r="B461" s="5"/>
      <c r="C461" s="6"/>
      <c r="L461" s="5"/>
      <c r="R461" s="5"/>
      <c r="S461" s="5"/>
      <c r="T461" s="5"/>
    </row>
    <row r="462" spans="1:20" ht="18.75" customHeight="1" x14ac:dyDescent="0.25">
      <c r="A462" s="5"/>
      <c r="B462" s="5"/>
      <c r="C462" s="6"/>
      <c r="L462" s="5"/>
      <c r="R462" s="5"/>
      <c r="S462" s="5"/>
      <c r="T462" s="5"/>
    </row>
    <row r="463" spans="1:20" ht="18.75" customHeight="1" x14ac:dyDescent="0.25">
      <c r="A463" s="5"/>
      <c r="B463" s="5"/>
      <c r="C463" s="6"/>
      <c r="L463" s="5"/>
      <c r="R463" s="5"/>
      <c r="S463" s="5"/>
      <c r="T463" s="5"/>
    </row>
    <row r="464" spans="1:20" ht="18.75" customHeight="1" x14ac:dyDescent="0.25">
      <c r="A464" s="5"/>
      <c r="B464" s="5"/>
      <c r="C464" s="6"/>
      <c r="L464" s="5"/>
      <c r="R464" s="5"/>
      <c r="S464" s="5"/>
      <c r="T464" s="5"/>
    </row>
    <row r="465" spans="1:20" ht="18.75" customHeight="1" x14ac:dyDescent="0.25">
      <c r="A465" s="5"/>
      <c r="B465" s="5"/>
      <c r="C465" s="6"/>
      <c r="L465" s="5"/>
      <c r="R465" s="5"/>
      <c r="S465" s="5"/>
      <c r="T465" s="5"/>
    </row>
    <row r="466" spans="1:20" ht="18.75" customHeight="1" x14ac:dyDescent="0.25">
      <c r="A466" s="5"/>
      <c r="B466" s="5"/>
      <c r="C466" s="6"/>
      <c r="L466" s="5"/>
      <c r="R466" s="5"/>
      <c r="S466" s="5"/>
      <c r="T466" s="5"/>
    </row>
    <row r="467" spans="1:20" ht="18.75" customHeight="1" x14ac:dyDescent="0.25">
      <c r="A467" s="5"/>
      <c r="B467" s="5"/>
      <c r="C467" s="6"/>
      <c r="L467" s="5"/>
      <c r="R467" s="5"/>
      <c r="S467" s="5"/>
      <c r="T467" s="5"/>
    </row>
    <row r="468" spans="1:20" ht="18.75" customHeight="1" x14ac:dyDescent="0.25">
      <c r="A468" s="5"/>
      <c r="B468" s="5"/>
      <c r="C468" s="6"/>
      <c r="L468" s="5"/>
      <c r="R468" s="5"/>
      <c r="S468" s="5"/>
      <c r="T468" s="5"/>
    </row>
    <row r="469" spans="1:20" ht="18.75" customHeight="1" x14ac:dyDescent="0.25">
      <c r="A469" s="5"/>
      <c r="B469" s="5"/>
      <c r="C469" s="6"/>
      <c r="L469" s="5"/>
      <c r="R469" s="5"/>
      <c r="S469" s="5"/>
      <c r="T469" s="5"/>
    </row>
    <row r="470" spans="1:20" ht="18.75" customHeight="1" x14ac:dyDescent="0.25">
      <c r="A470" s="5"/>
      <c r="B470" s="5"/>
      <c r="C470" s="6"/>
      <c r="L470" s="5"/>
      <c r="R470" s="5"/>
      <c r="S470" s="5"/>
      <c r="T470" s="5"/>
    </row>
    <row r="471" spans="1:20" ht="18.75" customHeight="1" x14ac:dyDescent="0.25">
      <c r="A471" s="5"/>
      <c r="B471" s="5"/>
      <c r="C471" s="6"/>
      <c r="L471" s="5"/>
      <c r="R471" s="5"/>
      <c r="S471" s="5"/>
      <c r="T471" s="5"/>
    </row>
    <row r="472" spans="1:20" ht="18.75" customHeight="1" x14ac:dyDescent="0.25">
      <c r="A472" s="5"/>
      <c r="B472" s="5"/>
      <c r="C472" s="6"/>
      <c r="L472" s="5"/>
      <c r="R472" s="5"/>
      <c r="S472" s="5"/>
      <c r="T472" s="5"/>
    </row>
    <row r="473" spans="1:20" ht="18.75" customHeight="1" x14ac:dyDescent="0.25">
      <c r="A473" s="5"/>
      <c r="B473" s="5"/>
      <c r="C473" s="6"/>
      <c r="L473" s="5"/>
      <c r="R473" s="5"/>
      <c r="S473" s="5"/>
      <c r="T473" s="5"/>
    </row>
    <row r="474" spans="1:20" ht="18.75" customHeight="1" x14ac:dyDescent="0.25">
      <c r="A474" s="5"/>
      <c r="B474" s="5"/>
      <c r="C474" s="6"/>
      <c r="L474" s="5"/>
      <c r="R474" s="5"/>
      <c r="S474" s="5"/>
      <c r="T474" s="5"/>
    </row>
    <row r="475" spans="1:20" ht="18.75" customHeight="1" x14ac:dyDescent="0.25">
      <c r="A475" s="5"/>
      <c r="B475" s="5"/>
      <c r="C475" s="6"/>
      <c r="L475" s="5"/>
      <c r="R475" s="5"/>
      <c r="S475" s="5"/>
      <c r="T475" s="5"/>
    </row>
    <row r="476" spans="1:20" ht="18.75" customHeight="1" x14ac:dyDescent="0.25">
      <c r="A476" s="5"/>
      <c r="B476" s="5"/>
      <c r="C476" s="6"/>
      <c r="L476" s="5"/>
      <c r="R476" s="5"/>
      <c r="S476" s="5"/>
      <c r="T476" s="5"/>
    </row>
    <row r="477" spans="1:20" ht="18.75" customHeight="1" x14ac:dyDescent="0.25">
      <c r="A477" s="5"/>
      <c r="B477" s="5"/>
      <c r="C477" s="6"/>
      <c r="L477" s="5"/>
      <c r="R477" s="5"/>
      <c r="S477" s="5"/>
      <c r="T477" s="5"/>
    </row>
    <row r="478" spans="1:20" ht="18.75" customHeight="1" x14ac:dyDescent="0.25">
      <c r="A478" s="5"/>
      <c r="B478" s="5"/>
      <c r="C478" s="6"/>
      <c r="L478" s="5"/>
      <c r="R478" s="5"/>
      <c r="S478" s="5"/>
      <c r="T478" s="5"/>
    </row>
    <row r="479" spans="1:20" ht="18.75" customHeight="1" x14ac:dyDescent="0.25">
      <c r="A479" s="5"/>
      <c r="B479" s="5"/>
      <c r="C479" s="6"/>
      <c r="L479" s="5"/>
      <c r="R479" s="5"/>
      <c r="S479" s="5"/>
      <c r="T479" s="5"/>
    </row>
    <row r="480" spans="1:20" ht="18.75" customHeight="1" x14ac:dyDescent="0.25">
      <c r="A480" s="5"/>
      <c r="B480" s="5"/>
      <c r="C480" s="6"/>
      <c r="L480" s="5"/>
      <c r="R480" s="5"/>
      <c r="S480" s="5"/>
      <c r="T480" s="5"/>
    </row>
    <row r="481" spans="1:20" ht="18.75" customHeight="1" x14ac:dyDescent="0.25">
      <c r="A481" s="5"/>
      <c r="B481" s="5"/>
      <c r="C481" s="6"/>
      <c r="L481" s="5"/>
      <c r="R481" s="5"/>
      <c r="S481" s="5"/>
      <c r="T481" s="5"/>
    </row>
    <row r="482" spans="1:20" ht="18.75" customHeight="1" x14ac:dyDescent="0.25">
      <c r="A482" s="5"/>
      <c r="B482" s="5"/>
      <c r="C482" s="6"/>
      <c r="L482" s="5"/>
      <c r="R482" s="5"/>
      <c r="S482" s="5"/>
      <c r="T482" s="5"/>
    </row>
    <row r="483" spans="1:20" ht="18.75" customHeight="1" x14ac:dyDescent="0.25">
      <c r="A483" s="5"/>
      <c r="B483" s="5"/>
      <c r="C483" s="6"/>
      <c r="L483" s="5"/>
      <c r="R483" s="5"/>
      <c r="S483" s="5"/>
      <c r="T483" s="5"/>
    </row>
    <row r="484" spans="1:20" ht="18.75" customHeight="1" x14ac:dyDescent="0.25">
      <c r="A484" s="5"/>
      <c r="B484" s="5"/>
      <c r="C484" s="6"/>
      <c r="L484" s="5"/>
      <c r="R484" s="5"/>
      <c r="S484" s="5"/>
      <c r="T484" s="5"/>
    </row>
    <row r="485" spans="1:20" ht="18.75" customHeight="1" x14ac:dyDescent="0.25">
      <c r="A485" s="5"/>
      <c r="B485" s="5"/>
      <c r="C485" s="6"/>
      <c r="L485" s="5"/>
      <c r="R485" s="5"/>
      <c r="S485" s="5"/>
      <c r="T485" s="5"/>
    </row>
    <row r="486" spans="1:20" ht="18.75" customHeight="1" x14ac:dyDescent="0.25">
      <c r="A486" s="5"/>
      <c r="B486" s="5"/>
      <c r="C486" s="6"/>
      <c r="L486" s="5"/>
      <c r="R486" s="5"/>
      <c r="S486" s="5"/>
      <c r="T486" s="5"/>
    </row>
    <row r="487" spans="1:20" ht="18.75" customHeight="1" x14ac:dyDescent="0.25">
      <c r="A487" s="5"/>
      <c r="B487" s="5"/>
      <c r="C487" s="6"/>
      <c r="L487" s="5"/>
      <c r="R487" s="5"/>
      <c r="S487" s="5"/>
      <c r="T487" s="5"/>
    </row>
    <row r="488" spans="1:20" ht="18.75" customHeight="1" x14ac:dyDescent="0.25">
      <c r="A488" s="5"/>
      <c r="B488" s="5"/>
      <c r="C488" s="6"/>
      <c r="L488" s="5"/>
      <c r="R488" s="5"/>
      <c r="S488" s="5"/>
      <c r="T488" s="5"/>
    </row>
    <row r="489" spans="1:20" ht="18.75" customHeight="1" x14ac:dyDescent="0.25">
      <c r="A489" s="5"/>
      <c r="B489" s="5"/>
      <c r="C489" s="6"/>
      <c r="L489" s="5"/>
      <c r="R489" s="5"/>
      <c r="S489" s="5"/>
      <c r="T489" s="5"/>
    </row>
    <row r="490" spans="1:20" ht="18.75" customHeight="1" x14ac:dyDescent="0.25">
      <c r="A490" s="5"/>
      <c r="B490" s="5"/>
      <c r="C490" s="6"/>
      <c r="L490" s="5"/>
      <c r="R490" s="5"/>
      <c r="S490" s="5"/>
      <c r="T490" s="5"/>
    </row>
    <row r="491" spans="1:20" ht="18.75" customHeight="1" x14ac:dyDescent="0.25">
      <c r="A491" s="5"/>
      <c r="B491" s="5"/>
      <c r="C491" s="6"/>
      <c r="L491" s="5"/>
      <c r="R491" s="5"/>
      <c r="S491" s="5"/>
      <c r="T491" s="5"/>
    </row>
    <row r="492" spans="1:20" ht="18.75" customHeight="1" x14ac:dyDescent="0.25">
      <c r="A492" s="5"/>
      <c r="B492" s="5"/>
      <c r="C492" s="6"/>
      <c r="L492" s="5"/>
      <c r="R492" s="5"/>
      <c r="S492" s="5"/>
      <c r="T492" s="5"/>
    </row>
    <row r="493" spans="1:20" ht="18.75" customHeight="1" x14ac:dyDescent="0.25">
      <c r="A493" s="5"/>
      <c r="B493" s="5"/>
      <c r="C493" s="6"/>
      <c r="L493" s="5"/>
      <c r="R493" s="5"/>
      <c r="S493" s="5"/>
      <c r="T493" s="5"/>
    </row>
    <row r="494" spans="1:20" ht="18.75" customHeight="1" x14ac:dyDescent="0.25">
      <c r="A494" s="5"/>
      <c r="B494" s="5"/>
      <c r="C494" s="6"/>
      <c r="L494" s="5"/>
      <c r="R494" s="5"/>
      <c r="S494" s="5"/>
      <c r="T494" s="5"/>
    </row>
    <row r="495" spans="1:20" ht="18.75" customHeight="1" x14ac:dyDescent="0.25">
      <c r="A495" s="5"/>
      <c r="B495" s="5"/>
      <c r="C495" s="6"/>
      <c r="L495" s="5"/>
      <c r="R495" s="5"/>
      <c r="S495" s="5"/>
      <c r="T495" s="5"/>
    </row>
    <row r="496" spans="1:20" ht="18.75" customHeight="1" x14ac:dyDescent="0.25">
      <c r="A496" s="5"/>
      <c r="B496" s="5"/>
      <c r="C496" s="6"/>
      <c r="L496" s="5"/>
      <c r="R496" s="5"/>
      <c r="S496" s="5"/>
      <c r="T496" s="5"/>
    </row>
    <row r="497" spans="1:20" ht="18.75" customHeight="1" x14ac:dyDescent="0.25">
      <c r="A497" s="5"/>
      <c r="B497" s="5"/>
      <c r="C497" s="6"/>
      <c r="L497" s="5"/>
      <c r="R497" s="5"/>
      <c r="S497" s="5"/>
      <c r="T497" s="5"/>
    </row>
    <row r="498" spans="1:20" ht="18.75" customHeight="1" x14ac:dyDescent="0.25">
      <c r="A498" s="5"/>
      <c r="B498" s="5"/>
      <c r="C498" s="6"/>
      <c r="L498" s="5"/>
      <c r="R498" s="5"/>
      <c r="S498" s="5"/>
      <c r="T498" s="5"/>
    </row>
    <row r="499" spans="1:20" ht="18.75" customHeight="1" x14ac:dyDescent="0.25">
      <c r="A499" s="5"/>
      <c r="B499" s="5"/>
      <c r="C499" s="6"/>
      <c r="L499" s="5"/>
      <c r="R499" s="5"/>
      <c r="S499" s="5"/>
      <c r="T499" s="5"/>
    </row>
    <row r="500" spans="1:20" ht="18.75" customHeight="1" x14ac:dyDescent="0.25">
      <c r="A500" s="5"/>
      <c r="B500" s="5"/>
      <c r="C500" s="6"/>
      <c r="L500" s="5"/>
      <c r="R500" s="5"/>
      <c r="S500" s="5"/>
      <c r="T500" s="5"/>
    </row>
    <row r="501" spans="1:20" ht="18.75" customHeight="1" x14ac:dyDescent="0.25">
      <c r="A501" s="5"/>
      <c r="B501" s="5"/>
      <c r="C501" s="6"/>
      <c r="L501" s="5"/>
      <c r="R501" s="5"/>
      <c r="S501" s="5"/>
      <c r="T501" s="5"/>
    </row>
    <row r="502" spans="1:20" ht="18.75" customHeight="1" x14ac:dyDescent="0.25">
      <c r="A502" s="5"/>
      <c r="B502" s="5"/>
      <c r="C502" s="6"/>
      <c r="L502" s="5"/>
      <c r="R502" s="5"/>
      <c r="S502" s="5"/>
      <c r="T502" s="5"/>
    </row>
    <row r="503" spans="1:20" ht="18.75" customHeight="1" x14ac:dyDescent="0.25">
      <c r="A503" s="5"/>
      <c r="B503" s="5"/>
      <c r="C503" s="6"/>
      <c r="L503" s="5"/>
      <c r="R503" s="5"/>
      <c r="S503" s="5"/>
      <c r="T503" s="5"/>
    </row>
    <row r="504" spans="1:20" ht="18.75" customHeight="1" x14ac:dyDescent="0.25">
      <c r="A504" s="5"/>
      <c r="B504" s="5"/>
      <c r="C504" s="6"/>
      <c r="L504" s="5"/>
      <c r="R504" s="5"/>
      <c r="S504" s="5"/>
      <c r="T504" s="5"/>
    </row>
    <row r="505" spans="1:20" ht="18.75" customHeight="1" x14ac:dyDescent="0.25">
      <c r="A505" s="5"/>
      <c r="B505" s="5"/>
      <c r="C505" s="6"/>
      <c r="L505" s="5"/>
      <c r="R505" s="5"/>
      <c r="S505" s="5"/>
      <c r="T505" s="5"/>
    </row>
    <row r="506" spans="1:20" ht="18.75" customHeight="1" x14ac:dyDescent="0.25">
      <c r="A506" s="5"/>
      <c r="B506" s="5"/>
      <c r="C506" s="6"/>
      <c r="L506" s="5"/>
      <c r="R506" s="5"/>
      <c r="S506" s="5"/>
      <c r="T506" s="5"/>
    </row>
    <row r="507" spans="1:20" ht="18.75" customHeight="1" x14ac:dyDescent="0.25">
      <c r="A507" s="5"/>
      <c r="B507" s="5"/>
      <c r="C507" s="6"/>
      <c r="L507" s="5"/>
      <c r="R507" s="5"/>
      <c r="S507" s="5"/>
      <c r="T507" s="5"/>
    </row>
    <row r="508" spans="1:20" ht="18.75" customHeight="1" x14ac:dyDescent="0.25">
      <c r="A508" s="5"/>
      <c r="B508" s="5"/>
      <c r="C508" s="6"/>
      <c r="L508" s="5"/>
      <c r="R508" s="5"/>
      <c r="S508" s="5"/>
      <c r="T508" s="5"/>
    </row>
    <row r="509" spans="1:20" ht="18.75" customHeight="1" x14ac:dyDescent="0.25">
      <c r="A509" s="5"/>
      <c r="B509" s="5"/>
      <c r="C509" s="6"/>
      <c r="L509" s="5"/>
      <c r="R509" s="5"/>
      <c r="S509" s="5"/>
      <c r="T509" s="5"/>
    </row>
    <row r="510" spans="1:20" ht="18.75" customHeight="1" x14ac:dyDescent="0.25">
      <c r="A510" s="5"/>
      <c r="B510" s="5"/>
      <c r="C510" s="6"/>
      <c r="L510" s="5"/>
      <c r="R510" s="5"/>
      <c r="S510" s="5"/>
      <c r="T510" s="5"/>
    </row>
    <row r="511" spans="1:20" ht="18.75" customHeight="1" x14ac:dyDescent="0.25">
      <c r="A511" s="5"/>
      <c r="B511" s="5"/>
      <c r="C511" s="6"/>
      <c r="L511" s="5"/>
      <c r="R511" s="5"/>
      <c r="S511" s="5"/>
      <c r="T511" s="5"/>
    </row>
    <row r="512" spans="1:20" ht="18.75" customHeight="1" x14ac:dyDescent="0.25">
      <c r="A512" s="5"/>
      <c r="B512" s="5"/>
      <c r="C512" s="6"/>
      <c r="L512" s="5"/>
      <c r="R512" s="5"/>
      <c r="S512" s="5"/>
      <c r="T512" s="5"/>
    </row>
    <row r="513" spans="1:20" ht="18.75" customHeight="1" x14ac:dyDescent="0.25">
      <c r="A513" s="5"/>
      <c r="B513" s="5"/>
      <c r="C513" s="6"/>
      <c r="L513" s="5"/>
      <c r="R513" s="5"/>
      <c r="S513" s="5"/>
      <c r="T513" s="5"/>
    </row>
    <row r="514" spans="1:20" ht="18.75" customHeight="1" x14ac:dyDescent="0.25">
      <c r="A514" s="5"/>
      <c r="B514" s="5"/>
      <c r="C514" s="6"/>
      <c r="L514" s="5"/>
      <c r="R514" s="5"/>
      <c r="S514" s="5"/>
      <c r="T514" s="5"/>
    </row>
    <row r="515" spans="1:20" ht="18.75" customHeight="1" x14ac:dyDescent="0.25">
      <c r="A515" s="5"/>
      <c r="B515" s="5"/>
      <c r="C515" s="6"/>
      <c r="L515" s="5"/>
      <c r="R515" s="5"/>
      <c r="S515" s="5"/>
      <c r="T515" s="5"/>
    </row>
    <row r="516" spans="1:20" ht="18.75" customHeight="1" x14ac:dyDescent="0.25">
      <c r="A516" s="5"/>
      <c r="B516" s="5"/>
      <c r="C516" s="6"/>
      <c r="L516" s="5"/>
      <c r="R516" s="5"/>
      <c r="S516" s="5"/>
      <c r="T516" s="5"/>
    </row>
    <row r="517" spans="1:20" ht="18.75" customHeight="1" x14ac:dyDescent="0.25">
      <c r="A517" s="5"/>
      <c r="B517" s="5"/>
      <c r="C517" s="6"/>
      <c r="L517" s="5"/>
      <c r="R517" s="5"/>
      <c r="S517" s="5"/>
      <c r="T517" s="5"/>
    </row>
    <row r="518" spans="1:20" ht="18.75" customHeight="1" x14ac:dyDescent="0.25">
      <c r="A518" s="5"/>
      <c r="B518" s="5"/>
      <c r="C518" s="6"/>
      <c r="L518" s="5"/>
      <c r="R518" s="5"/>
      <c r="S518" s="5"/>
      <c r="T518" s="5"/>
    </row>
    <row r="519" spans="1:20" ht="18.75" customHeight="1" x14ac:dyDescent="0.25">
      <c r="A519" s="5"/>
      <c r="B519" s="5"/>
      <c r="C519" s="6"/>
      <c r="L519" s="5"/>
      <c r="R519" s="5"/>
      <c r="S519" s="5"/>
      <c r="T519" s="5"/>
    </row>
    <row r="520" spans="1:20" ht="18.75" customHeight="1" x14ac:dyDescent="0.25">
      <c r="A520" s="5"/>
      <c r="B520" s="5"/>
      <c r="C520" s="6"/>
      <c r="L520" s="5"/>
      <c r="R520" s="5"/>
      <c r="S520" s="5"/>
      <c r="T520" s="5"/>
    </row>
    <row r="521" spans="1:20" ht="18.75" customHeight="1" x14ac:dyDescent="0.25">
      <c r="A521" s="5"/>
      <c r="B521" s="5"/>
      <c r="C521" s="6"/>
      <c r="L521" s="5"/>
      <c r="R521" s="5"/>
      <c r="S521" s="5"/>
      <c r="T521" s="5"/>
    </row>
    <row r="522" spans="1:20" ht="18.75" customHeight="1" x14ac:dyDescent="0.25">
      <c r="A522" s="5"/>
      <c r="B522" s="5"/>
      <c r="C522" s="6"/>
      <c r="L522" s="5"/>
      <c r="R522" s="5"/>
      <c r="S522" s="5"/>
      <c r="T522" s="5"/>
    </row>
    <row r="523" spans="1:20" ht="18.75" customHeight="1" x14ac:dyDescent="0.25">
      <c r="A523" s="5"/>
      <c r="B523" s="5"/>
      <c r="C523" s="6"/>
      <c r="L523" s="5"/>
      <c r="R523" s="5"/>
      <c r="S523" s="5"/>
      <c r="T523" s="5"/>
    </row>
    <row r="524" spans="1:20" ht="18.75" customHeight="1" x14ac:dyDescent="0.25">
      <c r="A524" s="5"/>
      <c r="B524" s="5"/>
      <c r="C524" s="6"/>
      <c r="L524" s="5"/>
      <c r="R524" s="5"/>
      <c r="S524" s="5"/>
      <c r="T524" s="5"/>
    </row>
    <row r="525" spans="1:20" ht="18.75" customHeight="1" x14ac:dyDescent="0.25">
      <c r="A525" s="5"/>
      <c r="B525" s="5"/>
      <c r="C525" s="6"/>
      <c r="L525" s="5"/>
      <c r="R525" s="5"/>
      <c r="S525" s="5"/>
      <c r="T525" s="5"/>
    </row>
    <row r="526" spans="1:20" ht="18.75" customHeight="1" x14ac:dyDescent="0.25">
      <c r="A526" s="5"/>
      <c r="B526" s="5"/>
      <c r="C526" s="6"/>
      <c r="L526" s="5"/>
      <c r="R526" s="5"/>
      <c r="S526" s="5"/>
      <c r="T526" s="5"/>
    </row>
    <row r="527" spans="1:20" ht="18.75" customHeight="1" x14ac:dyDescent="0.25">
      <c r="A527" s="5"/>
      <c r="B527" s="5"/>
      <c r="C527" s="6"/>
      <c r="L527" s="5"/>
      <c r="R527" s="5"/>
      <c r="S527" s="5"/>
      <c r="T527" s="5"/>
    </row>
    <row r="528" spans="1:20" ht="18.75" customHeight="1" x14ac:dyDescent="0.25">
      <c r="A528" s="5"/>
      <c r="B528" s="5"/>
      <c r="C528" s="6"/>
      <c r="L528" s="5"/>
      <c r="R528" s="5"/>
      <c r="S528" s="5"/>
      <c r="T528" s="5"/>
    </row>
    <row r="529" spans="1:20" ht="18.75" customHeight="1" x14ac:dyDescent="0.25">
      <c r="A529" s="5"/>
      <c r="B529" s="5"/>
      <c r="C529" s="6"/>
      <c r="L529" s="5"/>
      <c r="R529" s="5"/>
      <c r="S529" s="5"/>
      <c r="T529" s="5"/>
    </row>
    <row r="530" spans="1:20" ht="18.75" customHeight="1" x14ac:dyDescent="0.25">
      <c r="A530" s="5"/>
      <c r="B530" s="5"/>
      <c r="C530" s="6"/>
      <c r="L530" s="5"/>
      <c r="R530" s="5"/>
      <c r="S530" s="5"/>
      <c r="T530" s="5"/>
    </row>
    <row r="531" spans="1:20" ht="18.75" customHeight="1" x14ac:dyDescent="0.25">
      <c r="A531" s="5"/>
      <c r="B531" s="5"/>
      <c r="C531" s="6"/>
      <c r="L531" s="5"/>
      <c r="R531" s="5"/>
      <c r="S531" s="5"/>
      <c r="T531" s="5"/>
    </row>
    <row r="532" spans="1:20" ht="18.75" customHeight="1" x14ac:dyDescent="0.25">
      <c r="A532" s="5"/>
      <c r="B532" s="5"/>
      <c r="C532" s="6"/>
      <c r="L532" s="5"/>
      <c r="R532" s="5"/>
      <c r="S532" s="5"/>
      <c r="T532" s="5"/>
    </row>
    <row r="533" spans="1:20" ht="18.75" customHeight="1" x14ac:dyDescent="0.25">
      <c r="A533" s="5"/>
      <c r="B533" s="5"/>
      <c r="C533" s="6"/>
      <c r="L533" s="5"/>
      <c r="R533" s="5"/>
      <c r="S533" s="5"/>
      <c r="T533" s="5"/>
    </row>
    <row r="534" spans="1:20" ht="18.75" customHeight="1" x14ac:dyDescent="0.25">
      <c r="A534" s="5"/>
      <c r="B534" s="5"/>
      <c r="C534" s="6"/>
      <c r="L534" s="5"/>
      <c r="R534" s="5"/>
      <c r="S534" s="5"/>
      <c r="T534" s="5"/>
    </row>
    <row r="535" spans="1:20" ht="18.75" customHeight="1" x14ac:dyDescent="0.25">
      <c r="A535" s="5"/>
      <c r="B535" s="5"/>
      <c r="C535" s="6"/>
      <c r="L535" s="5"/>
      <c r="R535" s="5"/>
      <c r="S535" s="5"/>
      <c r="T535" s="5"/>
    </row>
    <row r="536" spans="1:20" ht="18.75" customHeight="1" x14ac:dyDescent="0.25">
      <c r="A536" s="5"/>
      <c r="B536" s="5"/>
      <c r="C536" s="6"/>
      <c r="L536" s="5"/>
      <c r="R536" s="5"/>
      <c r="S536" s="5"/>
      <c r="T536" s="5"/>
    </row>
    <row r="537" spans="1:20" ht="18.75" customHeight="1" x14ac:dyDescent="0.25">
      <c r="A537" s="5"/>
      <c r="B537" s="5"/>
      <c r="C537" s="6"/>
      <c r="L537" s="5"/>
      <c r="R537" s="5"/>
      <c r="S537" s="5"/>
      <c r="T537" s="5"/>
    </row>
    <row r="538" spans="1:20" ht="18.75" customHeight="1" x14ac:dyDescent="0.25">
      <c r="A538" s="5"/>
      <c r="B538" s="5"/>
      <c r="C538" s="6"/>
      <c r="L538" s="5"/>
      <c r="R538" s="5"/>
      <c r="S538" s="5"/>
      <c r="T538" s="5"/>
    </row>
    <row r="539" spans="1:20" ht="18.75" customHeight="1" x14ac:dyDescent="0.25">
      <c r="A539" s="5"/>
      <c r="B539" s="5"/>
      <c r="C539" s="6"/>
      <c r="L539" s="5"/>
      <c r="R539" s="5"/>
      <c r="S539" s="5"/>
      <c r="T539" s="5"/>
    </row>
    <row r="540" spans="1:20" ht="18.75" customHeight="1" x14ac:dyDescent="0.25">
      <c r="A540" s="5"/>
      <c r="B540" s="5"/>
      <c r="C540" s="6"/>
      <c r="L540" s="5"/>
      <c r="R540" s="5"/>
      <c r="S540" s="5"/>
      <c r="T540" s="5"/>
    </row>
    <row r="541" spans="1:20" ht="18.75" customHeight="1" x14ac:dyDescent="0.25">
      <c r="A541" s="5"/>
      <c r="B541" s="5"/>
      <c r="C541" s="6"/>
      <c r="L541" s="5"/>
      <c r="R541" s="5"/>
      <c r="S541" s="5"/>
      <c r="T541" s="5"/>
    </row>
    <row r="542" spans="1:20" ht="18.75" customHeight="1" x14ac:dyDescent="0.25">
      <c r="A542" s="5"/>
      <c r="B542" s="5"/>
      <c r="C542" s="6"/>
      <c r="L542" s="5"/>
      <c r="R542" s="5"/>
      <c r="S542" s="5"/>
      <c r="T542" s="5"/>
    </row>
    <row r="543" spans="1:20" ht="18.75" customHeight="1" x14ac:dyDescent="0.25">
      <c r="A543" s="5"/>
      <c r="B543" s="5"/>
      <c r="C543" s="6"/>
      <c r="L543" s="5"/>
      <c r="R543" s="5"/>
      <c r="S543" s="5"/>
      <c r="T543" s="5"/>
    </row>
    <row r="544" spans="1:20" ht="18.75" customHeight="1" x14ac:dyDescent="0.25">
      <c r="A544" s="5"/>
      <c r="B544" s="5"/>
      <c r="C544" s="6"/>
      <c r="L544" s="5"/>
      <c r="R544" s="5"/>
      <c r="S544" s="5"/>
      <c r="T544" s="5"/>
    </row>
    <row r="545" spans="1:20" ht="18.75" customHeight="1" x14ac:dyDescent="0.25">
      <c r="A545" s="5"/>
      <c r="B545" s="5"/>
      <c r="C545" s="6"/>
      <c r="L545" s="5"/>
      <c r="R545" s="5"/>
      <c r="S545" s="5"/>
      <c r="T545" s="5"/>
    </row>
    <row r="546" spans="1:20" ht="18.75" customHeight="1" x14ac:dyDescent="0.25">
      <c r="A546" s="5"/>
      <c r="B546" s="5"/>
      <c r="C546" s="6"/>
      <c r="L546" s="5"/>
      <c r="R546" s="5"/>
      <c r="S546" s="5"/>
      <c r="T546" s="5"/>
    </row>
    <row r="547" spans="1:20" ht="18.75" customHeight="1" x14ac:dyDescent="0.25">
      <c r="A547" s="5"/>
      <c r="B547" s="5"/>
      <c r="C547" s="6"/>
      <c r="L547" s="5"/>
      <c r="R547" s="5"/>
      <c r="S547" s="5"/>
      <c r="T547" s="5"/>
    </row>
    <row r="548" spans="1:20" ht="18.75" customHeight="1" x14ac:dyDescent="0.25">
      <c r="A548" s="5"/>
      <c r="B548" s="5"/>
      <c r="C548" s="6"/>
      <c r="L548" s="5"/>
      <c r="R548" s="5"/>
      <c r="S548" s="5"/>
      <c r="T548" s="5"/>
    </row>
    <row r="549" spans="1:20" ht="18.75" customHeight="1" x14ac:dyDescent="0.25">
      <c r="A549" s="5"/>
      <c r="B549" s="5"/>
      <c r="C549" s="6"/>
      <c r="L549" s="5"/>
      <c r="R549" s="5"/>
      <c r="S549" s="5"/>
      <c r="T549" s="5"/>
    </row>
    <row r="550" spans="1:20" ht="18.75" customHeight="1" x14ac:dyDescent="0.25">
      <c r="A550" s="5"/>
      <c r="B550" s="5"/>
      <c r="C550" s="6"/>
      <c r="L550" s="5"/>
      <c r="R550" s="5"/>
      <c r="S550" s="5"/>
      <c r="T550" s="5"/>
    </row>
    <row r="551" spans="1:20" ht="18.75" customHeight="1" x14ac:dyDescent="0.25">
      <c r="A551" s="5"/>
      <c r="B551" s="5"/>
      <c r="C551" s="6"/>
      <c r="L551" s="5"/>
      <c r="R551" s="5"/>
      <c r="S551" s="5"/>
      <c r="T551" s="5"/>
    </row>
    <row r="552" spans="1:20" ht="18.75" customHeight="1" x14ac:dyDescent="0.25">
      <c r="A552" s="5"/>
      <c r="B552" s="5"/>
      <c r="C552" s="6"/>
      <c r="L552" s="5"/>
      <c r="R552" s="5"/>
      <c r="S552" s="5"/>
      <c r="T552" s="5"/>
    </row>
    <row r="553" spans="1:20" ht="18.75" customHeight="1" x14ac:dyDescent="0.25">
      <c r="A553" s="5"/>
      <c r="B553" s="5"/>
      <c r="C553" s="6"/>
      <c r="L553" s="5"/>
      <c r="R553" s="5"/>
      <c r="S553" s="5"/>
      <c r="T553" s="5"/>
    </row>
    <row r="554" spans="1:20" ht="18.75" customHeight="1" x14ac:dyDescent="0.25">
      <c r="A554" s="5"/>
      <c r="B554" s="5"/>
      <c r="C554" s="6"/>
      <c r="L554" s="5"/>
      <c r="R554" s="5"/>
      <c r="S554" s="5"/>
      <c r="T554" s="5"/>
    </row>
    <row r="555" spans="1:20" ht="18.75" customHeight="1" x14ac:dyDescent="0.25">
      <c r="A555" s="5"/>
      <c r="B555" s="5"/>
      <c r="C555" s="6"/>
      <c r="L555" s="5"/>
      <c r="R555" s="5"/>
      <c r="S555" s="5"/>
      <c r="T555" s="5"/>
    </row>
    <row r="556" spans="1:20" ht="18.75" customHeight="1" x14ac:dyDescent="0.25">
      <c r="A556" s="5"/>
      <c r="B556" s="5"/>
      <c r="C556" s="6"/>
      <c r="L556" s="5"/>
      <c r="R556" s="5"/>
      <c r="S556" s="5"/>
      <c r="T556" s="5"/>
    </row>
    <row r="557" spans="1:20" ht="18.75" customHeight="1" x14ac:dyDescent="0.25">
      <c r="A557" s="5"/>
      <c r="B557" s="5"/>
      <c r="C557" s="6"/>
      <c r="L557" s="5"/>
      <c r="R557" s="5"/>
      <c r="S557" s="5"/>
      <c r="T557" s="5"/>
    </row>
    <row r="558" spans="1:20" ht="18.75" customHeight="1" x14ac:dyDescent="0.25">
      <c r="A558" s="5"/>
      <c r="B558" s="5"/>
      <c r="C558" s="6"/>
      <c r="L558" s="5"/>
      <c r="R558" s="5"/>
      <c r="S558" s="5"/>
      <c r="T558" s="5"/>
    </row>
    <row r="559" spans="1:20" ht="18.75" customHeight="1" x14ac:dyDescent="0.25">
      <c r="A559" s="5"/>
      <c r="B559" s="5"/>
      <c r="C559" s="6"/>
      <c r="L559" s="5"/>
      <c r="R559" s="5"/>
      <c r="S559" s="5"/>
      <c r="T559" s="5"/>
    </row>
    <row r="560" spans="1:20" ht="18.75" customHeight="1" x14ac:dyDescent="0.25">
      <c r="A560" s="5"/>
      <c r="B560" s="5"/>
      <c r="C560" s="6"/>
      <c r="L560" s="5"/>
      <c r="R560" s="5"/>
      <c r="S560" s="5"/>
      <c r="T560" s="5"/>
    </row>
    <row r="561" spans="1:20" ht="18.75" customHeight="1" x14ac:dyDescent="0.25">
      <c r="A561" s="5"/>
      <c r="B561" s="5"/>
      <c r="C561" s="6"/>
      <c r="L561" s="5"/>
      <c r="R561" s="5"/>
      <c r="S561" s="5"/>
      <c r="T561" s="5"/>
    </row>
    <row r="562" spans="1:20" ht="18.75" customHeight="1" x14ac:dyDescent="0.25">
      <c r="A562" s="5"/>
      <c r="B562" s="5"/>
      <c r="C562" s="6"/>
      <c r="L562" s="5"/>
      <c r="R562" s="5"/>
      <c r="S562" s="5"/>
      <c r="T562" s="5"/>
    </row>
    <row r="563" spans="1:20" ht="18.75" customHeight="1" x14ac:dyDescent="0.25">
      <c r="A563" s="5"/>
      <c r="B563" s="5"/>
      <c r="C563" s="6"/>
      <c r="L563" s="5"/>
      <c r="R563" s="5"/>
      <c r="S563" s="5"/>
      <c r="T563" s="5"/>
    </row>
    <row r="564" spans="1:20" ht="18.75" customHeight="1" x14ac:dyDescent="0.25">
      <c r="A564" s="5"/>
      <c r="B564" s="5"/>
      <c r="C564" s="6"/>
      <c r="L564" s="5"/>
      <c r="R564" s="5"/>
      <c r="S564" s="5"/>
      <c r="T564" s="5"/>
    </row>
    <row r="565" spans="1:20" ht="18.75" customHeight="1" x14ac:dyDescent="0.25">
      <c r="A565" s="5"/>
      <c r="B565" s="5"/>
      <c r="C565" s="6"/>
      <c r="L565" s="5"/>
      <c r="R565" s="5"/>
      <c r="S565" s="5"/>
      <c r="T565" s="5"/>
    </row>
    <row r="566" spans="1:20" ht="18.75" customHeight="1" x14ac:dyDescent="0.25">
      <c r="A566" s="5"/>
      <c r="B566" s="5"/>
      <c r="C566" s="6"/>
      <c r="L566" s="5"/>
      <c r="R566" s="5"/>
      <c r="S566" s="5"/>
      <c r="T566" s="5"/>
    </row>
    <row r="567" spans="1:20" ht="18.75" customHeight="1" x14ac:dyDescent="0.25">
      <c r="A567" s="5"/>
      <c r="B567" s="5"/>
      <c r="C567" s="6"/>
      <c r="L567" s="5"/>
      <c r="R567" s="5"/>
      <c r="S567" s="5"/>
      <c r="T567" s="5"/>
    </row>
    <row r="568" spans="1:20" ht="18.75" customHeight="1" x14ac:dyDescent="0.25">
      <c r="A568" s="5"/>
      <c r="B568" s="5"/>
      <c r="C568" s="6"/>
      <c r="L568" s="5"/>
      <c r="R568" s="5"/>
      <c r="S568" s="5"/>
      <c r="T568" s="5"/>
    </row>
    <row r="569" spans="1:20" ht="18.75" customHeight="1" x14ac:dyDescent="0.25">
      <c r="A569" s="5"/>
      <c r="B569" s="5"/>
      <c r="C569" s="6"/>
      <c r="L569" s="5"/>
      <c r="R569" s="5"/>
      <c r="S569" s="5"/>
      <c r="T569" s="5"/>
    </row>
    <row r="570" spans="1:20" ht="18.75" customHeight="1" x14ac:dyDescent="0.25">
      <c r="A570" s="5"/>
      <c r="B570" s="5"/>
      <c r="C570" s="6"/>
      <c r="L570" s="5"/>
      <c r="R570" s="5"/>
      <c r="S570" s="5"/>
      <c r="T570" s="5"/>
    </row>
    <row r="571" spans="1:20" ht="18.75" customHeight="1" x14ac:dyDescent="0.25">
      <c r="A571" s="5"/>
      <c r="B571" s="5"/>
      <c r="C571" s="6"/>
      <c r="L571" s="5"/>
      <c r="R571" s="5"/>
      <c r="S571" s="5"/>
      <c r="T571" s="5"/>
    </row>
    <row r="572" spans="1:20" ht="18.75" customHeight="1" x14ac:dyDescent="0.25">
      <c r="A572" s="5"/>
      <c r="B572" s="5"/>
      <c r="C572" s="6"/>
      <c r="L572" s="5"/>
      <c r="R572" s="5"/>
      <c r="S572" s="5"/>
      <c r="T572" s="5"/>
    </row>
    <row r="573" spans="1:20" ht="18.75" customHeight="1" x14ac:dyDescent="0.25">
      <c r="A573" s="5"/>
      <c r="B573" s="5"/>
      <c r="C573" s="6"/>
      <c r="L573" s="5"/>
      <c r="R573" s="5"/>
      <c r="S573" s="5"/>
      <c r="T573" s="5"/>
    </row>
    <row r="574" spans="1:20" ht="18.75" customHeight="1" x14ac:dyDescent="0.25">
      <c r="A574" s="5"/>
      <c r="B574" s="5"/>
      <c r="C574" s="6"/>
      <c r="L574" s="5"/>
      <c r="R574" s="5"/>
      <c r="S574" s="5"/>
      <c r="T574" s="5"/>
    </row>
    <row r="575" spans="1:20" ht="18.75" customHeight="1" x14ac:dyDescent="0.25">
      <c r="A575" s="5"/>
      <c r="B575" s="5"/>
      <c r="C575" s="6"/>
      <c r="L575" s="5"/>
      <c r="R575" s="5"/>
      <c r="S575" s="5"/>
      <c r="T575" s="5"/>
    </row>
    <row r="576" spans="1:20" ht="18.75" customHeight="1" x14ac:dyDescent="0.25">
      <c r="A576" s="5"/>
      <c r="B576" s="5"/>
      <c r="C576" s="6"/>
      <c r="L576" s="5"/>
      <c r="R576" s="5"/>
      <c r="S576" s="5"/>
      <c r="T576" s="5"/>
    </row>
    <row r="577" spans="1:20" ht="18.75" customHeight="1" x14ac:dyDescent="0.25">
      <c r="A577" s="5"/>
      <c r="B577" s="5"/>
      <c r="C577" s="6"/>
      <c r="L577" s="5"/>
      <c r="R577" s="5"/>
      <c r="S577" s="5"/>
      <c r="T577" s="5"/>
    </row>
    <row r="578" spans="1:20" ht="18.75" customHeight="1" x14ac:dyDescent="0.25">
      <c r="A578" s="5"/>
      <c r="B578" s="5"/>
      <c r="C578" s="6"/>
      <c r="L578" s="5"/>
      <c r="R578" s="5"/>
      <c r="S578" s="5"/>
      <c r="T578" s="5"/>
    </row>
    <row r="579" spans="1:20" ht="18.75" customHeight="1" x14ac:dyDescent="0.25">
      <c r="A579" s="5"/>
      <c r="B579" s="5"/>
      <c r="C579" s="6"/>
      <c r="L579" s="5"/>
      <c r="R579" s="5"/>
      <c r="S579" s="5"/>
      <c r="T579" s="5"/>
    </row>
    <row r="580" spans="1:20" ht="18.75" customHeight="1" x14ac:dyDescent="0.25">
      <c r="A580" s="5"/>
      <c r="B580" s="5"/>
      <c r="C580" s="6"/>
      <c r="L580" s="5"/>
      <c r="R580" s="5"/>
      <c r="S580" s="5"/>
      <c r="T580" s="5"/>
    </row>
    <row r="581" spans="1:20" ht="18.75" customHeight="1" x14ac:dyDescent="0.25">
      <c r="A581" s="5"/>
      <c r="B581" s="5"/>
      <c r="C581" s="6"/>
      <c r="L581" s="5"/>
      <c r="R581" s="5"/>
      <c r="S581" s="5"/>
      <c r="T581" s="5"/>
    </row>
    <row r="582" spans="1:20" ht="18.75" customHeight="1" x14ac:dyDescent="0.25">
      <c r="A582" s="5"/>
      <c r="B582" s="5"/>
      <c r="C582" s="6"/>
      <c r="L582" s="5"/>
      <c r="R582" s="5"/>
      <c r="S582" s="5"/>
      <c r="T582" s="5"/>
    </row>
    <row r="583" spans="1:20" ht="18.75" customHeight="1" x14ac:dyDescent="0.25">
      <c r="A583" s="5"/>
      <c r="B583" s="5"/>
      <c r="C583" s="6"/>
      <c r="L583" s="5"/>
      <c r="R583" s="5"/>
      <c r="S583" s="5"/>
      <c r="T583" s="5"/>
    </row>
    <row r="584" spans="1:20" ht="18.75" customHeight="1" x14ac:dyDescent="0.25">
      <c r="A584" s="5"/>
      <c r="B584" s="5"/>
      <c r="C584" s="6"/>
      <c r="L584" s="5"/>
      <c r="R584" s="5"/>
      <c r="S584" s="5"/>
      <c r="T584" s="5"/>
    </row>
    <row r="585" spans="1:20" ht="18.75" customHeight="1" x14ac:dyDescent="0.25">
      <c r="A585" s="5"/>
      <c r="B585" s="5"/>
      <c r="C585" s="6"/>
      <c r="L585" s="5"/>
      <c r="R585" s="5"/>
      <c r="S585" s="5"/>
      <c r="T585" s="5"/>
    </row>
    <row r="586" spans="1:20" ht="18.75" customHeight="1" x14ac:dyDescent="0.25">
      <c r="A586" s="5"/>
      <c r="B586" s="5"/>
      <c r="C586" s="6"/>
      <c r="L586" s="5"/>
      <c r="R586" s="5"/>
      <c r="S586" s="5"/>
      <c r="T586" s="5"/>
    </row>
    <row r="587" spans="1:20" ht="18.75" customHeight="1" x14ac:dyDescent="0.25">
      <c r="A587" s="5"/>
      <c r="B587" s="5"/>
      <c r="C587" s="6"/>
      <c r="L587" s="5"/>
      <c r="R587" s="5"/>
      <c r="S587" s="5"/>
      <c r="T587" s="5"/>
    </row>
    <row r="588" spans="1:20" ht="18.75" customHeight="1" x14ac:dyDescent="0.25">
      <c r="A588" s="5"/>
      <c r="B588" s="5"/>
      <c r="C588" s="6"/>
      <c r="L588" s="5"/>
      <c r="R588" s="5"/>
      <c r="S588" s="5"/>
      <c r="T588" s="5"/>
    </row>
    <row r="589" spans="1:20" ht="18.75" customHeight="1" x14ac:dyDescent="0.25">
      <c r="A589" s="5"/>
      <c r="B589" s="5"/>
      <c r="C589" s="6"/>
      <c r="L589" s="5"/>
      <c r="R589" s="5"/>
      <c r="S589" s="5"/>
      <c r="T589" s="5"/>
    </row>
    <row r="590" spans="1:20" ht="18.75" customHeight="1" x14ac:dyDescent="0.25">
      <c r="A590" s="5"/>
      <c r="B590" s="5"/>
      <c r="C590" s="6"/>
      <c r="L590" s="5"/>
      <c r="R590" s="5"/>
      <c r="S590" s="5"/>
      <c r="T590" s="5"/>
    </row>
    <row r="591" spans="1:20" ht="18.75" customHeight="1" x14ac:dyDescent="0.25">
      <c r="A591" s="5"/>
      <c r="B591" s="5"/>
      <c r="C591" s="6"/>
      <c r="L591" s="5"/>
      <c r="R591" s="5"/>
      <c r="S591" s="5"/>
      <c r="T591" s="5"/>
    </row>
    <row r="592" spans="1:20" ht="18.75" customHeight="1" x14ac:dyDescent="0.25">
      <c r="A592" s="5"/>
      <c r="B592" s="5"/>
      <c r="C592" s="6"/>
      <c r="L592" s="5"/>
      <c r="R592" s="5"/>
      <c r="S592" s="5"/>
      <c r="T592" s="5"/>
    </row>
    <row r="593" spans="1:20" ht="18.75" customHeight="1" x14ac:dyDescent="0.25">
      <c r="A593" s="5"/>
      <c r="B593" s="5"/>
      <c r="C593" s="6"/>
      <c r="L593" s="5"/>
      <c r="R593" s="5"/>
      <c r="S593" s="5"/>
      <c r="T593" s="5"/>
    </row>
    <row r="594" spans="1:20" ht="18.75" customHeight="1" x14ac:dyDescent="0.25">
      <c r="A594" s="5"/>
      <c r="B594" s="5"/>
      <c r="C594" s="6"/>
      <c r="L594" s="5"/>
      <c r="R594" s="5"/>
      <c r="S594" s="5"/>
      <c r="T594" s="5"/>
    </row>
    <row r="595" spans="1:20" ht="18.75" customHeight="1" x14ac:dyDescent="0.25">
      <c r="A595" s="5"/>
      <c r="B595" s="5"/>
      <c r="C595" s="6"/>
      <c r="L595" s="5"/>
      <c r="R595" s="5"/>
      <c r="S595" s="5"/>
      <c r="T595" s="5"/>
    </row>
    <row r="596" spans="1:20" ht="18.75" customHeight="1" x14ac:dyDescent="0.25">
      <c r="A596" s="5"/>
      <c r="B596" s="5"/>
      <c r="C596" s="6"/>
      <c r="L596" s="5"/>
      <c r="R596" s="5"/>
      <c r="S596" s="5"/>
      <c r="T596" s="5"/>
    </row>
    <row r="597" spans="1:20" ht="18.75" customHeight="1" x14ac:dyDescent="0.25">
      <c r="A597" s="5"/>
      <c r="B597" s="5"/>
      <c r="C597" s="6"/>
      <c r="L597" s="5"/>
      <c r="R597" s="5"/>
      <c r="S597" s="5"/>
      <c r="T597" s="5"/>
    </row>
    <row r="598" spans="1:20" ht="18.75" customHeight="1" x14ac:dyDescent="0.25">
      <c r="A598" s="5"/>
      <c r="B598" s="5"/>
      <c r="C598" s="6"/>
      <c r="L598" s="5"/>
      <c r="R598" s="5"/>
      <c r="S598" s="5"/>
      <c r="T598" s="5"/>
    </row>
    <row r="599" spans="1:20" ht="18.75" customHeight="1" x14ac:dyDescent="0.25">
      <c r="A599" s="5"/>
      <c r="B599" s="5"/>
      <c r="C599" s="6"/>
      <c r="L599" s="5"/>
      <c r="R599" s="5"/>
      <c r="S599" s="5"/>
      <c r="T599" s="5"/>
    </row>
    <row r="600" spans="1:20" ht="18.75" customHeight="1" x14ac:dyDescent="0.25">
      <c r="A600" s="5"/>
      <c r="B600" s="5"/>
      <c r="C600" s="6"/>
      <c r="L600" s="5"/>
      <c r="R600" s="5"/>
      <c r="S600" s="5"/>
      <c r="T600" s="5"/>
    </row>
    <row r="601" spans="1:20" ht="18.75" customHeight="1" x14ac:dyDescent="0.25">
      <c r="A601" s="5"/>
      <c r="B601" s="5"/>
      <c r="C601" s="6"/>
      <c r="L601" s="5"/>
      <c r="R601" s="5"/>
      <c r="S601" s="5"/>
      <c r="T601" s="5"/>
    </row>
    <row r="602" spans="1:20" ht="18.75" customHeight="1" x14ac:dyDescent="0.25">
      <c r="A602" s="5"/>
      <c r="B602" s="5"/>
      <c r="C602" s="6"/>
      <c r="L602" s="5"/>
      <c r="R602" s="5"/>
      <c r="S602" s="5"/>
      <c r="T602" s="5"/>
    </row>
    <row r="603" spans="1:20" ht="18.75" customHeight="1" x14ac:dyDescent="0.25">
      <c r="A603" s="5"/>
      <c r="B603" s="5"/>
      <c r="C603" s="6"/>
      <c r="L603" s="5"/>
      <c r="R603" s="5"/>
      <c r="S603" s="5"/>
      <c r="T603" s="5"/>
    </row>
    <row r="604" spans="1:20" ht="18.75" customHeight="1" x14ac:dyDescent="0.25">
      <c r="A604" s="5"/>
      <c r="B604" s="5"/>
      <c r="C604" s="6"/>
      <c r="L604" s="5"/>
      <c r="R604" s="5"/>
      <c r="S604" s="5"/>
      <c r="T604" s="5"/>
    </row>
    <row r="605" spans="1:20" ht="18.75" customHeight="1" x14ac:dyDescent="0.25">
      <c r="A605" s="5"/>
      <c r="B605" s="5"/>
      <c r="C605" s="6"/>
      <c r="L605" s="5"/>
      <c r="R605" s="5"/>
      <c r="S605" s="5"/>
      <c r="T605" s="5"/>
    </row>
    <row r="606" spans="1:20" ht="18.75" customHeight="1" x14ac:dyDescent="0.25">
      <c r="A606" s="5"/>
      <c r="B606" s="5"/>
      <c r="C606" s="6"/>
      <c r="L606" s="5"/>
      <c r="R606" s="5"/>
      <c r="S606" s="5"/>
      <c r="T606" s="5"/>
    </row>
    <row r="607" spans="1:20" ht="18.75" customHeight="1" x14ac:dyDescent="0.25">
      <c r="A607" s="5"/>
      <c r="B607" s="5"/>
      <c r="C607" s="6"/>
      <c r="L607" s="5"/>
      <c r="R607" s="5"/>
      <c r="S607" s="5"/>
      <c r="T607" s="5"/>
    </row>
    <row r="608" spans="1:20" ht="18.75" customHeight="1" x14ac:dyDescent="0.25">
      <c r="A608" s="5"/>
      <c r="B608" s="5"/>
      <c r="C608" s="6"/>
      <c r="L608" s="5"/>
      <c r="R608" s="5"/>
      <c r="S608" s="5"/>
      <c r="T608" s="5"/>
    </row>
    <row r="609" spans="1:20" ht="18.75" customHeight="1" x14ac:dyDescent="0.25">
      <c r="A609" s="5"/>
      <c r="B609" s="5"/>
      <c r="C609" s="6"/>
      <c r="L609" s="5"/>
      <c r="R609" s="5"/>
      <c r="S609" s="5"/>
      <c r="T609" s="5"/>
    </row>
    <row r="610" spans="1:20" ht="18.75" customHeight="1" x14ac:dyDescent="0.25">
      <c r="A610" s="5"/>
      <c r="B610" s="5"/>
      <c r="C610" s="6"/>
      <c r="L610" s="5"/>
      <c r="R610" s="5"/>
      <c r="S610" s="5"/>
      <c r="T610" s="5"/>
    </row>
    <row r="611" spans="1:20" ht="18.75" customHeight="1" x14ac:dyDescent="0.25">
      <c r="A611" s="5"/>
      <c r="B611" s="5"/>
      <c r="C611" s="6"/>
      <c r="L611" s="5"/>
      <c r="R611" s="5"/>
      <c r="S611" s="5"/>
      <c r="T611" s="5"/>
    </row>
    <row r="612" spans="1:20" ht="18.75" customHeight="1" x14ac:dyDescent="0.25">
      <c r="A612" s="5"/>
      <c r="B612" s="5"/>
      <c r="C612" s="6"/>
      <c r="L612" s="5"/>
      <c r="R612" s="5"/>
      <c r="S612" s="5"/>
      <c r="T612" s="5"/>
    </row>
    <row r="613" spans="1:20" ht="18.75" customHeight="1" x14ac:dyDescent="0.25">
      <c r="A613" s="5"/>
      <c r="B613" s="5"/>
      <c r="C613" s="6"/>
      <c r="L613" s="5"/>
      <c r="R613" s="5"/>
      <c r="S613" s="5"/>
      <c r="T613" s="5"/>
    </row>
    <row r="614" spans="1:20" ht="18.75" customHeight="1" x14ac:dyDescent="0.25">
      <c r="A614" s="5"/>
      <c r="B614" s="5"/>
      <c r="C614" s="6"/>
      <c r="L614" s="5"/>
      <c r="R614" s="5"/>
      <c r="S614" s="5"/>
      <c r="T614" s="5"/>
    </row>
    <row r="615" spans="1:20" ht="18.75" customHeight="1" x14ac:dyDescent="0.25">
      <c r="A615" s="5"/>
      <c r="B615" s="5"/>
      <c r="C615" s="6"/>
      <c r="L615" s="5"/>
      <c r="R615" s="5"/>
      <c r="S615" s="5"/>
      <c r="T615" s="5"/>
    </row>
    <row r="616" spans="1:20" ht="18.75" customHeight="1" x14ac:dyDescent="0.25">
      <c r="A616" s="5"/>
      <c r="B616" s="5"/>
      <c r="C616" s="6"/>
      <c r="L616" s="5"/>
      <c r="R616" s="5"/>
      <c r="S616" s="5"/>
      <c r="T616" s="5"/>
    </row>
    <row r="617" spans="1:20" ht="18.75" customHeight="1" x14ac:dyDescent="0.25">
      <c r="A617" s="5"/>
      <c r="B617" s="5"/>
      <c r="C617" s="6"/>
      <c r="L617" s="5"/>
      <c r="R617" s="5"/>
      <c r="S617" s="5"/>
      <c r="T617" s="5"/>
    </row>
    <row r="618" spans="1:20" ht="18.75" customHeight="1" x14ac:dyDescent="0.25">
      <c r="A618" s="5"/>
      <c r="B618" s="5"/>
      <c r="C618" s="6"/>
      <c r="L618" s="5"/>
      <c r="R618" s="5"/>
      <c r="S618" s="5"/>
      <c r="T618" s="5"/>
    </row>
    <row r="619" spans="1:20" ht="18.75" customHeight="1" x14ac:dyDescent="0.25">
      <c r="A619" s="5"/>
      <c r="B619" s="5"/>
      <c r="C619" s="6"/>
      <c r="L619" s="5"/>
      <c r="R619" s="5"/>
      <c r="S619" s="5"/>
      <c r="T619" s="5"/>
    </row>
    <row r="620" spans="1:20" ht="18.75" customHeight="1" x14ac:dyDescent="0.25">
      <c r="A620" s="5"/>
      <c r="B620" s="5"/>
      <c r="C620" s="6"/>
      <c r="L620" s="5"/>
      <c r="R620" s="5"/>
      <c r="S620" s="5"/>
      <c r="T620" s="5"/>
    </row>
    <row r="621" spans="1:20" ht="18.75" customHeight="1" x14ac:dyDescent="0.25">
      <c r="A621" s="5"/>
      <c r="B621" s="5"/>
      <c r="C621" s="6"/>
      <c r="L621" s="5"/>
      <c r="R621" s="5"/>
      <c r="S621" s="5"/>
      <c r="T621" s="5"/>
    </row>
    <row r="622" spans="1:20" ht="18.75" customHeight="1" x14ac:dyDescent="0.25">
      <c r="A622" s="5"/>
      <c r="B622" s="5"/>
      <c r="C622" s="6"/>
      <c r="L622" s="5"/>
      <c r="R622" s="5"/>
      <c r="S622" s="5"/>
      <c r="T622" s="5"/>
    </row>
    <row r="623" spans="1:20" ht="18.75" customHeight="1" x14ac:dyDescent="0.25">
      <c r="A623" s="5"/>
      <c r="B623" s="5"/>
      <c r="C623" s="6"/>
      <c r="L623" s="5"/>
      <c r="R623" s="5"/>
      <c r="S623" s="5"/>
      <c r="T623" s="5"/>
    </row>
    <row r="624" spans="1:20" ht="18.75" customHeight="1" x14ac:dyDescent="0.25">
      <c r="A624" s="5"/>
      <c r="B624" s="5"/>
      <c r="C624" s="6"/>
      <c r="L624" s="5"/>
      <c r="R624" s="5"/>
      <c r="S624" s="5"/>
      <c r="T624" s="5"/>
    </row>
    <row r="625" spans="1:20" ht="18.75" customHeight="1" x14ac:dyDescent="0.25">
      <c r="A625" s="5"/>
      <c r="B625" s="5"/>
      <c r="C625" s="6"/>
      <c r="L625" s="5"/>
      <c r="R625" s="5"/>
      <c r="S625" s="5"/>
      <c r="T625" s="5"/>
    </row>
    <row r="626" spans="1:20" ht="18.75" customHeight="1" x14ac:dyDescent="0.25">
      <c r="A626" s="5"/>
      <c r="B626" s="5"/>
      <c r="C626" s="6"/>
      <c r="L626" s="5"/>
      <c r="R626" s="5"/>
      <c r="S626" s="5"/>
      <c r="T626" s="5"/>
    </row>
    <row r="627" spans="1:20" ht="18.75" customHeight="1" x14ac:dyDescent="0.25">
      <c r="A627" s="5"/>
      <c r="B627" s="5"/>
      <c r="C627" s="6"/>
      <c r="L627" s="5"/>
      <c r="R627" s="5"/>
      <c r="S627" s="5"/>
      <c r="T627" s="5"/>
    </row>
    <row r="628" spans="1:20" ht="18.75" customHeight="1" x14ac:dyDescent="0.25">
      <c r="A628" s="5"/>
      <c r="B628" s="5"/>
      <c r="C628" s="6"/>
      <c r="L628" s="5"/>
      <c r="R628" s="5"/>
      <c r="S628" s="5"/>
      <c r="T628" s="5"/>
    </row>
    <row r="629" spans="1:20" ht="18.75" customHeight="1" x14ac:dyDescent="0.25">
      <c r="A629" s="5"/>
      <c r="B629" s="5"/>
      <c r="C629" s="6"/>
      <c r="L629" s="5"/>
      <c r="R629" s="5"/>
      <c r="S629" s="5"/>
      <c r="T629" s="5"/>
    </row>
    <row r="630" spans="1:20" ht="18.75" customHeight="1" x14ac:dyDescent="0.25">
      <c r="A630" s="5"/>
      <c r="B630" s="5"/>
      <c r="C630" s="6"/>
      <c r="L630" s="5"/>
      <c r="R630" s="5"/>
      <c r="S630" s="5"/>
      <c r="T630" s="5"/>
    </row>
    <row r="631" spans="1:20" ht="18.75" customHeight="1" x14ac:dyDescent="0.25">
      <c r="A631" s="5"/>
      <c r="B631" s="5"/>
      <c r="C631" s="6"/>
      <c r="L631" s="5"/>
      <c r="R631" s="5"/>
      <c r="S631" s="5"/>
      <c r="T631" s="5"/>
    </row>
    <row r="632" spans="1:20" ht="18.75" customHeight="1" x14ac:dyDescent="0.25">
      <c r="A632" s="5"/>
      <c r="B632" s="5"/>
      <c r="C632" s="6"/>
      <c r="L632" s="5"/>
      <c r="R632" s="5"/>
      <c r="S632" s="5"/>
      <c r="T632" s="5"/>
    </row>
    <row r="633" spans="1:20" ht="18.75" customHeight="1" x14ac:dyDescent="0.25">
      <c r="A633" s="5"/>
      <c r="B633" s="5"/>
      <c r="C633" s="6"/>
      <c r="L633" s="5"/>
      <c r="R633" s="5"/>
      <c r="S633" s="5"/>
      <c r="T633" s="5"/>
    </row>
    <row r="634" spans="1:20" ht="18.75" customHeight="1" x14ac:dyDescent="0.25">
      <c r="A634" s="5"/>
      <c r="B634" s="5"/>
      <c r="C634" s="6"/>
      <c r="L634" s="5"/>
      <c r="R634" s="5"/>
      <c r="S634" s="5"/>
      <c r="T634" s="5"/>
    </row>
    <row r="635" spans="1:20" ht="18.75" customHeight="1" x14ac:dyDescent="0.25">
      <c r="A635" s="5"/>
      <c r="B635" s="5"/>
      <c r="C635" s="6"/>
      <c r="L635" s="5"/>
      <c r="R635" s="5"/>
      <c r="S635" s="5"/>
      <c r="T635" s="5"/>
    </row>
    <row r="636" spans="1:20" ht="18.75" customHeight="1" x14ac:dyDescent="0.25">
      <c r="A636" s="5"/>
      <c r="B636" s="5"/>
      <c r="C636" s="6"/>
      <c r="L636" s="5"/>
      <c r="R636" s="5"/>
      <c r="S636" s="5"/>
      <c r="T636" s="5"/>
    </row>
    <row r="637" spans="1:20" ht="18.75" customHeight="1" x14ac:dyDescent="0.25">
      <c r="A637" s="5"/>
      <c r="B637" s="5"/>
      <c r="C637" s="6"/>
      <c r="L637" s="5"/>
      <c r="R637" s="5"/>
      <c r="S637" s="5"/>
      <c r="T637" s="5"/>
    </row>
    <row r="638" spans="1:20" ht="18.75" customHeight="1" x14ac:dyDescent="0.25">
      <c r="A638" s="5"/>
      <c r="B638" s="5"/>
      <c r="C638" s="6"/>
      <c r="L638" s="5"/>
      <c r="R638" s="5"/>
      <c r="S638" s="5"/>
      <c r="T638" s="5"/>
    </row>
    <row r="639" spans="1:20" ht="18.75" customHeight="1" x14ac:dyDescent="0.25">
      <c r="A639" s="5"/>
      <c r="B639" s="5"/>
      <c r="C639" s="6"/>
      <c r="L639" s="5"/>
      <c r="R639" s="5"/>
      <c r="S639" s="5"/>
      <c r="T639" s="5"/>
    </row>
    <row r="640" spans="1:20" ht="18.75" customHeight="1" x14ac:dyDescent="0.25">
      <c r="A640" s="5"/>
      <c r="B640" s="5"/>
      <c r="C640" s="6"/>
      <c r="L640" s="5"/>
      <c r="R640" s="5"/>
      <c r="S640" s="5"/>
      <c r="T640" s="5"/>
    </row>
    <row r="641" spans="1:20" ht="18.75" customHeight="1" x14ac:dyDescent="0.25">
      <c r="A641" s="5"/>
      <c r="B641" s="5"/>
      <c r="C641" s="6"/>
      <c r="L641" s="5"/>
      <c r="R641" s="5"/>
      <c r="S641" s="5"/>
      <c r="T641" s="5"/>
    </row>
    <row r="642" spans="1:20" ht="18.75" customHeight="1" x14ac:dyDescent="0.25">
      <c r="A642" s="5"/>
      <c r="B642" s="5"/>
      <c r="C642" s="6"/>
      <c r="L642" s="5"/>
      <c r="R642" s="5"/>
      <c r="S642" s="5"/>
      <c r="T642" s="5"/>
    </row>
    <row r="643" spans="1:20" ht="18.75" customHeight="1" x14ac:dyDescent="0.25">
      <c r="A643" s="5"/>
      <c r="B643" s="5"/>
      <c r="C643" s="6"/>
      <c r="L643" s="5"/>
      <c r="R643" s="5"/>
      <c r="S643" s="5"/>
      <c r="T643" s="5"/>
    </row>
    <row r="644" spans="1:20" ht="18.75" customHeight="1" x14ac:dyDescent="0.25">
      <c r="A644" s="5"/>
      <c r="B644" s="5"/>
      <c r="C644" s="6"/>
      <c r="L644" s="5"/>
      <c r="R644" s="5"/>
      <c r="S644" s="5"/>
      <c r="T644" s="5"/>
    </row>
    <row r="645" spans="1:20" ht="18.75" customHeight="1" x14ac:dyDescent="0.25">
      <c r="A645" s="5"/>
      <c r="B645" s="5"/>
      <c r="C645" s="6"/>
      <c r="L645" s="5"/>
      <c r="R645" s="5"/>
      <c r="S645" s="5"/>
      <c r="T645" s="5"/>
    </row>
    <row r="646" spans="1:20" ht="18.75" customHeight="1" x14ac:dyDescent="0.25">
      <c r="A646" s="5"/>
      <c r="B646" s="5"/>
      <c r="C646" s="6"/>
      <c r="L646" s="5"/>
      <c r="R646" s="5"/>
      <c r="S646" s="5"/>
      <c r="T646" s="5"/>
    </row>
    <row r="647" spans="1:20" ht="18.75" customHeight="1" x14ac:dyDescent="0.25">
      <c r="A647" s="5"/>
      <c r="B647" s="5"/>
      <c r="C647" s="6"/>
      <c r="L647" s="5"/>
      <c r="R647" s="5"/>
      <c r="S647" s="5"/>
      <c r="T647" s="5"/>
    </row>
    <row r="648" spans="1:20" ht="18.75" customHeight="1" x14ac:dyDescent="0.25">
      <c r="A648" s="5"/>
      <c r="B648" s="5"/>
      <c r="C648" s="6"/>
      <c r="L648" s="5"/>
      <c r="R648" s="5"/>
      <c r="S648" s="5"/>
      <c r="T648" s="5"/>
    </row>
    <row r="649" spans="1:20" ht="18.75" customHeight="1" x14ac:dyDescent="0.25">
      <c r="A649" s="5"/>
      <c r="B649" s="5"/>
      <c r="C649" s="6"/>
      <c r="L649" s="5"/>
      <c r="R649" s="5"/>
      <c r="S649" s="5"/>
      <c r="T649" s="5"/>
    </row>
    <row r="650" spans="1:20" ht="18.75" customHeight="1" x14ac:dyDescent="0.25">
      <c r="A650" s="5"/>
      <c r="B650" s="5"/>
      <c r="C650" s="6"/>
      <c r="L650" s="5"/>
      <c r="R650" s="5"/>
      <c r="S650" s="5"/>
      <c r="T650" s="5"/>
    </row>
    <row r="651" spans="1:20" ht="18.75" customHeight="1" x14ac:dyDescent="0.25">
      <c r="A651" s="5"/>
      <c r="B651" s="5"/>
      <c r="C651" s="6"/>
      <c r="L651" s="5"/>
      <c r="R651" s="5"/>
      <c r="S651" s="5"/>
      <c r="T651" s="5"/>
    </row>
    <row r="652" spans="1:20" ht="18.75" customHeight="1" x14ac:dyDescent="0.25">
      <c r="A652" s="5"/>
      <c r="B652" s="5"/>
      <c r="C652" s="6"/>
      <c r="L652" s="5"/>
      <c r="R652" s="5"/>
      <c r="S652" s="5"/>
      <c r="T652" s="5"/>
    </row>
    <row r="653" spans="1:20" ht="18.75" customHeight="1" x14ac:dyDescent="0.25">
      <c r="A653" s="5"/>
      <c r="B653" s="5"/>
      <c r="C653" s="6"/>
      <c r="L653" s="5"/>
      <c r="R653" s="5"/>
      <c r="S653" s="5"/>
      <c r="T653" s="5"/>
    </row>
    <row r="654" spans="1:20" ht="18.75" customHeight="1" x14ac:dyDescent="0.25">
      <c r="A654" s="5"/>
      <c r="B654" s="5"/>
      <c r="C654" s="6"/>
      <c r="L654" s="5"/>
      <c r="R654" s="5"/>
      <c r="S654" s="5"/>
      <c r="T654" s="5"/>
    </row>
    <row r="655" spans="1:20" ht="18.75" customHeight="1" x14ac:dyDescent="0.25">
      <c r="A655" s="5"/>
      <c r="B655" s="5"/>
      <c r="C655" s="6"/>
      <c r="L655" s="5"/>
      <c r="R655" s="5"/>
      <c r="S655" s="5"/>
      <c r="T655" s="5"/>
    </row>
    <row r="656" spans="1:20" ht="18.75" customHeight="1" x14ac:dyDescent="0.25">
      <c r="A656" s="5"/>
      <c r="B656" s="5"/>
      <c r="C656" s="6"/>
      <c r="L656" s="5"/>
      <c r="R656" s="5"/>
      <c r="S656" s="5"/>
      <c r="T656" s="5"/>
    </row>
    <row r="657" spans="1:20" ht="18.75" customHeight="1" x14ac:dyDescent="0.25">
      <c r="A657" s="5"/>
      <c r="B657" s="5"/>
      <c r="C657" s="6"/>
      <c r="L657" s="5"/>
      <c r="R657" s="5"/>
      <c r="S657" s="5"/>
      <c r="T657" s="5"/>
    </row>
    <row r="658" spans="1:20" ht="18.75" customHeight="1" x14ac:dyDescent="0.25">
      <c r="A658" s="5"/>
      <c r="B658" s="5"/>
      <c r="C658" s="6"/>
      <c r="L658" s="5"/>
      <c r="R658" s="5"/>
      <c r="S658" s="5"/>
      <c r="T658" s="5"/>
    </row>
    <row r="659" spans="1:20" ht="18.75" customHeight="1" x14ac:dyDescent="0.25">
      <c r="A659" s="5"/>
      <c r="B659" s="5"/>
      <c r="C659" s="6"/>
      <c r="L659" s="5"/>
      <c r="R659" s="5"/>
      <c r="S659" s="5"/>
      <c r="T659" s="5"/>
    </row>
    <row r="660" spans="1:20" ht="18.75" customHeight="1" x14ac:dyDescent="0.25">
      <c r="A660" s="5"/>
      <c r="B660" s="5"/>
      <c r="C660" s="6"/>
      <c r="L660" s="5"/>
      <c r="R660" s="5"/>
      <c r="S660" s="5"/>
      <c r="T660" s="5"/>
    </row>
    <row r="661" spans="1:20" ht="18.75" customHeight="1" x14ac:dyDescent="0.25">
      <c r="A661" s="5"/>
      <c r="B661" s="5"/>
      <c r="C661" s="6"/>
      <c r="L661" s="5"/>
      <c r="R661" s="5"/>
      <c r="S661" s="5"/>
      <c r="T661" s="5"/>
    </row>
    <row r="662" spans="1:20" ht="18.75" customHeight="1" x14ac:dyDescent="0.25">
      <c r="A662" s="5"/>
      <c r="B662" s="5"/>
      <c r="C662" s="6"/>
      <c r="L662" s="5"/>
      <c r="R662" s="5"/>
      <c r="S662" s="5"/>
      <c r="T662" s="5"/>
    </row>
    <row r="663" spans="1:20" ht="18.75" customHeight="1" x14ac:dyDescent="0.25">
      <c r="A663" s="5"/>
      <c r="B663" s="5"/>
      <c r="C663" s="6"/>
      <c r="L663" s="5"/>
      <c r="R663" s="5"/>
      <c r="S663" s="5"/>
      <c r="T663" s="5"/>
    </row>
    <row r="664" spans="1:20" ht="18.75" customHeight="1" x14ac:dyDescent="0.25">
      <c r="A664" s="5"/>
      <c r="B664" s="5"/>
      <c r="C664" s="6"/>
      <c r="L664" s="5"/>
      <c r="R664" s="5"/>
      <c r="S664" s="5"/>
      <c r="T664" s="5"/>
    </row>
    <row r="665" spans="1:20" ht="18.75" customHeight="1" x14ac:dyDescent="0.25">
      <c r="A665" s="5"/>
      <c r="B665" s="5"/>
      <c r="C665" s="6"/>
      <c r="L665" s="5"/>
      <c r="R665" s="5"/>
      <c r="S665" s="5"/>
      <c r="T665" s="5"/>
    </row>
    <row r="666" spans="1:20" ht="18.75" customHeight="1" x14ac:dyDescent="0.25">
      <c r="A666" s="5"/>
      <c r="B666" s="5"/>
      <c r="C666" s="6"/>
      <c r="L666" s="5"/>
      <c r="R666" s="5"/>
      <c r="S666" s="5"/>
      <c r="T666" s="5"/>
    </row>
    <row r="667" spans="1:20" ht="18.75" customHeight="1" x14ac:dyDescent="0.25">
      <c r="A667" s="5"/>
      <c r="B667" s="5"/>
      <c r="C667" s="6"/>
      <c r="L667" s="5"/>
      <c r="R667" s="5"/>
      <c r="S667" s="5"/>
      <c r="T667" s="5"/>
    </row>
    <row r="668" spans="1:20" ht="18.75" customHeight="1" x14ac:dyDescent="0.25">
      <c r="A668" s="5"/>
      <c r="B668" s="5"/>
      <c r="C668" s="6"/>
      <c r="L668" s="5"/>
      <c r="R668" s="5"/>
      <c r="S668" s="5"/>
      <c r="T668" s="5"/>
    </row>
    <row r="669" spans="1:20" ht="18.75" customHeight="1" x14ac:dyDescent="0.25">
      <c r="A669" s="5"/>
      <c r="B669" s="5"/>
      <c r="C669" s="6"/>
      <c r="L669" s="5"/>
      <c r="R669" s="5"/>
      <c r="S669" s="5"/>
      <c r="T669" s="5"/>
    </row>
    <row r="670" spans="1:20" ht="18.75" customHeight="1" x14ac:dyDescent="0.25">
      <c r="A670" s="5"/>
      <c r="B670" s="5"/>
      <c r="C670" s="6"/>
      <c r="L670" s="5"/>
      <c r="R670" s="5"/>
      <c r="S670" s="5"/>
      <c r="T670" s="5"/>
    </row>
    <row r="671" spans="1:20" ht="18.75" customHeight="1" x14ac:dyDescent="0.25">
      <c r="A671" s="5"/>
      <c r="B671" s="5"/>
      <c r="C671" s="6"/>
      <c r="L671" s="5"/>
      <c r="R671" s="5"/>
      <c r="S671" s="5"/>
      <c r="T671" s="5"/>
    </row>
    <row r="672" spans="1:20" ht="18.75" customHeight="1" x14ac:dyDescent="0.25">
      <c r="A672" s="5"/>
      <c r="B672" s="5"/>
      <c r="C672" s="6"/>
      <c r="L672" s="5"/>
      <c r="R672" s="5"/>
      <c r="S672" s="5"/>
      <c r="T672" s="5"/>
    </row>
    <row r="673" spans="1:20" ht="18.75" customHeight="1" x14ac:dyDescent="0.25">
      <c r="A673" s="5"/>
      <c r="B673" s="5"/>
      <c r="C673" s="6"/>
      <c r="L673" s="5"/>
      <c r="R673" s="5"/>
      <c r="S673" s="5"/>
      <c r="T673" s="5"/>
    </row>
    <row r="674" spans="1:20" ht="18.75" customHeight="1" x14ac:dyDescent="0.25">
      <c r="A674" s="5"/>
      <c r="B674" s="5"/>
      <c r="C674" s="6"/>
      <c r="L674" s="5"/>
      <c r="R674" s="5"/>
      <c r="S674" s="5"/>
      <c r="T674" s="5"/>
    </row>
    <row r="675" spans="1:20" ht="18.75" customHeight="1" x14ac:dyDescent="0.25">
      <c r="A675" s="5"/>
      <c r="B675" s="5"/>
      <c r="C675" s="6"/>
      <c r="L675" s="5"/>
      <c r="R675" s="5"/>
      <c r="S675" s="5"/>
      <c r="T675" s="5"/>
    </row>
    <row r="676" spans="1:20" ht="18.75" customHeight="1" x14ac:dyDescent="0.25">
      <c r="A676" s="5"/>
      <c r="B676" s="5"/>
      <c r="C676" s="6"/>
      <c r="L676" s="5"/>
      <c r="R676" s="5"/>
      <c r="S676" s="5"/>
      <c r="T676" s="5"/>
    </row>
    <row r="677" spans="1:20" ht="18.75" customHeight="1" x14ac:dyDescent="0.25">
      <c r="A677" s="5"/>
      <c r="B677" s="5"/>
      <c r="C677" s="6"/>
      <c r="L677" s="5"/>
      <c r="R677" s="5"/>
      <c r="S677" s="5"/>
      <c r="T677" s="5"/>
    </row>
    <row r="678" spans="1:20" ht="18.75" customHeight="1" x14ac:dyDescent="0.25">
      <c r="A678" s="5"/>
      <c r="B678" s="5"/>
      <c r="C678" s="6"/>
      <c r="L678" s="5"/>
      <c r="R678" s="5"/>
      <c r="S678" s="5"/>
      <c r="T678" s="5"/>
    </row>
    <row r="679" spans="1:20" ht="18.75" customHeight="1" x14ac:dyDescent="0.25">
      <c r="A679" s="5"/>
      <c r="B679" s="5"/>
      <c r="C679" s="6"/>
      <c r="L679" s="5"/>
      <c r="R679" s="5"/>
      <c r="S679" s="5"/>
      <c r="T679" s="5"/>
    </row>
    <row r="680" spans="1:20" ht="18.75" customHeight="1" x14ac:dyDescent="0.25">
      <c r="A680" s="5"/>
      <c r="B680" s="5"/>
      <c r="C680" s="6"/>
      <c r="L680" s="5"/>
      <c r="R680" s="5"/>
      <c r="S680" s="5"/>
      <c r="T680" s="5"/>
    </row>
    <row r="681" spans="1:20" ht="18.75" customHeight="1" x14ac:dyDescent="0.25">
      <c r="A681" s="5"/>
      <c r="B681" s="5"/>
      <c r="C681" s="6"/>
      <c r="L681" s="5"/>
      <c r="R681" s="5"/>
      <c r="S681" s="5"/>
      <c r="T681" s="5"/>
    </row>
    <row r="682" spans="1:20" ht="18.75" customHeight="1" x14ac:dyDescent="0.25">
      <c r="A682" s="5"/>
      <c r="B682" s="5"/>
      <c r="C682" s="6"/>
      <c r="L682" s="5"/>
      <c r="R682" s="5"/>
      <c r="S682" s="5"/>
      <c r="T682" s="5"/>
    </row>
    <row r="683" spans="1:20" ht="18.75" customHeight="1" x14ac:dyDescent="0.25">
      <c r="A683" s="5"/>
      <c r="B683" s="5"/>
      <c r="C683" s="6"/>
      <c r="L683" s="5"/>
      <c r="R683" s="5"/>
      <c r="S683" s="5"/>
      <c r="T683" s="5"/>
    </row>
    <row r="684" spans="1:20" ht="18.75" customHeight="1" x14ac:dyDescent="0.25">
      <c r="A684" s="5"/>
      <c r="B684" s="5"/>
      <c r="C684" s="6"/>
      <c r="L684" s="5"/>
      <c r="R684" s="5"/>
      <c r="S684" s="5"/>
      <c r="T684" s="5"/>
    </row>
    <row r="685" spans="1:20" ht="18.75" customHeight="1" x14ac:dyDescent="0.25">
      <c r="A685" s="5"/>
      <c r="B685" s="5"/>
      <c r="C685" s="6"/>
      <c r="L685" s="5"/>
      <c r="R685" s="5"/>
      <c r="S685" s="5"/>
      <c r="T685" s="5"/>
    </row>
    <row r="686" spans="1:20" ht="18.75" customHeight="1" x14ac:dyDescent="0.25">
      <c r="A686" s="5"/>
      <c r="B686" s="5"/>
      <c r="C686" s="6"/>
      <c r="L686" s="5"/>
      <c r="R686" s="5"/>
      <c r="S686" s="5"/>
      <c r="T686" s="5"/>
    </row>
    <row r="687" spans="1:20" ht="18.75" customHeight="1" x14ac:dyDescent="0.25">
      <c r="A687" s="5"/>
      <c r="B687" s="5"/>
      <c r="C687" s="6"/>
      <c r="L687" s="5"/>
      <c r="R687" s="5"/>
      <c r="S687" s="5"/>
      <c r="T687" s="5"/>
    </row>
    <row r="688" spans="1:20" ht="18.75" customHeight="1" x14ac:dyDescent="0.25">
      <c r="A688" s="5"/>
      <c r="B688" s="5"/>
      <c r="C688" s="6"/>
      <c r="L688" s="5"/>
      <c r="R688" s="5"/>
      <c r="S688" s="5"/>
      <c r="T688" s="5"/>
    </row>
    <row r="689" spans="1:20" ht="18.75" customHeight="1" x14ac:dyDescent="0.25">
      <c r="A689" s="5"/>
      <c r="B689" s="5"/>
      <c r="C689" s="6"/>
      <c r="L689" s="5"/>
      <c r="R689" s="5"/>
      <c r="S689" s="5"/>
      <c r="T689" s="5"/>
    </row>
    <row r="690" spans="1:20" ht="18.75" customHeight="1" x14ac:dyDescent="0.25">
      <c r="A690" s="5"/>
      <c r="B690" s="5"/>
      <c r="C690" s="6"/>
      <c r="L690" s="5"/>
      <c r="R690" s="5"/>
      <c r="S690" s="5"/>
      <c r="T690" s="5"/>
    </row>
    <row r="691" spans="1:20" ht="18.75" customHeight="1" x14ac:dyDescent="0.25">
      <c r="A691" s="5"/>
      <c r="B691" s="5"/>
      <c r="C691" s="6"/>
      <c r="L691" s="5"/>
      <c r="R691" s="5"/>
      <c r="S691" s="5"/>
      <c r="T691" s="5"/>
    </row>
    <row r="692" spans="1:20" ht="18.75" customHeight="1" x14ac:dyDescent="0.25">
      <c r="A692" s="5"/>
      <c r="B692" s="5"/>
      <c r="C692" s="6"/>
      <c r="L692" s="5"/>
      <c r="R692" s="5"/>
      <c r="S692" s="5"/>
      <c r="T692" s="5"/>
    </row>
    <row r="693" spans="1:20" ht="18.75" customHeight="1" x14ac:dyDescent="0.25">
      <c r="A693" s="5"/>
      <c r="B693" s="5"/>
      <c r="C693" s="6"/>
      <c r="L693" s="5"/>
      <c r="R693" s="5"/>
      <c r="S693" s="5"/>
      <c r="T693" s="5"/>
    </row>
    <row r="694" spans="1:20" ht="18.75" customHeight="1" x14ac:dyDescent="0.25">
      <c r="A694" s="5"/>
      <c r="B694" s="5"/>
      <c r="C694" s="6"/>
      <c r="L694" s="5"/>
      <c r="R694" s="5"/>
      <c r="S694" s="5"/>
      <c r="T694" s="5"/>
    </row>
    <row r="695" spans="1:20" ht="18.75" customHeight="1" x14ac:dyDescent="0.25">
      <c r="A695" s="5"/>
      <c r="B695" s="5"/>
      <c r="C695" s="6"/>
      <c r="L695" s="5"/>
      <c r="R695" s="5"/>
      <c r="S695" s="5"/>
      <c r="T695" s="5"/>
    </row>
    <row r="696" spans="1:20" ht="18.75" customHeight="1" x14ac:dyDescent="0.25">
      <c r="A696" s="5"/>
      <c r="B696" s="5"/>
      <c r="C696" s="6"/>
      <c r="L696" s="5"/>
      <c r="R696" s="5"/>
      <c r="S696" s="5"/>
      <c r="T696" s="5"/>
    </row>
    <row r="697" spans="1:20" ht="18.75" customHeight="1" x14ac:dyDescent="0.25">
      <c r="A697" s="5"/>
      <c r="B697" s="5"/>
      <c r="C697" s="6"/>
      <c r="L697" s="5"/>
      <c r="R697" s="5"/>
      <c r="S697" s="5"/>
      <c r="T697" s="5"/>
    </row>
    <row r="698" spans="1:20" ht="18.75" customHeight="1" x14ac:dyDescent="0.25">
      <c r="A698" s="5"/>
      <c r="B698" s="5"/>
      <c r="C698" s="6"/>
      <c r="L698" s="5"/>
      <c r="R698" s="5"/>
      <c r="S698" s="5"/>
      <c r="T698" s="5"/>
    </row>
    <row r="699" spans="1:20" ht="18.75" customHeight="1" x14ac:dyDescent="0.25">
      <c r="A699" s="5"/>
      <c r="B699" s="5"/>
      <c r="C699" s="6"/>
      <c r="L699" s="5"/>
      <c r="R699" s="5"/>
      <c r="S699" s="5"/>
      <c r="T699" s="5"/>
    </row>
    <row r="700" spans="1:20" ht="18.75" customHeight="1" x14ac:dyDescent="0.25">
      <c r="A700" s="5"/>
      <c r="B700" s="5"/>
      <c r="C700" s="6"/>
      <c r="L700" s="5"/>
      <c r="R700" s="5"/>
      <c r="S700" s="5"/>
      <c r="T700" s="5"/>
    </row>
    <row r="701" spans="1:20" ht="18.75" customHeight="1" x14ac:dyDescent="0.25">
      <c r="A701" s="5"/>
      <c r="B701" s="5"/>
      <c r="C701" s="6"/>
      <c r="L701" s="5"/>
      <c r="R701" s="5"/>
      <c r="S701" s="5"/>
      <c r="T701" s="5"/>
    </row>
    <row r="702" spans="1:20" ht="18.75" customHeight="1" x14ac:dyDescent="0.25">
      <c r="A702" s="5"/>
      <c r="B702" s="5"/>
      <c r="C702" s="6"/>
      <c r="L702" s="5"/>
      <c r="R702" s="5"/>
      <c r="S702" s="5"/>
      <c r="T702" s="5"/>
    </row>
    <row r="703" spans="1:20" ht="18.75" customHeight="1" x14ac:dyDescent="0.25">
      <c r="A703" s="5"/>
      <c r="B703" s="5"/>
      <c r="C703" s="6"/>
      <c r="L703" s="5"/>
      <c r="R703" s="5"/>
      <c r="S703" s="5"/>
      <c r="T703" s="5"/>
    </row>
    <row r="704" spans="1:20" ht="18.75" customHeight="1" x14ac:dyDescent="0.25">
      <c r="A704" s="5"/>
      <c r="B704" s="5"/>
      <c r="C704" s="6"/>
      <c r="L704" s="5"/>
      <c r="R704" s="5"/>
      <c r="S704" s="5"/>
      <c r="T704" s="5"/>
    </row>
    <row r="705" spans="1:20" ht="18.75" customHeight="1" x14ac:dyDescent="0.25">
      <c r="A705" s="5"/>
      <c r="B705" s="5"/>
      <c r="C705" s="6"/>
      <c r="L705" s="5"/>
      <c r="R705" s="5"/>
      <c r="S705" s="5"/>
      <c r="T705" s="5"/>
    </row>
    <row r="706" spans="1:20" ht="18.75" customHeight="1" x14ac:dyDescent="0.25">
      <c r="A706" s="5"/>
      <c r="B706" s="5"/>
      <c r="C706" s="6"/>
      <c r="L706" s="5"/>
      <c r="R706" s="5"/>
      <c r="S706" s="5"/>
      <c r="T706" s="5"/>
    </row>
    <row r="707" spans="1:20" ht="18.75" customHeight="1" x14ac:dyDescent="0.25">
      <c r="A707" s="5"/>
      <c r="B707" s="5"/>
      <c r="C707" s="6"/>
      <c r="L707" s="5"/>
      <c r="R707" s="5"/>
      <c r="S707" s="5"/>
      <c r="T707" s="5"/>
    </row>
    <row r="708" spans="1:20" ht="18.75" customHeight="1" x14ac:dyDescent="0.25">
      <c r="A708" s="5"/>
      <c r="B708" s="5"/>
      <c r="C708" s="6"/>
      <c r="L708" s="5"/>
      <c r="R708" s="5"/>
      <c r="S708" s="5"/>
      <c r="T708" s="5"/>
    </row>
    <row r="709" spans="1:20" ht="18.75" customHeight="1" x14ac:dyDescent="0.25">
      <c r="A709" s="5"/>
      <c r="B709" s="5"/>
      <c r="C709" s="6"/>
      <c r="L709" s="5"/>
      <c r="R709" s="5"/>
      <c r="S709" s="5"/>
      <c r="T709" s="5"/>
    </row>
    <row r="710" spans="1:20" ht="18.75" customHeight="1" x14ac:dyDescent="0.25">
      <c r="A710" s="5"/>
      <c r="B710" s="5"/>
      <c r="C710" s="6"/>
      <c r="L710" s="5"/>
      <c r="R710" s="5"/>
      <c r="S710" s="5"/>
      <c r="T710" s="5"/>
    </row>
    <row r="711" spans="1:20" ht="18.75" customHeight="1" x14ac:dyDescent="0.25">
      <c r="A711" s="5"/>
      <c r="B711" s="5"/>
      <c r="C711" s="6"/>
      <c r="L711" s="5"/>
      <c r="R711" s="5"/>
      <c r="S711" s="5"/>
      <c r="T711" s="5"/>
    </row>
    <row r="712" spans="1:20" ht="18.75" customHeight="1" x14ac:dyDescent="0.25">
      <c r="A712" s="5"/>
      <c r="B712" s="5"/>
      <c r="C712" s="6"/>
      <c r="L712" s="5"/>
      <c r="R712" s="5"/>
      <c r="S712" s="5"/>
      <c r="T712" s="5"/>
    </row>
    <row r="713" spans="1:20" ht="18.75" customHeight="1" x14ac:dyDescent="0.25">
      <c r="A713" s="5"/>
      <c r="B713" s="5"/>
      <c r="C713" s="6"/>
      <c r="L713" s="5"/>
      <c r="R713" s="5"/>
      <c r="S713" s="5"/>
      <c r="T713" s="5"/>
    </row>
    <row r="714" spans="1:20" ht="18.75" customHeight="1" x14ac:dyDescent="0.25">
      <c r="A714" s="5"/>
      <c r="B714" s="5"/>
      <c r="C714" s="6"/>
      <c r="L714" s="5"/>
      <c r="R714" s="5"/>
      <c r="S714" s="5"/>
      <c r="T714" s="5"/>
    </row>
    <row r="715" spans="1:20" ht="18.75" customHeight="1" x14ac:dyDescent="0.25">
      <c r="A715" s="5"/>
      <c r="B715" s="5"/>
      <c r="C715" s="6"/>
      <c r="L715" s="5"/>
      <c r="R715" s="5"/>
      <c r="S715" s="5"/>
      <c r="T715" s="5"/>
    </row>
    <row r="716" spans="1:20" ht="18.75" customHeight="1" x14ac:dyDescent="0.25">
      <c r="A716" s="5"/>
      <c r="B716" s="5"/>
      <c r="C716" s="6"/>
      <c r="L716" s="5"/>
      <c r="R716" s="5"/>
      <c r="S716" s="5"/>
      <c r="T716" s="5"/>
    </row>
    <row r="717" spans="1:20" ht="18.75" customHeight="1" x14ac:dyDescent="0.25">
      <c r="A717" s="5"/>
      <c r="B717" s="5"/>
      <c r="C717" s="6"/>
      <c r="L717" s="5"/>
      <c r="R717" s="5"/>
      <c r="S717" s="5"/>
      <c r="T717" s="5"/>
    </row>
    <row r="718" spans="1:20" ht="18.75" customHeight="1" x14ac:dyDescent="0.25">
      <c r="A718" s="5"/>
      <c r="B718" s="5"/>
      <c r="C718" s="6"/>
      <c r="L718" s="5"/>
      <c r="R718" s="5"/>
      <c r="S718" s="5"/>
      <c r="T718" s="5"/>
    </row>
    <row r="719" spans="1:20" ht="18.75" customHeight="1" x14ac:dyDescent="0.25">
      <c r="A719" s="5"/>
      <c r="B719" s="5"/>
      <c r="C719" s="6"/>
      <c r="L719" s="5"/>
      <c r="R719" s="5"/>
      <c r="S719" s="5"/>
      <c r="T719" s="5"/>
    </row>
    <row r="720" spans="1:20" ht="18.75" customHeight="1" x14ac:dyDescent="0.25">
      <c r="A720" s="5"/>
      <c r="B720" s="5"/>
      <c r="C720" s="6"/>
      <c r="L720" s="5"/>
      <c r="R720" s="5"/>
      <c r="S720" s="5"/>
      <c r="T720" s="5"/>
    </row>
    <row r="721" spans="1:20" ht="18.75" customHeight="1" x14ac:dyDescent="0.25">
      <c r="A721" s="5"/>
      <c r="B721" s="5"/>
      <c r="C721" s="6"/>
      <c r="L721" s="5"/>
      <c r="R721" s="5"/>
      <c r="S721" s="5"/>
      <c r="T721" s="5"/>
    </row>
    <row r="722" spans="1:20" ht="18.75" customHeight="1" x14ac:dyDescent="0.25">
      <c r="A722" s="5"/>
      <c r="B722" s="5"/>
      <c r="C722" s="6"/>
      <c r="L722" s="5"/>
      <c r="R722" s="5"/>
      <c r="S722" s="5"/>
      <c r="T722" s="5"/>
    </row>
    <row r="723" spans="1:20" ht="18.75" customHeight="1" x14ac:dyDescent="0.25">
      <c r="A723" s="5"/>
      <c r="B723" s="5"/>
      <c r="C723" s="6"/>
      <c r="L723" s="5"/>
      <c r="R723" s="5"/>
      <c r="S723" s="5"/>
      <c r="T723" s="5"/>
    </row>
    <row r="724" spans="1:20" ht="18.75" customHeight="1" x14ac:dyDescent="0.25">
      <c r="A724" s="5"/>
      <c r="B724" s="5"/>
      <c r="C724" s="6"/>
      <c r="L724" s="5"/>
      <c r="R724" s="5"/>
      <c r="S724" s="5"/>
      <c r="T724" s="5"/>
    </row>
    <row r="725" spans="1:20" ht="18.75" customHeight="1" x14ac:dyDescent="0.25">
      <c r="A725" s="5"/>
      <c r="B725" s="5"/>
      <c r="C725" s="6"/>
      <c r="L725" s="5"/>
      <c r="R725" s="5"/>
      <c r="S725" s="5"/>
      <c r="T725" s="5"/>
    </row>
    <row r="726" spans="1:20" ht="18.75" customHeight="1" x14ac:dyDescent="0.25">
      <c r="A726" s="5"/>
      <c r="B726" s="5"/>
      <c r="C726" s="6"/>
      <c r="L726" s="5"/>
      <c r="R726" s="5"/>
      <c r="S726" s="5"/>
      <c r="T726" s="5"/>
    </row>
    <row r="727" spans="1:20" ht="18.75" customHeight="1" x14ac:dyDescent="0.25">
      <c r="A727" s="5"/>
      <c r="B727" s="5"/>
      <c r="C727" s="6"/>
      <c r="L727" s="5"/>
      <c r="R727" s="5"/>
      <c r="S727" s="5"/>
      <c r="T727" s="5"/>
    </row>
    <row r="728" spans="1:20" ht="18.75" customHeight="1" x14ac:dyDescent="0.25">
      <c r="A728" s="5"/>
      <c r="B728" s="5"/>
      <c r="C728" s="6"/>
      <c r="L728" s="5"/>
      <c r="R728" s="5"/>
      <c r="S728" s="5"/>
      <c r="T728" s="5"/>
    </row>
    <row r="729" spans="1:20" ht="18.75" customHeight="1" x14ac:dyDescent="0.25">
      <c r="A729" s="5"/>
      <c r="B729" s="5"/>
      <c r="C729" s="6"/>
      <c r="L729" s="5"/>
      <c r="R729" s="5"/>
      <c r="S729" s="5"/>
      <c r="T729" s="5"/>
    </row>
    <row r="730" spans="1:20" ht="18.75" customHeight="1" x14ac:dyDescent="0.25">
      <c r="A730" s="5"/>
      <c r="B730" s="5"/>
      <c r="C730" s="6"/>
      <c r="L730" s="5"/>
      <c r="R730" s="5"/>
      <c r="S730" s="5"/>
      <c r="T730" s="5"/>
    </row>
    <row r="731" spans="1:20" ht="18.75" customHeight="1" x14ac:dyDescent="0.25">
      <c r="A731" s="5"/>
      <c r="B731" s="5"/>
      <c r="C731" s="6"/>
      <c r="L731" s="5"/>
      <c r="R731" s="5"/>
      <c r="S731" s="5"/>
      <c r="T731" s="5"/>
    </row>
    <row r="732" spans="1:20" ht="18.75" customHeight="1" x14ac:dyDescent="0.25">
      <c r="A732" s="5"/>
      <c r="B732" s="5"/>
      <c r="C732" s="6"/>
      <c r="L732" s="5"/>
      <c r="R732" s="5"/>
      <c r="S732" s="5"/>
      <c r="T732" s="5"/>
    </row>
    <row r="733" spans="1:20" ht="18.75" customHeight="1" x14ac:dyDescent="0.25">
      <c r="A733" s="5"/>
      <c r="B733" s="5"/>
      <c r="C733" s="6"/>
      <c r="L733" s="5"/>
      <c r="R733" s="5"/>
      <c r="S733" s="5"/>
      <c r="T733" s="5"/>
    </row>
    <row r="734" spans="1:20" ht="18.75" customHeight="1" x14ac:dyDescent="0.25">
      <c r="A734" s="5"/>
      <c r="B734" s="5"/>
      <c r="C734" s="6"/>
      <c r="L734" s="5"/>
      <c r="R734" s="5"/>
      <c r="S734" s="5"/>
      <c r="T734" s="5"/>
    </row>
    <row r="735" spans="1:20" ht="18.75" customHeight="1" x14ac:dyDescent="0.25">
      <c r="A735" s="5"/>
      <c r="B735" s="5"/>
      <c r="C735" s="6"/>
      <c r="L735" s="5"/>
      <c r="R735" s="5"/>
      <c r="S735" s="5"/>
      <c r="T735" s="5"/>
    </row>
    <row r="736" spans="1:20" ht="18.75" customHeight="1" x14ac:dyDescent="0.25">
      <c r="A736" s="5"/>
      <c r="B736" s="5"/>
      <c r="C736" s="6"/>
      <c r="L736" s="5"/>
      <c r="R736" s="5"/>
      <c r="S736" s="5"/>
      <c r="T736" s="5"/>
    </row>
    <row r="737" spans="1:20" ht="18.75" customHeight="1" x14ac:dyDescent="0.25">
      <c r="A737" s="5"/>
      <c r="B737" s="5"/>
      <c r="C737" s="6"/>
      <c r="L737" s="5"/>
      <c r="R737" s="5"/>
      <c r="S737" s="5"/>
      <c r="T737" s="5"/>
    </row>
    <row r="738" spans="1:20" ht="18.75" customHeight="1" x14ac:dyDescent="0.25">
      <c r="A738" s="5"/>
      <c r="B738" s="5"/>
      <c r="C738" s="6"/>
      <c r="L738" s="5"/>
      <c r="R738" s="5"/>
      <c r="S738" s="5"/>
      <c r="T738" s="5"/>
    </row>
    <row r="739" spans="1:20" ht="18.75" customHeight="1" x14ac:dyDescent="0.25">
      <c r="A739" s="5"/>
      <c r="B739" s="5"/>
      <c r="C739" s="6"/>
      <c r="L739" s="5"/>
      <c r="R739" s="5"/>
      <c r="S739" s="5"/>
      <c r="T739" s="5"/>
    </row>
    <row r="740" spans="1:20" ht="18.75" customHeight="1" x14ac:dyDescent="0.25">
      <c r="A740" s="5"/>
      <c r="B740" s="5"/>
      <c r="C740" s="6"/>
      <c r="L740" s="5"/>
      <c r="R740" s="5"/>
      <c r="S740" s="5"/>
      <c r="T740" s="5"/>
    </row>
    <row r="741" spans="1:20" ht="18.75" customHeight="1" x14ac:dyDescent="0.25">
      <c r="A741" s="5"/>
      <c r="B741" s="5"/>
      <c r="C741" s="6"/>
      <c r="L741" s="5"/>
      <c r="R741" s="5"/>
      <c r="S741" s="5"/>
      <c r="T741" s="5"/>
    </row>
    <row r="742" spans="1:20" ht="18.75" customHeight="1" x14ac:dyDescent="0.25">
      <c r="A742" s="5"/>
      <c r="B742" s="5"/>
      <c r="C742" s="6"/>
      <c r="L742" s="5"/>
      <c r="R742" s="5"/>
      <c r="S742" s="5"/>
      <c r="T742" s="5"/>
    </row>
    <row r="743" spans="1:20" ht="18.75" customHeight="1" x14ac:dyDescent="0.25">
      <c r="A743" s="5"/>
      <c r="B743" s="5"/>
      <c r="C743" s="6"/>
      <c r="L743" s="5"/>
      <c r="R743" s="5"/>
      <c r="S743" s="5"/>
      <c r="T743" s="5"/>
    </row>
    <row r="744" spans="1:20" ht="18.75" customHeight="1" x14ac:dyDescent="0.25">
      <c r="A744" s="5"/>
      <c r="B744" s="5"/>
      <c r="C744" s="6"/>
      <c r="L744" s="5"/>
      <c r="R744" s="5"/>
      <c r="S744" s="5"/>
      <c r="T744" s="5"/>
    </row>
    <row r="745" spans="1:20" ht="18.75" customHeight="1" x14ac:dyDescent="0.25">
      <c r="A745" s="5"/>
      <c r="B745" s="5"/>
      <c r="C745" s="6"/>
      <c r="L745" s="5"/>
      <c r="R745" s="5"/>
      <c r="S745" s="5"/>
      <c r="T745" s="5"/>
    </row>
    <row r="746" spans="1:20" ht="18.75" customHeight="1" x14ac:dyDescent="0.25">
      <c r="A746" s="5"/>
      <c r="B746" s="5"/>
      <c r="C746" s="6"/>
      <c r="L746" s="5"/>
      <c r="R746" s="5"/>
      <c r="S746" s="5"/>
      <c r="T746" s="5"/>
    </row>
    <row r="747" spans="1:20" ht="18.75" customHeight="1" x14ac:dyDescent="0.25">
      <c r="A747" s="5"/>
      <c r="B747" s="5"/>
      <c r="C747" s="6"/>
      <c r="L747" s="5"/>
      <c r="R747" s="5"/>
      <c r="S747" s="5"/>
      <c r="T747" s="5"/>
    </row>
    <row r="748" spans="1:20" ht="18.75" customHeight="1" x14ac:dyDescent="0.25">
      <c r="A748" s="5"/>
      <c r="B748" s="5"/>
      <c r="C748" s="6"/>
      <c r="L748" s="5"/>
      <c r="R748" s="5"/>
      <c r="S748" s="5"/>
      <c r="T748" s="5"/>
    </row>
    <row r="749" spans="1:20" ht="18.75" customHeight="1" x14ac:dyDescent="0.25">
      <c r="A749" s="5"/>
      <c r="B749" s="5"/>
      <c r="C749" s="6"/>
      <c r="L749" s="5"/>
      <c r="R749" s="5"/>
      <c r="S749" s="5"/>
      <c r="T749" s="5"/>
    </row>
    <row r="750" spans="1:20" ht="18.75" customHeight="1" x14ac:dyDescent="0.25">
      <c r="A750" s="5"/>
      <c r="B750" s="5"/>
      <c r="C750" s="6"/>
      <c r="L750" s="5"/>
      <c r="R750" s="5"/>
      <c r="S750" s="5"/>
      <c r="T750" s="5"/>
    </row>
    <row r="751" spans="1:20" ht="18.75" customHeight="1" x14ac:dyDescent="0.25">
      <c r="A751" s="5"/>
      <c r="B751" s="5"/>
      <c r="C751" s="6"/>
      <c r="L751" s="5"/>
      <c r="R751" s="5"/>
      <c r="S751" s="5"/>
      <c r="T751" s="5"/>
    </row>
    <row r="752" spans="1:20" ht="18.75" customHeight="1" x14ac:dyDescent="0.25">
      <c r="A752" s="5"/>
      <c r="B752" s="5"/>
      <c r="C752" s="6"/>
      <c r="L752" s="5"/>
      <c r="R752" s="5"/>
      <c r="S752" s="5"/>
      <c r="T752" s="5"/>
    </row>
    <row r="753" spans="1:20" ht="18.75" customHeight="1" x14ac:dyDescent="0.25">
      <c r="A753" s="5"/>
      <c r="B753" s="5"/>
      <c r="C753" s="6"/>
      <c r="L753" s="5"/>
      <c r="R753" s="5"/>
      <c r="S753" s="5"/>
      <c r="T753" s="5"/>
    </row>
    <row r="754" spans="1:20" ht="18.75" customHeight="1" x14ac:dyDescent="0.25">
      <c r="A754" s="5"/>
      <c r="B754" s="5"/>
      <c r="C754" s="6"/>
      <c r="L754" s="5"/>
      <c r="R754" s="5"/>
      <c r="S754" s="5"/>
      <c r="T754" s="5"/>
    </row>
    <row r="755" spans="1:20" ht="18.75" customHeight="1" x14ac:dyDescent="0.25">
      <c r="A755" s="5"/>
      <c r="B755" s="5"/>
      <c r="C755" s="6"/>
      <c r="L755" s="5"/>
      <c r="R755" s="5"/>
      <c r="S755" s="5"/>
      <c r="T755" s="5"/>
    </row>
    <row r="756" spans="1:20" ht="18.75" customHeight="1" x14ac:dyDescent="0.25">
      <c r="A756" s="5"/>
      <c r="B756" s="5"/>
      <c r="C756" s="6"/>
      <c r="L756" s="5"/>
      <c r="R756" s="5"/>
      <c r="S756" s="5"/>
      <c r="T756" s="5"/>
    </row>
    <row r="757" spans="1:20" ht="18.75" customHeight="1" x14ac:dyDescent="0.25">
      <c r="A757" s="5"/>
      <c r="B757" s="5"/>
      <c r="C757" s="6"/>
      <c r="L757" s="5"/>
      <c r="R757" s="5"/>
      <c r="S757" s="5"/>
      <c r="T757" s="5"/>
    </row>
    <row r="758" spans="1:20" ht="18.75" customHeight="1" x14ac:dyDescent="0.25">
      <c r="A758" s="5"/>
      <c r="B758" s="5"/>
      <c r="C758" s="6"/>
      <c r="L758" s="5"/>
      <c r="R758" s="5"/>
      <c r="S758" s="5"/>
      <c r="T758" s="5"/>
    </row>
    <row r="759" spans="1:20" ht="18.75" customHeight="1" x14ac:dyDescent="0.25">
      <c r="A759" s="5"/>
      <c r="B759" s="5"/>
      <c r="C759" s="6"/>
      <c r="L759" s="5"/>
      <c r="R759" s="5"/>
      <c r="S759" s="5"/>
      <c r="T759" s="5"/>
    </row>
    <row r="760" spans="1:20" ht="18.75" customHeight="1" x14ac:dyDescent="0.25">
      <c r="A760" s="5"/>
      <c r="B760" s="5"/>
      <c r="C760" s="6"/>
      <c r="L760" s="5"/>
      <c r="R760" s="5"/>
      <c r="S760" s="5"/>
      <c r="T760" s="5"/>
    </row>
    <row r="761" spans="1:20" ht="18.75" customHeight="1" x14ac:dyDescent="0.25">
      <c r="A761" s="5"/>
      <c r="B761" s="5"/>
      <c r="C761" s="6"/>
      <c r="L761" s="5"/>
      <c r="R761" s="5"/>
      <c r="S761" s="5"/>
      <c r="T761" s="5"/>
    </row>
    <row r="762" spans="1:20" ht="18.75" customHeight="1" x14ac:dyDescent="0.25">
      <c r="A762" s="5"/>
      <c r="B762" s="5"/>
      <c r="C762" s="6"/>
      <c r="L762" s="5"/>
      <c r="R762" s="5"/>
      <c r="S762" s="5"/>
      <c r="T762" s="5"/>
    </row>
    <row r="763" spans="1:20" ht="18.75" customHeight="1" x14ac:dyDescent="0.25">
      <c r="A763" s="5"/>
      <c r="B763" s="5"/>
      <c r="C763" s="6"/>
      <c r="L763" s="5"/>
      <c r="R763" s="5"/>
      <c r="S763" s="5"/>
      <c r="T763" s="5"/>
    </row>
    <row r="764" spans="1:20" ht="18.75" customHeight="1" x14ac:dyDescent="0.25">
      <c r="A764" s="5"/>
      <c r="B764" s="5"/>
      <c r="C764" s="6"/>
      <c r="L764" s="5"/>
      <c r="R764" s="5"/>
      <c r="S764" s="5"/>
      <c r="T764" s="5"/>
    </row>
    <row r="765" spans="1:20" ht="18.75" customHeight="1" x14ac:dyDescent="0.25">
      <c r="A765" s="5"/>
      <c r="B765" s="5"/>
      <c r="C765" s="6"/>
      <c r="L765" s="5"/>
      <c r="R765" s="5"/>
      <c r="S765" s="5"/>
      <c r="T765" s="5"/>
    </row>
    <row r="766" spans="1:20" ht="18.75" customHeight="1" x14ac:dyDescent="0.25">
      <c r="A766" s="5"/>
      <c r="B766" s="5"/>
      <c r="C766" s="6"/>
      <c r="L766" s="5"/>
      <c r="R766" s="5"/>
      <c r="S766" s="5"/>
      <c r="T766" s="5"/>
    </row>
    <row r="767" spans="1:20" ht="18.75" customHeight="1" x14ac:dyDescent="0.25">
      <c r="A767" s="5"/>
      <c r="B767" s="5"/>
      <c r="C767" s="6"/>
      <c r="L767" s="5"/>
      <c r="R767" s="5"/>
      <c r="S767" s="5"/>
      <c r="T767" s="5"/>
    </row>
    <row r="768" spans="1:20" ht="18.75" customHeight="1" x14ac:dyDescent="0.25">
      <c r="A768" s="5"/>
      <c r="B768" s="5"/>
      <c r="C768" s="6"/>
      <c r="L768" s="5"/>
      <c r="R768" s="5"/>
      <c r="S768" s="5"/>
      <c r="T768" s="5"/>
    </row>
    <row r="769" spans="1:20" ht="18.75" customHeight="1" x14ac:dyDescent="0.25">
      <c r="A769" s="5"/>
      <c r="B769" s="5"/>
      <c r="C769" s="6"/>
      <c r="L769" s="5"/>
      <c r="R769" s="5"/>
      <c r="S769" s="5"/>
      <c r="T769" s="5"/>
    </row>
    <row r="770" spans="1:20" ht="18.75" customHeight="1" x14ac:dyDescent="0.25">
      <c r="A770" s="5"/>
      <c r="B770" s="5"/>
      <c r="C770" s="6"/>
      <c r="L770" s="5"/>
      <c r="R770" s="5"/>
      <c r="S770" s="5"/>
      <c r="T770" s="5"/>
    </row>
    <row r="771" spans="1:20" ht="18.75" customHeight="1" x14ac:dyDescent="0.25">
      <c r="A771" s="5"/>
      <c r="B771" s="5"/>
      <c r="C771" s="6"/>
      <c r="L771" s="5"/>
      <c r="R771" s="5"/>
      <c r="S771" s="5"/>
      <c r="T771" s="5"/>
    </row>
    <row r="772" spans="1:20" ht="18.75" customHeight="1" x14ac:dyDescent="0.25">
      <c r="A772" s="5"/>
      <c r="B772" s="5"/>
      <c r="C772" s="6"/>
      <c r="L772" s="5"/>
      <c r="R772" s="5"/>
      <c r="S772" s="5"/>
      <c r="T772" s="5"/>
    </row>
    <row r="773" spans="1:20" ht="18.75" customHeight="1" x14ac:dyDescent="0.25">
      <c r="A773" s="5"/>
      <c r="B773" s="5"/>
      <c r="C773" s="6"/>
      <c r="L773" s="5"/>
      <c r="R773" s="5"/>
      <c r="S773" s="5"/>
      <c r="T773" s="5"/>
    </row>
    <row r="774" spans="1:20" ht="18.75" customHeight="1" x14ac:dyDescent="0.25">
      <c r="A774" s="5"/>
      <c r="B774" s="5"/>
      <c r="C774" s="6"/>
      <c r="L774" s="5"/>
      <c r="R774" s="5"/>
      <c r="S774" s="5"/>
      <c r="T774" s="5"/>
    </row>
    <row r="775" spans="1:20" ht="18.75" customHeight="1" x14ac:dyDescent="0.25">
      <c r="A775" s="5"/>
      <c r="B775" s="5"/>
      <c r="C775" s="6"/>
      <c r="L775" s="5"/>
      <c r="R775" s="5"/>
      <c r="S775" s="5"/>
      <c r="T775" s="5"/>
    </row>
    <row r="776" spans="1:20" ht="18.75" customHeight="1" x14ac:dyDescent="0.25">
      <c r="A776" s="5"/>
      <c r="B776" s="5"/>
      <c r="C776" s="6"/>
      <c r="L776" s="5"/>
      <c r="R776" s="5"/>
      <c r="S776" s="5"/>
      <c r="T776" s="5"/>
    </row>
    <row r="777" spans="1:20" ht="18.75" customHeight="1" x14ac:dyDescent="0.25">
      <c r="A777" s="5"/>
      <c r="B777" s="5"/>
      <c r="C777" s="6"/>
      <c r="L777" s="5"/>
      <c r="R777" s="5"/>
      <c r="S777" s="5"/>
      <c r="T777" s="5"/>
    </row>
    <row r="778" spans="1:20" ht="18.75" customHeight="1" x14ac:dyDescent="0.25">
      <c r="A778" s="5"/>
      <c r="B778" s="5"/>
      <c r="C778" s="6"/>
      <c r="L778" s="5"/>
      <c r="R778" s="5"/>
      <c r="S778" s="5"/>
      <c r="T778" s="5"/>
    </row>
    <row r="779" spans="1:20" ht="18.75" customHeight="1" x14ac:dyDescent="0.25">
      <c r="A779" s="5"/>
      <c r="B779" s="5"/>
      <c r="C779" s="6"/>
      <c r="L779" s="5"/>
      <c r="R779" s="5"/>
      <c r="S779" s="5"/>
      <c r="T779" s="5"/>
    </row>
    <row r="780" spans="1:20" ht="18.75" customHeight="1" x14ac:dyDescent="0.25">
      <c r="A780" s="5"/>
      <c r="B780" s="5"/>
      <c r="C780" s="6"/>
      <c r="L780" s="5"/>
      <c r="R780" s="5"/>
      <c r="S780" s="5"/>
      <c r="T780" s="5"/>
    </row>
    <row r="781" spans="1:20" ht="18.75" customHeight="1" x14ac:dyDescent="0.25">
      <c r="A781" s="5"/>
      <c r="B781" s="5"/>
      <c r="C781" s="6"/>
      <c r="L781" s="5"/>
      <c r="R781" s="5"/>
      <c r="S781" s="5"/>
      <c r="T781" s="5"/>
    </row>
    <row r="782" spans="1:20" ht="18.75" customHeight="1" x14ac:dyDescent="0.25">
      <c r="A782" s="5"/>
      <c r="B782" s="5"/>
      <c r="C782" s="6"/>
      <c r="L782" s="5"/>
      <c r="R782" s="5"/>
      <c r="S782" s="5"/>
      <c r="T782" s="5"/>
    </row>
    <row r="783" spans="1:20" ht="18.75" customHeight="1" x14ac:dyDescent="0.25">
      <c r="A783" s="5"/>
      <c r="B783" s="5"/>
      <c r="C783" s="6"/>
      <c r="L783" s="5"/>
      <c r="R783" s="5"/>
      <c r="S783" s="5"/>
      <c r="T783" s="5"/>
    </row>
    <row r="784" spans="1:20" ht="18.75" customHeight="1" x14ac:dyDescent="0.25">
      <c r="A784" s="5"/>
      <c r="B784" s="5"/>
      <c r="C784" s="6"/>
      <c r="L784" s="5"/>
      <c r="R784" s="5"/>
      <c r="S784" s="5"/>
      <c r="T784" s="5"/>
    </row>
    <row r="785" spans="1:20" ht="18.75" customHeight="1" x14ac:dyDescent="0.25">
      <c r="A785" s="5"/>
      <c r="B785" s="5"/>
      <c r="C785" s="6"/>
      <c r="L785" s="5"/>
      <c r="R785" s="5"/>
      <c r="S785" s="5"/>
      <c r="T785" s="5"/>
    </row>
    <row r="786" spans="1:20" ht="18.75" customHeight="1" x14ac:dyDescent="0.25">
      <c r="A786" s="5"/>
      <c r="B786" s="5"/>
      <c r="C786" s="6"/>
      <c r="L786" s="5"/>
      <c r="R786" s="5"/>
      <c r="S786" s="5"/>
      <c r="T786" s="5"/>
    </row>
    <row r="787" spans="1:20" ht="18.75" customHeight="1" x14ac:dyDescent="0.25">
      <c r="A787" s="5"/>
      <c r="B787" s="5"/>
      <c r="C787" s="6"/>
      <c r="L787" s="5"/>
      <c r="R787" s="5"/>
      <c r="S787" s="5"/>
      <c r="T787" s="5"/>
    </row>
    <row r="788" spans="1:20" ht="18.75" customHeight="1" x14ac:dyDescent="0.25">
      <c r="A788" s="5"/>
      <c r="B788" s="5"/>
      <c r="C788" s="6"/>
      <c r="L788" s="5"/>
      <c r="R788" s="5"/>
      <c r="S788" s="5"/>
      <c r="T788" s="5"/>
    </row>
    <row r="789" spans="1:20" ht="18.75" customHeight="1" x14ac:dyDescent="0.25">
      <c r="A789" s="5"/>
      <c r="B789" s="5"/>
      <c r="C789" s="6"/>
      <c r="L789" s="5"/>
      <c r="R789" s="5"/>
      <c r="S789" s="5"/>
      <c r="T789" s="5"/>
    </row>
    <row r="790" spans="1:20" ht="18.75" customHeight="1" x14ac:dyDescent="0.25">
      <c r="A790" s="5"/>
      <c r="B790" s="5"/>
      <c r="C790" s="6"/>
      <c r="L790" s="5"/>
      <c r="R790" s="5"/>
      <c r="S790" s="5"/>
      <c r="T790" s="5"/>
    </row>
    <row r="791" spans="1:20" ht="18.75" customHeight="1" x14ac:dyDescent="0.25">
      <c r="A791" s="5"/>
      <c r="B791" s="5"/>
      <c r="C791" s="6"/>
      <c r="L791" s="5"/>
      <c r="R791" s="5"/>
      <c r="S791" s="5"/>
      <c r="T791" s="5"/>
    </row>
    <row r="792" spans="1:20" ht="18.75" customHeight="1" x14ac:dyDescent="0.25">
      <c r="A792" s="5"/>
      <c r="B792" s="5"/>
      <c r="C792" s="6"/>
      <c r="L792" s="5"/>
      <c r="R792" s="5"/>
      <c r="S792" s="5"/>
      <c r="T792" s="5"/>
    </row>
    <row r="793" spans="1:20" ht="18.75" customHeight="1" x14ac:dyDescent="0.25">
      <c r="A793" s="5"/>
      <c r="B793" s="5"/>
      <c r="C793" s="6"/>
      <c r="L793" s="5"/>
      <c r="R793" s="5"/>
      <c r="S793" s="5"/>
      <c r="T793" s="5"/>
    </row>
    <row r="794" spans="1:20" ht="18.75" customHeight="1" x14ac:dyDescent="0.25">
      <c r="A794" s="5"/>
      <c r="B794" s="5"/>
      <c r="C794" s="6"/>
      <c r="L794" s="5"/>
      <c r="R794" s="5"/>
      <c r="S794" s="5"/>
      <c r="T794" s="5"/>
    </row>
    <row r="795" spans="1:20" ht="18.75" customHeight="1" x14ac:dyDescent="0.25">
      <c r="A795" s="5"/>
      <c r="B795" s="5"/>
      <c r="C795" s="6"/>
      <c r="L795" s="5"/>
      <c r="R795" s="5"/>
      <c r="S795" s="5"/>
      <c r="T795" s="5"/>
    </row>
    <row r="796" spans="1:20" ht="18.75" customHeight="1" x14ac:dyDescent="0.25">
      <c r="A796" s="5"/>
      <c r="B796" s="5"/>
      <c r="C796" s="6"/>
      <c r="L796" s="5"/>
      <c r="R796" s="5"/>
      <c r="S796" s="5"/>
      <c r="T796" s="5"/>
    </row>
    <row r="797" spans="1:20" ht="18.75" customHeight="1" x14ac:dyDescent="0.25">
      <c r="A797" s="5"/>
      <c r="B797" s="5"/>
      <c r="C797" s="6"/>
      <c r="L797" s="5"/>
      <c r="R797" s="5"/>
      <c r="S797" s="5"/>
      <c r="T797" s="5"/>
    </row>
    <row r="798" spans="1:20" ht="18.75" customHeight="1" x14ac:dyDescent="0.25">
      <c r="A798" s="5"/>
      <c r="B798" s="5"/>
      <c r="C798" s="6"/>
      <c r="L798" s="5"/>
      <c r="R798" s="5"/>
      <c r="S798" s="5"/>
      <c r="T798" s="5"/>
    </row>
    <row r="799" spans="1:20" ht="18.75" customHeight="1" x14ac:dyDescent="0.25">
      <c r="A799" s="5"/>
      <c r="B799" s="5"/>
      <c r="C799" s="6"/>
      <c r="L799" s="5"/>
      <c r="R799" s="5"/>
      <c r="S799" s="5"/>
      <c r="T799" s="5"/>
    </row>
    <row r="800" spans="1:20" ht="18.75" customHeight="1" x14ac:dyDescent="0.25">
      <c r="A800" s="5"/>
      <c r="B800" s="5"/>
      <c r="C800" s="6"/>
      <c r="L800" s="5"/>
      <c r="R800" s="5"/>
      <c r="S800" s="5"/>
      <c r="T800" s="5"/>
    </row>
    <row r="801" spans="1:20" ht="18.75" customHeight="1" x14ac:dyDescent="0.25">
      <c r="A801" s="5"/>
      <c r="B801" s="5"/>
      <c r="C801" s="6"/>
      <c r="L801" s="5"/>
      <c r="R801" s="5"/>
      <c r="S801" s="5"/>
      <c r="T801" s="5"/>
    </row>
    <row r="802" spans="1:20" ht="18.75" customHeight="1" x14ac:dyDescent="0.25">
      <c r="A802" s="5"/>
      <c r="B802" s="5"/>
      <c r="C802" s="6"/>
      <c r="L802" s="5"/>
      <c r="R802" s="5"/>
      <c r="S802" s="5"/>
      <c r="T802" s="5"/>
    </row>
    <row r="803" spans="1:20" ht="18.75" customHeight="1" x14ac:dyDescent="0.25">
      <c r="A803" s="5"/>
      <c r="B803" s="5"/>
      <c r="C803" s="6"/>
      <c r="L803" s="5"/>
      <c r="R803" s="5"/>
      <c r="S803" s="5"/>
      <c r="T803" s="5"/>
    </row>
    <row r="804" spans="1:20" ht="18.75" customHeight="1" x14ac:dyDescent="0.25">
      <c r="A804" s="5"/>
      <c r="B804" s="5"/>
      <c r="C804" s="6"/>
      <c r="L804" s="5"/>
      <c r="R804" s="5"/>
      <c r="S804" s="5"/>
      <c r="T804" s="5"/>
    </row>
    <row r="805" spans="1:20" ht="18.75" customHeight="1" x14ac:dyDescent="0.25">
      <c r="A805" s="5"/>
      <c r="B805" s="5"/>
      <c r="C805" s="6"/>
      <c r="L805" s="5"/>
      <c r="R805" s="5"/>
      <c r="S805" s="5"/>
      <c r="T805" s="5"/>
    </row>
    <row r="806" spans="1:20" ht="18.75" customHeight="1" x14ac:dyDescent="0.25">
      <c r="A806" s="5"/>
      <c r="B806" s="5"/>
      <c r="C806" s="6"/>
      <c r="L806" s="5"/>
      <c r="R806" s="5"/>
      <c r="S806" s="5"/>
      <c r="T806" s="5"/>
    </row>
    <row r="807" spans="1:20" ht="18.75" customHeight="1" x14ac:dyDescent="0.25">
      <c r="A807" s="5"/>
      <c r="B807" s="5"/>
      <c r="C807" s="6"/>
      <c r="L807" s="5"/>
      <c r="R807" s="5"/>
      <c r="S807" s="5"/>
      <c r="T807" s="5"/>
    </row>
    <row r="808" spans="1:20" ht="18.75" customHeight="1" x14ac:dyDescent="0.25">
      <c r="A808" s="5"/>
      <c r="B808" s="5"/>
      <c r="C808" s="6"/>
      <c r="L808" s="5"/>
      <c r="R808" s="5"/>
      <c r="S808" s="5"/>
      <c r="T808" s="5"/>
    </row>
    <row r="809" spans="1:20" ht="18.75" customHeight="1" x14ac:dyDescent="0.25">
      <c r="A809" s="5"/>
      <c r="B809" s="5"/>
      <c r="C809" s="6"/>
      <c r="L809" s="5"/>
      <c r="R809" s="5"/>
      <c r="S809" s="5"/>
      <c r="T809" s="5"/>
    </row>
    <row r="810" spans="1:20" ht="18.75" customHeight="1" x14ac:dyDescent="0.25">
      <c r="A810" s="5"/>
      <c r="B810" s="5"/>
      <c r="C810" s="6"/>
      <c r="L810" s="5"/>
      <c r="R810" s="5"/>
      <c r="S810" s="5"/>
      <c r="T810" s="5"/>
    </row>
    <row r="811" spans="1:20" ht="18.75" customHeight="1" x14ac:dyDescent="0.25">
      <c r="A811" s="5"/>
      <c r="B811" s="5"/>
      <c r="C811" s="6"/>
      <c r="L811" s="5"/>
      <c r="R811" s="5"/>
      <c r="S811" s="5"/>
      <c r="T811" s="5"/>
    </row>
    <row r="812" spans="1:20" ht="18.75" customHeight="1" x14ac:dyDescent="0.25">
      <c r="A812" s="5"/>
      <c r="B812" s="5"/>
      <c r="C812" s="6"/>
      <c r="L812" s="5"/>
      <c r="R812" s="5"/>
      <c r="S812" s="5"/>
      <c r="T812" s="5"/>
    </row>
    <row r="813" spans="1:20" ht="18.75" customHeight="1" x14ac:dyDescent="0.25">
      <c r="A813" s="5"/>
      <c r="B813" s="5"/>
      <c r="C813" s="6"/>
      <c r="L813" s="5"/>
      <c r="R813" s="5"/>
      <c r="S813" s="5"/>
      <c r="T813" s="5"/>
    </row>
    <row r="814" spans="1:20" ht="18.75" customHeight="1" x14ac:dyDescent="0.25">
      <c r="A814" s="5"/>
      <c r="B814" s="5"/>
      <c r="C814" s="6"/>
      <c r="L814" s="5"/>
      <c r="R814" s="5"/>
      <c r="S814" s="5"/>
      <c r="T814" s="5"/>
    </row>
    <row r="815" spans="1:20" ht="18.75" customHeight="1" x14ac:dyDescent="0.25">
      <c r="A815" s="5"/>
      <c r="B815" s="5"/>
      <c r="C815" s="6"/>
      <c r="L815" s="5"/>
      <c r="R815" s="5"/>
      <c r="S815" s="5"/>
      <c r="T815" s="5"/>
    </row>
    <row r="816" spans="1:20" ht="18.75" customHeight="1" x14ac:dyDescent="0.25">
      <c r="A816" s="5"/>
      <c r="B816" s="5"/>
      <c r="C816" s="6"/>
      <c r="L816" s="5"/>
      <c r="R816" s="5"/>
      <c r="S816" s="5"/>
      <c r="T816" s="5"/>
    </row>
    <row r="817" spans="1:20" ht="18.75" customHeight="1" x14ac:dyDescent="0.25">
      <c r="A817" s="5"/>
      <c r="B817" s="5"/>
      <c r="C817" s="6"/>
      <c r="L817" s="5"/>
      <c r="R817" s="5"/>
      <c r="S817" s="5"/>
      <c r="T817" s="5"/>
    </row>
    <row r="818" spans="1:20" ht="18.75" customHeight="1" x14ac:dyDescent="0.25">
      <c r="A818" s="5"/>
      <c r="B818" s="5"/>
      <c r="C818" s="6"/>
      <c r="L818" s="5"/>
      <c r="R818" s="5"/>
      <c r="S818" s="5"/>
      <c r="T818" s="5"/>
    </row>
    <row r="819" spans="1:20" ht="18.75" customHeight="1" x14ac:dyDescent="0.25">
      <c r="A819" s="5"/>
      <c r="B819" s="5"/>
      <c r="C819" s="6"/>
      <c r="L819" s="5"/>
      <c r="R819" s="5"/>
      <c r="S819" s="5"/>
      <c r="T819" s="5"/>
    </row>
    <row r="820" spans="1:20" ht="18.75" customHeight="1" x14ac:dyDescent="0.25">
      <c r="A820" s="5"/>
      <c r="B820" s="5"/>
      <c r="C820" s="6"/>
      <c r="L820" s="5"/>
      <c r="R820" s="5"/>
      <c r="S820" s="5"/>
      <c r="T820" s="5"/>
    </row>
    <row r="821" spans="1:20" ht="18.75" customHeight="1" x14ac:dyDescent="0.25">
      <c r="A821" s="5"/>
      <c r="B821" s="5"/>
      <c r="C821" s="6"/>
      <c r="L821" s="5"/>
      <c r="R821" s="5"/>
      <c r="S821" s="5"/>
      <c r="T821" s="5"/>
    </row>
    <row r="822" spans="1:20" ht="18.75" customHeight="1" x14ac:dyDescent="0.25">
      <c r="A822" s="5"/>
      <c r="B822" s="5"/>
      <c r="C822" s="6"/>
      <c r="L822" s="5"/>
      <c r="R822" s="5"/>
      <c r="S822" s="5"/>
      <c r="T822" s="5"/>
    </row>
    <row r="823" spans="1:20" ht="18.75" customHeight="1" x14ac:dyDescent="0.25">
      <c r="A823" s="5"/>
      <c r="B823" s="5"/>
      <c r="C823" s="6"/>
      <c r="L823" s="5"/>
      <c r="R823" s="5"/>
      <c r="S823" s="5"/>
      <c r="T823" s="5"/>
    </row>
    <row r="824" spans="1:20" ht="18.75" customHeight="1" x14ac:dyDescent="0.25">
      <c r="A824" s="5"/>
      <c r="B824" s="5"/>
      <c r="C824" s="6"/>
      <c r="L824" s="5"/>
      <c r="R824" s="5"/>
      <c r="S824" s="5"/>
      <c r="T824" s="5"/>
    </row>
    <row r="825" spans="1:20" ht="18.75" customHeight="1" x14ac:dyDescent="0.25">
      <c r="A825" s="5"/>
      <c r="B825" s="5"/>
      <c r="C825" s="6"/>
      <c r="L825" s="5"/>
      <c r="R825" s="5"/>
      <c r="S825" s="5"/>
      <c r="T825" s="5"/>
    </row>
    <row r="826" spans="1:20" ht="18.75" customHeight="1" x14ac:dyDescent="0.25">
      <c r="A826" s="5"/>
      <c r="B826" s="5"/>
      <c r="C826" s="6"/>
      <c r="L826" s="5"/>
      <c r="R826" s="5"/>
      <c r="S826" s="5"/>
      <c r="T826" s="5"/>
    </row>
    <row r="827" spans="1:20" ht="18.75" customHeight="1" x14ac:dyDescent="0.25">
      <c r="A827" s="5"/>
      <c r="B827" s="5"/>
      <c r="C827" s="6"/>
      <c r="L827" s="5"/>
      <c r="R827" s="5"/>
      <c r="S827" s="5"/>
      <c r="T827" s="5"/>
    </row>
    <row r="828" spans="1:20" ht="18.75" customHeight="1" x14ac:dyDescent="0.25">
      <c r="A828" s="5"/>
      <c r="B828" s="5"/>
      <c r="C828" s="6"/>
      <c r="L828" s="5"/>
      <c r="R828" s="5"/>
      <c r="S828" s="5"/>
      <c r="T828" s="5"/>
    </row>
    <row r="829" spans="1:20" ht="18.75" customHeight="1" x14ac:dyDescent="0.25">
      <c r="A829" s="5"/>
      <c r="B829" s="5"/>
      <c r="C829" s="6"/>
      <c r="L829" s="5"/>
      <c r="R829" s="5"/>
      <c r="S829" s="5"/>
      <c r="T829" s="5"/>
    </row>
    <row r="830" spans="1:20" ht="18.75" customHeight="1" x14ac:dyDescent="0.25">
      <c r="A830" s="5"/>
      <c r="B830" s="5"/>
      <c r="C830" s="6"/>
      <c r="L830" s="5"/>
      <c r="R830" s="5"/>
      <c r="S830" s="5"/>
      <c r="T830" s="5"/>
    </row>
    <row r="831" spans="1:20" ht="18.75" customHeight="1" x14ac:dyDescent="0.25">
      <c r="A831" s="5"/>
      <c r="B831" s="5"/>
      <c r="C831" s="6"/>
      <c r="L831" s="5"/>
      <c r="R831" s="5"/>
      <c r="S831" s="5"/>
      <c r="T831" s="5"/>
    </row>
    <row r="832" spans="1:20" ht="18.75" customHeight="1" x14ac:dyDescent="0.25">
      <c r="A832" s="5"/>
      <c r="B832" s="5"/>
      <c r="C832" s="6"/>
      <c r="L832" s="5"/>
      <c r="R832" s="5"/>
      <c r="S832" s="5"/>
      <c r="T832" s="5"/>
    </row>
    <row r="833" spans="1:20" ht="18.75" customHeight="1" x14ac:dyDescent="0.25">
      <c r="A833" s="5"/>
      <c r="B833" s="5"/>
      <c r="C833" s="6"/>
      <c r="L833" s="5"/>
      <c r="R833" s="5"/>
      <c r="S833" s="5"/>
      <c r="T833" s="5"/>
    </row>
    <row r="834" spans="1:20" ht="18.75" customHeight="1" x14ac:dyDescent="0.25">
      <c r="A834" s="5"/>
      <c r="B834" s="5"/>
      <c r="C834" s="6"/>
      <c r="L834" s="5"/>
      <c r="R834" s="5"/>
      <c r="S834" s="5"/>
      <c r="T834" s="5"/>
    </row>
    <row r="835" spans="1:20" ht="18.75" customHeight="1" x14ac:dyDescent="0.25">
      <c r="A835" s="5"/>
      <c r="B835" s="5"/>
      <c r="C835" s="6"/>
      <c r="L835" s="5"/>
      <c r="R835" s="5"/>
      <c r="S835" s="5"/>
      <c r="T835" s="5"/>
    </row>
    <row r="836" spans="1:20" ht="18.75" customHeight="1" x14ac:dyDescent="0.25">
      <c r="A836" s="5"/>
      <c r="B836" s="5"/>
      <c r="C836" s="6"/>
      <c r="L836" s="5"/>
      <c r="R836" s="5"/>
      <c r="S836" s="5"/>
      <c r="T836" s="5"/>
    </row>
    <row r="837" spans="1:20" ht="18.75" customHeight="1" x14ac:dyDescent="0.25">
      <c r="A837" s="5"/>
      <c r="B837" s="5"/>
      <c r="C837" s="6"/>
      <c r="L837" s="5"/>
      <c r="R837" s="5"/>
      <c r="S837" s="5"/>
      <c r="T837" s="5"/>
    </row>
    <row r="838" spans="1:20" ht="18.75" customHeight="1" x14ac:dyDescent="0.25">
      <c r="A838" s="5"/>
      <c r="B838" s="5"/>
      <c r="C838" s="6"/>
      <c r="L838" s="5"/>
      <c r="R838" s="5"/>
      <c r="S838" s="5"/>
      <c r="T838" s="5"/>
    </row>
    <row r="839" spans="1:20" ht="18.75" customHeight="1" x14ac:dyDescent="0.25">
      <c r="A839" s="5"/>
      <c r="B839" s="5"/>
      <c r="C839" s="6"/>
      <c r="L839" s="5"/>
      <c r="R839" s="5"/>
      <c r="S839" s="5"/>
      <c r="T839" s="5"/>
    </row>
    <row r="840" spans="1:20" ht="18.75" customHeight="1" x14ac:dyDescent="0.25">
      <c r="A840" s="5"/>
      <c r="B840" s="5"/>
      <c r="C840" s="6"/>
      <c r="L840" s="5"/>
      <c r="R840" s="5"/>
      <c r="S840" s="5"/>
      <c r="T840" s="5"/>
    </row>
    <row r="841" spans="1:20" ht="18.75" customHeight="1" x14ac:dyDescent="0.25">
      <c r="A841" s="5"/>
      <c r="B841" s="5"/>
      <c r="C841" s="6"/>
      <c r="L841" s="5"/>
      <c r="R841" s="5"/>
      <c r="S841" s="5"/>
      <c r="T841" s="5"/>
    </row>
    <row r="842" spans="1:20" ht="18.75" customHeight="1" x14ac:dyDescent="0.25">
      <c r="A842" s="5"/>
      <c r="B842" s="5"/>
      <c r="C842" s="6"/>
      <c r="L842" s="5"/>
      <c r="R842" s="5"/>
      <c r="S842" s="5"/>
      <c r="T842" s="5"/>
    </row>
    <row r="843" spans="1:20" ht="18.75" customHeight="1" x14ac:dyDescent="0.25">
      <c r="A843" s="5"/>
      <c r="B843" s="5"/>
      <c r="C843" s="6"/>
      <c r="L843" s="5"/>
      <c r="R843" s="5"/>
      <c r="S843" s="5"/>
      <c r="T843" s="5"/>
    </row>
    <row r="844" spans="1:20" ht="18.75" customHeight="1" x14ac:dyDescent="0.25">
      <c r="A844" s="5"/>
      <c r="B844" s="5"/>
      <c r="C844" s="6"/>
      <c r="L844" s="5"/>
      <c r="R844" s="5"/>
      <c r="S844" s="5"/>
      <c r="T844" s="5"/>
    </row>
    <row r="845" spans="1:20" ht="18.75" customHeight="1" x14ac:dyDescent="0.25">
      <c r="A845" s="5"/>
      <c r="B845" s="5"/>
      <c r="C845" s="6"/>
      <c r="L845" s="5"/>
      <c r="R845" s="5"/>
      <c r="S845" s="5"/>
      <c r="T845" s="5"/>
    </row>
    <row r="846" spans="1:20" ht="18.75" customHeight="1" x14ac:dyDescent="0.25">
      <c r="A846" s="5"/>
      <c r="B846" s="5"/>
      <c r="C846" s="6"/>
      <c r="L846" s="5"/>
      <c r="R846" s="5"/>
      <c r="S846" s="5"/>
      <c r="T846" s="5"/>
    </row>
    <row r="847" spans="1:20" ht="18.75" customHeight="1" x14ac:dyDescent="0.25">
      <c r="A847" s="5"/>
      <c r="B847" s="5"/>
      <c r="C847" s="6"/>
      <c r="L847" s="5"/>
      <c r="R847" s="5"/>
      <c r="S847" s="5"/>
      <c r="T847" s="5"/>
    </row>
    <row r="848" spans="1:20" ht="18.75" customHeight="1" x14ac:dyDescent="0.25">
      <c r="A848" s="5"/>
      <c r="B848" s="5"/>
      <c r="C848" s="6"/>
      <c r="L848" s="5"/>
      <c r="R848" s="5"/>
      <c r="S848" s="5"/>
      <c r="T848" s="5"/>
    </row>
    <row r="849" spans="1:20" ht="18.75" customHeight="1" x14ac:dyDescent="0.25">
      <c r="A849" s="5"/>
      <c r="B849" s="5"/>
      <c r="C849" s="6"/>
      <c r="L849" s="5"/>
      <c r="R849" s="5"/>
      <c r="S849" s="5"/>
      <c r="T849" s="5"/>
    </row>
    <row r="850" spans="1:20" ht="18.75" customHeight="1" x14ac:dyDescent="0.25">
      <c r="A850" s="5"/>
      <c r="B850" s="5"/>
      <c r="C850" s="6"/>
      <c r="L850" s="5"/>
      <c r="R850" s="5"/>
      <c r="S850" s="5"/>
      <c r="T850" s="5"/>
    </row>
    <row r="851" spans="1:20" ht="18.75" customHeight="1" x14ac:dyDescent="0.25">
      <c r="A851" s="5"/>
      <c r="B851" s="5"/>
      <c r="C851" s="6"/>
      <c r="L851" s="5"/>
      <c r="R851" s="5"/>
      <c r="S851" s="5"/>
      <c r="T851" s="5"/>
    </row>
    <row r="852" spans="1:20" ht="18.75" customHeight="1" x14ac:dyDescent="0.25">
      <c r="A852" s="5"/>
      <c r="B852" s="5"/>
      <c r="C852" s="6"/>
      <c r="L852" s="5"/>
      <c r="R852" s="5"/>
      <c r="S852" s="5"/>
      <c r="T852" s="5"/>
    </row>
    <row r="853" spans="1:20" ht="18.75" customHeight="1" x14ac:dyDescent="0.25">
      <c r="A853" s="5"/>
      <c r="B853" s="5"/>
      <c r="C853" s="6"/>
      <c r="L853" s="5"/>
      <c r="R853" s="5"/>
      <c r="S853" s="5"/>
      <c r="T853" s="5"/>
    </row>
    <row r="854" spans="1:20" ht="18.75" customHeight="1" x14ac:dyDescent="0.25">
      <c r="A854" s="5"/>
      <c r="B854" s="5"/>
      <c r="C854" s="6"/>
      <c r="L854" s="5"/>
      <c r="R854" s="5"/>
      <c r="S854" s="5"/>
      <c r="T854" s="5"/>
    </row>
    <row r="855" spans="1:20" ht="18.75" customHeight="1" x14ac:dyDescent="0.25">
      <c r="A855" s="5"/>
      <c r="B855" s="5"/>
      <c r="C855" s="6"/>
      <c r="L855" s="5"/>
      <c r="R855" s="5"/>
      <c r="S855" s="5"/>
      <c r="T855" s="5"/>
    </row>
    <row r="856" spans="1:20" ht="18.75" customHeight="1" x14ac:dyDescent="0.25">
      <c r="A856" s="5"/>
      <c r="B856" s="5"/>
      <c r="C856" s="6"/>
      <c r="L856" s="5"/>
      <c r="R856" s="5"/>
      <c r="S856" s="5"/>
      <c r="T856" s="5"/>
    </row>
    <row r="857" spans="1:20" ht="18.75" customHeight="1" x14ac:dyDescent="0.25">
      <c r="A857" s="5"/>
      <c r="B857" s="5"/>
      <c r="C857" s="6"/>
      <c r="L857" s="5"/>
      <c r="R857" s="5"/>
      <c r="S857" s="5"/>
      <c r="T857" s="5"/>
    </row>
    <row r="858" spans="1:20" ht="18.75" customHeight="1" x14ac:dyDescent="0.25">
      <c r="A858" s="5"/>
      <c r="B858" s="5"/>
      <c r="C858" s="6"/>
      <c r="L858" s="5"/>
      <c r="R858" s="5"/>
      <c r="S858" s="5"/>
      <c r="T858" s="5"/>
    </row>
    <row r="859" spans="1:20" ht="18.75" customHeight="1" x14ac:dyDescent="0.25">
      <c r="A859" s="5"/>
      <c r="B859" s="5"/>
      <c r="C859" s="6"/>
      <c r="L859" s="5"/>
      <c r="R859" s="5"/>
      <c r="S859" s="5"/>
      <c r="T859" s="5"/>
    </row>
    <row r="860" spans="1:20" ht="18.75" customHeight="1" x14ac:dyDescent="0.25">
      <c r="A860" s="5"/>
      <c r="B860" s="5"/>
      <c r="C860" s="6"/>
      <c r="L860" s="5"/>
      <c r="R860" s="5"/>
      <c r="S860" s="5"/>
      <c r="T860" s="5"/>
    </row>
    <row r="861" spans="1:20" ht="18.75" customHeight="1" x14ac:dyDescent="0.25">
      <c r="A861" s="5"/>
      <c r="B861" s="5"/>
      <c r="C861" s="6"/>
      <c r="L861" s="5"/>
      <c r="R861" s="5"/>
      <c r="S861" s="5"/>
      <c r="T861" s="5"/>
    </row>
    <row r="862" spans="1:20" ht="18.75" customHeight="1" x14ac:dyDescent="0.25">
      <c r="A862" s="5"/>
      <c r="B862" s="5"/>
      <c r="C862" s="6"/>
      <c r="L862" s="5"/>
      <c r="R862" s="5"/>
      <c r="S862" s="5"/>
      <c r="T862" s="5"/>
    </row>
    <row r="863" spans="1:20" ht="18.75" customHeight="1" x14ac:dyDescent="0.25">
      <c r="A863" s="5"/>
      <c r="B863" s="5"/>
      <c r="C863" s="6"/>
      <c r="L863" s="5"/>
      <c r="R863" s="5"/>
      <c r="S863" s="5"/>
      <c r="T863" s="5"/>
    </row>
    <row r="864" spans="1:20" ht="18.75" customHeight="1" x14ac:dyDescent="0.25">
      <c r="A864" s="5"/>
      <c r="B864" s="5"/>
      <c r="C864" s="6"/>
      <c r="L864" s="5"/>
      <c r="R864" s="5"/>
      <c r="S864" s="5"/>
      <c r="T864" s="5"/>
    </row>
    <row r="865" spans="1:20" ht="18.75" customHeight="1" x14ac:dyDescent="0.25">
      <c r="A865" s="5"/>
      <c r="B865" s="5"/>
      <c r="C865" s="6"/>
      <c r="L865" s="5"/>
      <c r="R865" s="5"/>
      <c r="S865" s="5"/>
      <c r="T865" s="5"/>
    </row>
    <row r="866" spans="1:20" ht="18.75" customHeight="1" x14ac:dyDescent="0.25">
      <c r="A866" s="5"/>
      <c r="B866" s="5"/>
      <c r="C866" s="6"/>
      <c r="L866" s="5"/>
      <c r="R866" s="5"/>
      <c r="S866" s="5"/>
      <c r="T866" s="5"/>
    </row>
    <row r="867" spans="1:20" ht="18.75" customHeight="1" x14ac:dyDescent="0.25">
      <c r="A867" s="5"/>
      <c r="B867" s="5"/>
      <c r="C867" s="6"/>
      <c r="L867" s="5"/>
      <c r="R867" s="5"/>
      <c r="S867" s="5"/>
      <c r="T867" s="5"/>
    </row>
    <row r="868" spans="1:20" ht="18.75" customHeight="1" x14ac:dyDescent="0.25">
      <c r="A868" s="5"/>
      <c r="B868" s="5"/>
      <c r="C868" s="6"/>
      <c r="L868" s="5"/>
      <c r="R868" s="5"/>
      <c r="S868" s="5"/>
      <c r="T868" s="5"/>
    </row>
    <row r="869" spans="1:20" ht="18.75" customHeight="1" x14ac:dyDescent="0.25">
      <c r="A869" s="5"/>
      <c r="B869" s="5"/>
      <c r="C869" s="6"/>
      <c r="L869" s="5"/>
      <c r="R869" s="5"/>
      <c r="S869" s="5"/>
      <c r="T869" s="5"/>
    </row>
    <row r="870" spans="1:20" ht="18.75" customHeight="1" x14ac:dyDescent="0.25">
      <c r="A870" s="5"/>
      <c r="B870" s="5"/>
      <c r="C870" s="6"/>
      <c r="L870" s="5"/>
      <c r="R870" s="5"/>
      <c r="S870" s="5"/>
      <c r="T870" s="5"/>
    </row>
    <row r="871" spans="1:20" ht="18.75" customHeight="1" x14ac:dyDescent="0.25">
      <c r="A871" s="5"/>
      <c r="B871" s="5"/>
      <c r="C871" s="6"/>
      <c r="L871" s="5"/>
      <c r="R871" s="5"/>
      <c r="S871" s="5"/>
      <c r="T871" s="5"/>
    </row>
    <row r="872" spans="1:20" ht="18.75" customHeight="1" x14ac:dyDescent="0.25">
      <c r="A872" s="5"/>
      <c r="B872" s="5"/>
      <c r="C872" s="6"/>
      <c r="L872" s="5"/>
      <c r="R872" s="5"/>
      <c r="S872" s="5"/>
      <c r="T872" s="5"/>
    </row>
    <row r="873" spans="1:20" ht="18.75" customHeight="1" x14ac:dyDescent="0.25">
      <c r="A873" s="5"/>
      <c r="B873" s="5"/>
      <c r="C873" s="6"/>
      <c r="L873" s="5"/>
      <c r="R873" s="5"/>
      <c r="S873" s="5"/>
      <c r="T873" s="5"/>
    </row>
    <row r="874" spans="1:20" ht="18.75" customHeight="1" x14ac:dyDescent="0.25">
      <c r="A874" s="5"/>
      <c r="B874" s="5"/>
      <c r="C874" s="6"/>
      <c r="L874" s="5"/>
      <c r="R874" s="5"/>
      <c r="S874" s="5"/>
      <c r="T874" s="5"/>
    </row>
    <row r="875" spans="1:20" ht="18.75" customHeight="1" x14ac:dyDescent="0.25">
      <c r="A875" s="5"/>
      <c r="B875" s="5"/>
      <c r="C875" s="6"/>
      <c r="L875" s="5"/>
      <c r="R875" s="5"/>
      <c r="S875" s="5"/>
      <c r="T875" s="5"/>
    </row>
    <row r="876" spans="1:20" ht="18.75" customHeight="1" x14ac:dyDescent="0.25">
      <c r="A876" s="5"/>
      <c r="B876" s="5"/>
      <c r="C876" s="6"/>
      <c r="L876" s="5"/>
      <c r="R876" s="5"/>
      <c r="S876" s="5"/>
      <c r="T876" s="5"/>
    </row>
    <row r="877" spans="1:20" ht="18.75" customHeight="1" x14ac:dyDescent="0.25">
      <c r="A877" s="5"/>
      <c r="B877" s="5"/>
      <c r="C877" s="6"/>
      <c r="L877" s="5"/>
      <c r="R877" s="5"/>
      <c r="S877" s="5"/>
      <c r="T877" s="5"/>
    </row>
    <row r="878" spans="1:20" ht="18.75" customHeight="1" x14ac:dyDescent="0.25">
      <c r="A878" s="5"/>
      <c r="B878" s="5"/>
      <c r="C878" s="6"/>
      <c r="L878" s="5"/>
      <c r="R878" s="5"/>
      <c r="S878" s="5"/>
      <c r="T878" s="5"/>
    </row>
    <row r="879" spans="1:20" ht="18.75" customHeight="1" x14ac:dyDescent="0.25">
      <c r="A879" s="5"/>
      <c r="B879" s="5"/>
      <c r="C879" s="6"/>
      <c r="L879" s="5"/>
      <c r="R879" s="5"/>
      <c r="S879" s="5"/>
      <c r="T879" s="5"/>
    </row>
    <row r="880" spans="1:20" ht="18.75" customHeight="1" x14ac:dyDescent="0.25">
      <c r="A880" s="5"/>
      <c r="B880" s="5"/>
      <c r="C880" s="6"/>
      <c r="L880" s="5"/>
      <c r="R880" s="5"/>
      <c r="S880" s="5"/>
      <c r="T880" s="5"/>
    </row>
    <row r="881" spans="1:20" ht="18.75" customHeight="1" x14ac:dyDescent="0.25">
      <c r="A881" s="5"/>
      <c r="B881" s="5"/>
      <c r="C881" s="6"/>
      <c r="L881" s="5"/>
      <c r="R881" s="5"/>
      <c r="S881" s="5"/>
      <c r="T881" s="5"/>
    </row>
    <row r="882" spans="1:20" ht="18.75" customHeight="1" x14ac:dyDescent="0.25">
      <c r="A882" s="5"/>
      <c r="B882" s="5"/>
      <c r="C882" s="6"/>
      <c r="L882" s="5"/>
      <c r="R882" s="5"/>
      <c r="S882" s="5"/>
      <c r="T882" s="5"/>
    </row>
    <row r="883" spans="1:20" ht="18.75" customHeight="1" x14ac:dyDescent="0.25">
      <c r="A883" s="5"/>
      <c r="B883" s="5"/>
      <c r="C883" s="6"/>
      <c r="L883" s="5"/>
      <c r="R883" s="5"/>
      <c r="S883" s="5"/>
      <c r="T883" s="5"/>
    </row>
    <row r="884" spans="1:20" ht="18.75" customHeight="1" x14ac:dyDescent="0.25">
      <c r="A884" s="5"/>
      <c r="B884" s="5"/>
      <c r="C884" s="6"/>
      <c r="L884" s="5"/>
      <c r="R884" s="5"/>
      <c r="S884" s="5"/>
      <c r="T884" s="5"/>
    </row>
    <row r="885" spans="1:20" ht="18.75" customHeight="1" x14ac:dyDescent="0.25">
      <c r="A885" s="5"/>
      <c r="B885" s="5"/>
      <c r="C885" s="6"/>
      <c r="L885" s="5"/>
      <c r="R885" s="5"/>
      <c r="S885" s="5"/>
      <c r="T885" s="5"/>
    </row>
    <row r="886" spans="1:20" ht="18.75" customHeight="1" x14ac:dyDescent="0.25">
      <c r="A886" s="5"/>
      <c r="B886" s="5"/>
      <c r="C886" s="6"/>
      <c r="L886" s="5"/>
      <c r="R886" s="5"/>
      <c r="S886" s="5"/>
      <c r="T886" s="5"/>
    </row>
    <row r="887" spans="1:20" ht="18.75" customHeight="1" x14ac:dyDescent="0.25">
      <c r="A887" s="5"/>
      <c r="B887" s="5"/>
      <c r="C887" s="6"/>
      <c r="L887" s="5"/>
      <c r="R887" s="5"/>
      <c r="S887" s="5"/>
      <c r="T887" s="5"/>
    </row>
    <row r="888" spans="1:20" ht="18.75" customHeight="1" x14ac:dyDescent="0.25">
      <c r="A888" s="5"/>
      <c r="B888" s="5"/>
      <c r="C888" s="6"/>
      <c r="L888" s="5"/>
      <c r="R888" s="5"/>
      <c r="S888" s="5"/>
      <c r="T888" s="5"/>
    </row>
    <row r="889" spans="1:20" ht="18.75" customHeight="1" x14ac:dyDescent="0.25">
      <c r="A889" s="5"/>
      <c r="B889" s="5"/>
      <c r="C889" s="6"/>
      <c r="L889" s="5"/>
      <c r="R889" s="5"/>
      <c r="S889" s="5"/>
      <c r="T889" s="5"/>
    </row>
    <row r="890" spans="1:20" ht="18.75" customHeight="1" x14ac:dyDescent="0.25">
      <c r="A890" s="5"/>
      <c r="B890" s="5"/>
      <c r="C890" s="6"/>
      <c r="L890" s="5"/>
      <c r="R890" s="5"/>
      <c r="S890" s="5"/>
      <c r="T890" s="5"/>
    </row>
    <row r="891" spans="1:20" ht="18.75" customHeight="1" x14ac:dyDescent="0.25">
      <c r="A891" s="5"/>
      <c r="B891" s="5"/>
      <c r="C891" s="6"/>
      <c r="L891" s="5"/>
      <c r="R891" s="5"/>
      <c r="S891" s="5"/>
      <c r="T891" s="5"/>
    </row>
    <row r="892" spans="1:20" ht="18.75" customHeight="1" x14ac:dyDescent="0.25">
      <c r="A892" s="5"/>
      <c r="B892" s="5"/>
      <c r="C892" s="6"/>
      <c r="L892" s="5"/>
      <c r="R892" s="5"/>
      <c r="S892" s="5"/>
      <c r="T892" s="5"/>
    </row>
    <row r="893" spans="1:20" ht="18.75" customHeight="1" x14ac:dyDescent="0.25">
      <c r="A893" s="5"/>
      <c r="B893" s="5"/>
      <c r="C893" s="6"/>
      <c r="L893" s="5"/>
      <c r="R893" s="5"/>
      <c r="S893" s="5"/>
      <c r="T893" s="5"/>
    </row>
    <row r="894" spans="1:20" ht="18.75" customHeight="1" x14ac:dyDescent="0.25">
      <c r="A894" s="5"/>
      <c r="B894" s="5"/>
      <c r="C894" s="6"/>
      <c r="L894" s="5"/>
      <c r="R894" s="5"/>
      <c r="S894" s="5"/>
      <c r="T894" s="5"/>
    </row>
    <row r="895" spans="1:20" ht="18.75" customHeight="1" x14ac:dyDescent="0.25">
      <c r="A895" s="5"/>
      <c r="B895" s="5"/>
      <c r="C895" s="6"/>
      <c r="L895" s="5"/>
      <c r="R895" s="5"/>
      <c r="S895" s="5"/>
      <c r="T895" s="5"/>
    </row>
    <row r="896" spans="1:20" ht="18.75" customHeight="1" x14ac:dyDescent="0.25">
      <c r="A896" s="5"/>
      <c r="B896" s="5"/>
      <c r="C896" s="6"/>
      <c r="L896" s="5"/>
      <c r="R896" s="5"/>
      <c r="S896" s="5"/>
      <c r="T896" s="5"/>
    </row>
    <row r="897" spans="1:20" ht="18.75" customHeight="1" x14ac:dyDescent="0.25">
      <c r="A897" s="5"/>
      <c r="B897" s="5"/>
      <c r="C897" s="6"/>
      <c r="L897" s="5"/>
      <c r="R897" s="5"/>
      <c r="S897" s="5"/>
      <c r="T897" s="5"/>
    </row>
    <row r="898" spans="1:20" ht="18.75" customHeight="1" x14ac:dyDescent="0.25">
      <c r="A898" s="5"/>
      <c r="B898" s="5"/>
      <c r="C898" s="6"/>
      <c r="L898" s="5"/>
      <c r="R898" s="5"/>
      <c r="S898" s="5"/>
      <c r="T898" s="5"/>
    </row>
    <row r="899" spans="1:20" ht="18.75" customHeight="1" x14ac:dyDescent="0.25">
      <c r="A899" s="5"/>
      <c r="B899" s="5"/>
      <c r="C899" s="6"/>
      <c r="L899" s="5"/>
      <c r="R899" s="5"/>
      <c r="S899" s="5"/>
      <c r="T899" s="5"/>
    </row>
    <row r="900" spans="1:20" ht="18.75" customHeight="1" x14ac:dyDescent="0.25">
      <c r="A900" s="5"/>
      <c r="B900" s="5"/>
      <c r="C900" s="6"/>
      <c r="L900" s="5"/>
      <c r="R900" s="5"/>
      <c r="S900" s="5"/>
      <c r="T900" s="5"/>
    </row>
    <row r="901" spans="1:20" ht="18.75" customHeight="1" x14ac:dyDescent="0.25">
      <c r="A901" s="5"/>
      <c r="B901" s="5"/>
      <c r="C901" s="6"/>
      <c r="L901" s="5"/>
      <c r="R901" s="5"/>
      <c r="S901" s="5"/>
      <c r="T901" s="5"/>
    </row>
    <row r="902" spans="1:20" ht="18.75" customHeight="1" x14ac:dyDescent="0.25">
      <c r="A902" s="5"/>
      <c r="B902" s="5"/>
      <c r="C902" s="6"/>
      <c r="L902" s="5"/>
      <c r="R902" s="5"/>
      <c r="S902" s="5"/>
      <c r="T902" s="5"/>
    </row>
    <row r="903" spans="1:20" ht="18.75" customHeight="1" x14ac:dyDescent="0.25">
      <c r="A903" s="5"/>
      <c r="B903" s="5"/>
      <c r="C903" s="6"/>
      <c r="L903" s="5"/>
      <c r="R903" s="5"/>
      <c r="S903" s="5"/>
      <c r="T903" s="5"/>
    </row>
    <row r="904" spans="1:20" ht="18.75" customHeight="1" x14ac:dyDescent="0.25">
      <c r="A904" s="5"/>
      <c r="B904" s="5"/>
      <c r="C904" s="6"/>
      <c r="L904" s="5"/>
      <c r="R904" s="5"/>
      <c r="S904" s="5"/>
      <c r="T904" s="5"/>
    </row>
    <row r="905" spans="1:20" ht="18.75" customHeight="1" x14ac:dyDescent="0.25">
      <c r="A905" s="5"/>
      <c r="B905" s="5"/>
      <c r="C905" s="6"/>
      <c r="L905" s="5"/>
      <c r="R905" s="5"/>
      <c r="S905" s="5"/>
      <c r="T905" s="5"/>
    </row>
    <row r="906" spans="1:20" ht="18.75" customHeight="1" x14ac:dyDescent="0.25">
      <c r="A906" s="5"/>
      <c r="B906" s="5"/>
      <c r="C906" s="6"/>
      <c r="L906" s="5"/>
      <c r="R906" s="5"/>
      <c r="S906" s="5"/>
      <c r="T906" s="5"/>
    </row>
    <row r="907" spans="1:20" ht="18.75" customHeight="1" x14ac:dyDescent="0.25">
      <c r="A907" s="5"/>
      <c r="B907" s="5"/>
      <c r="C907" s="6"/>
      <c r="L907" s="5"/>
      <c r="R907" s="5"/>
      <c r="S907" s="5"/>
      <c r="T907" s="5"/>
    </row>
    <row r="908" spans="1:20" ht="18.75" customHeight="1" x14ac:dyDescent="0.25">
      <c r="A908" s="5"/>
      <c r="B908" s="5"/>
      <c r="C908" s="6"/>
      <c r="L908" s="5"/>
      <c r="R908" s="5"/>
      <c r="S908" s="5"/>
      <c r="T908" s="5"/>
    </row>
    <row r="909" spans="1:20" ht="18.75" customHeight="1" x14ac:dyDescent="0.25">
      <c r="A909" s="5"/>
      <c r="B909" s="5"/>
      <c r="C909" s="6"/>
      <c r="L909" s="5"/>
      <c r="R909" s="5"/>
      <c r="S909" s="5"/>
      <c r="T909" s="5"/>
    </row>
    <row r="910" spans="1:20" ht="18.75" customHeight="1" x14ac:dyDescent="0.25">
      <c r="A910" s="5"/>
      <c r="B910" s="5"/>
      <c r="C910" s="6"/>
      <c r="L910" s="5"/>
      <c r="R910" s="5"/>
      <c r="S910" s="5"/>
      <c r="T910" s="5"/>
    </row>
    <row r="911" spans="1:20" ht="18.75" customHeight="1" x14ac:dyDescent="0.25">
      <c r="A911" s="5"/>
      <c r="B911" s="5"/>
      <c r="C911" s="6"/>
      <c r="L911" s="5"/>
      <c r="R911" s="5"/>
      <c r="S911" s="5"/>
      <c r="T911" s="5"/>
    </row>
    <row r="912" spans="1:20" ht="18.75" customHeight="1" x14ac:dyDescent="0.25">
      <c r="A912" s="5"/>
      <c r="B912" s="5"/>
      <c r="C912" s="6"/>
      <c r="L912" s="5"/>
      <c r="R912" s="5"/>
      <c r="S912" s="5"/>
      <c r="T912" s="5"/>
    </row>
    <row r="913" spans="1:20" ht="18.75" customHeight="1" x14ac:dyDescent="0.25">
      <c r="A913" s="5"/>
      <c r="B913" s="5"/>
      <c r="C913" s="6"/>
      <c r="L913" s="5"/>
      <c r="R913" s="5"/>
      <c r="S913" s="5"/>
      <c r="T913" s="5"/>
    </row>
    <row r="914" spans="1:20" ht="18.75" customHeight="1" x14ac:dyDescent="0.25">
      <c r="A914" s="5"/>
      <c r="B914" s="5"/>
      <c r="C914" s="6"/>
      <c r="L914" s="5"/>
      <c r="R914" s="5"/>
      <c r="S914" s="5"/>
      <c r="T914" s="5"/>
    </row>
    <row r="915" spans="1:20" ht="18.75" customHeight="1" x14ac:dyDescent="0.25">
      <c r="A915" s="5"/>
      <c r="B915" s="5"/>
      <c r="C915" s="6"/>
      <c r="L915" s="5"/>
      <c r="R915" s="5"/>
      <c r="S915" s="5"/>
      <c r="T915" s="5"/>
    </row>
    <row r="916" spans="1:20" ht="18.75" customHeight="1" x14ac:dyDescent="0.25">
      <c r="A916" s="5"/>
      <c r="B916" s="5"/>
      <c r="C916" s="6"/>
      <c r="L916" s="5"/>
      <c r="R916" s="5"/>
      <c r="S916" s="5"/>
      <c r="T916" s="5"/>
    </row>
    <row r="917" spans="1:20" ht="18.75" customHeight="1" x14ac:dyDescent="0.25">
      <c r="A917" s="5"/>
      <c r="B917" s="5"/>
      <c r="C917" s="6"/>
      <c r="L917" s="5"/>
      <c r="R917" s="5"/>
      <c r="S917" s="5"/>
      <c r="T917" s="5"/>
    </row>
    <row r="918" spans="1:20" ht="18.75" customHeight="1" x14ac:dyDescent="0.25">
      <c r="A918" s="5"/>
      <c r="B918" s="5"/>
      <c r="C918" s="6"/>
      <c r="L918" s="5"/>
      <c r="R918" s="5"/>
      <c r="S918" s="5"/>
      <c r="T918" s="5"/>
    </row>
    <row r="919" spans="1:20" ht="18.75" customHeight="1" x14ac:dyDescent="0.25">
      <c r="A919" s="5"/>
      <c r="B919" s="5"/>
      <c r="C919" s="6"/>
      <c r="L919" s="5"/>
      <c r="R919" s="5"/>
      <c r="S919" s="5"/>
      <c r="T919" s="5"/>
    </row>
    <row r="920" spans="1:20" ht="18.75" customHeight="1" x14ac:dyDescent="0.25">
      <c r="A920" s="5"/>
      <c r="B920" s="5"/>
      <c r="C920" s="6"/>
      <c r="L920" s="5"/>
      <c r="R920" s="5"/>
      <c r="S920" s="5"/>
      <c r="T920" s="5"/>
    </row>
    <row r="921" spans="1:20" ht="18.75" customHeight="1" x14ac:dyDescent="0.25">
      <c r="A921" s="5"/>
      <c r="B921" s="5"/>
      <c r="C921" s="6"/>
      <c r="L921" s="5"/>
      <c r="R921" s="5"/>
      <c r="S921" s="5"/>
      <c r="T921" s="5"/>
    </row>
    <row r="922" spans="1:20" ht="18.75" customHeight="1" x14ac:dyDescent="0.25">
      <c r="A922" s="5"/>
      <c r="B922" s="5"/>
      <c r="C922" s="6"/>
      <c r="L922" s="5"/>
      <c r="R922" s="5"/>
      <c r="S922" s="5"/>
      <c r="T922" s="5"/>
    </row>
    <row r="923" spans="1:20" ht="18.75" customHeight="1" x14ac:dyDescent="0.25">
      <c r="A923" s="5"/>
      <c r="B923" s="5"/>
      <c r="C923" s="6"/>
      <c r="L923" s="5"/>
      <c r="R923" s="5"/>
      <c r="S923" s="5"/>
      <c r="T923" s="5"/>
    </row>
    <row r="924" spans="1:20" ht="18.75" customHeight="1" x14ac:dyDescent="0.25">
      <c r="A924" s="5"/>
      <c r="B924" s="5"/>
      <c r="C924" s="6"/>
      <c r="L924" s="5"/>
      <c r="R924" s="5"/>
      <c r="S924" s="5"/>
      <c r="T924" s="5"/>
    </row>
    <row r="925" spans="1:20" ht="18.75" customHeight="1" x14ac:dyDescent="0.25">
      <c r="A925" s="5"/>
      <c r="B925" s="5"/>
      <c r="C925" s="6"/>
      <c r="L925" s="5"/>
      <c r="R925" s="5"/>
      <c r="S925" s="5"/>
      <c r="T925" s="5"/>
    </row>
    <row r="926" spans="1:20" ht="18.75" customHeight="1" x14ac:dyDescent="0.25">
      <c r="A926" s="5"/>
      <c r="B926" s="5"/>
      <c r="C926" s="6"/>
      <c r="L926" s="5"/>
      <c r="R926" s="5"/>
      <c r="S926" s="5"/>
      <c r="T926" s="5"/>
    </row>
    <row r="927" spans="1:20" ht="18.75" customHeight="1" x14ac:dyDescent="0.25">
      <c r="A927" s="5"/>
      <c r="B927" s="5"/>
      <c r="C927" s="6"/>
      <c r="L927" s="5"/>
      <c r="R927" s="5"/>
      <c r="S927" s="5"/>
      <c r="T927" s="5"/>
    </row>
    <row r="928" spans="1:20" ht="18.75" customHeight="1" x14ac:dyDescent="0.25">
      <c r="A928" s="5"/>
      <c r="B928" s="5"/>
      <c r="C928" s="6"/>
      <c r="L928" s="5"/>
      <c r="R928" s="5"/>
      <c r="S928" s="5"/>
      <c r="T928" s="5"/>
    </row>
    <row r="929" spans="1:20" ht="18.75" customHeight="1" x14ac:dyDescent="0.25">
      <c r="A929" s="5"/>
      <c r="B929" s="5"/>
      <c r="C929" s="6"/>
      <c r="L929" s="5"/>
      <c r="R929" s="5"/>
      <c r="S929" s="5"/>
      <c r="T929" s="5"/>
    </row>
    <row r="930" spans="1:20" ht="18.75" customHeight="1" x14ac:dyDescent="0.25">
      <c r="A930" s="5"/>
      <c r="B930" s="5"/>
      <c r="C930" s="6"/>
      <c r="L930" s="5"/>
      <c r="R930" s="5"/>
      <c r="S930" s="5"/>
      <c r="T930" s="5"/>
    </row>
    <row r="931" spans="1:20" ht="18.75" customHeight="1" x14ac:dyDescent="0.25">
      <c r="A931" s="5"/>
      <c r="B931" s="5"/>
      <c r="C931" s="6"/>
      <c r="L931" s="5"/>
      <c r="R931" s="5"/>
      <c r="S931" s="5"/>
      <c r="T931" s="5"/>
    </row>
    <row r="932" spans="1:20" ht="18.75" customHeight="1" x14ac:dyDescent="0.25">
      <c r="A932" s="5"/>
      <c r="B932" s="5"/>
      <c r="C932" s="6"/>
      <c r="L932" s="5"/>
      <c r="R932" s="5"/>
      <c r="S932" s="5"/>
      <c r="T932" s="5"/>
    </row>
    <row r="933" spans="1:20" ht="18.75" customHeight="1" x14ac:dyDescent="0.25">
      <c r="A933" s="5"/>
      <c r="B933" s="5"/>
      <c r="C933" s="6"/>
      <c r="L933" s="5"/>
      <c r="R933" s="5"/>
      <c r="S933" s="5"/>
      <c r="T933" s="5"/>
    </row>
    <row r="934" spans="1:20" ht="18.75" customHeight="1" x14ac:dyDescent="0.25">
      <c r="A934" s="5"/>
      <c r="B934" s="5"/>
      <c r="C934" s="6"/>
      <c r="L934" s="5"/>
      <c r="R934" s="5"/>
      <c r="S934" s="5"/>
      <c r="T934" s="5"/>
    </row>
    <row r="935" spans="1:20" ht="18.75" customHeight="1" x14ac:dyDescent="0.25">
      <c r="A935" s="5"/>
      <c r="B935" s="5"/>
      <c r="C935" s="6"/>
      <c r="L935" s="5"/>
      <c r="R935" s="5"/>
      <c r="S935" s="5"/>
      <c r="T935" s="5"/>
    </row>
    <row r="936" spans="1:20" ht="18.75" customHeight="1" x14ac:dyDescent="0.25">
      <c r="A936" s="5"/>
      <c r="B936" s="5"/>
      <c r="C936" s="6"/>
      <c r="L936" s="5"/>
      <c r="R936" s="5"/>
      <c r="S936" s="5"/>
      <c r="T936" s="5"/>
    </row>
    <row r="937" spans="1:20" ht="18.75" customHeight="1" x14ac:dyDescent="0.25">
      <c r="A937" s="5"/>
      <c r="B937" s="5"/>
      <c r="C937" s="6"/>
      <c r="L937" s="5"/>
      <c r="R937" s="5"/>
      <c r="S937" s="5"/>
      <c r="T937" s="5"/>
    </row>
    <row r="938" spans="1:20" ht="18.75" customHeight="1" x14ac:dyDescent="0.25">
      <c r="A938" s="5"/>
      <c r="B938" s="5"/>
      <c r="C938" s="6"/>
      <c r="L938" s="5"/>
      <c r="R938" s="5"/>
      <c r="S938" s="5"/>
      <c r="T938" s="5"/>
    </row>
    <row r="939" spans="1:20" ht="18.75" customHeight="1" x14ac:dyDescent="0.25">
      <c r="A939" s="5"/>
      <c r="B939" s="5"/>
      <c r="C939" s="6"/>
      <c r="L939" s="5"/>
      <c r="R939" s="5"/>
      <c r="S939" s="5"/>
      <c r="T939" s="5"/>
    </row>
    <row r="940" spans="1:20" ht="18.75" customHeight="1" x14ac:dyDescent="0.25">
      <c r="A940" s="5"/>
      <c r="B940" s="5"/>
      <c r="C940" s="6"/>
      <c r="L940" s="5"/>
      <c r="R940" s="5"/>
      <c r="S940" s="5"/>
      <c r="T940" s="5"/>
    </row>
    <row r="941" spans="1:20" ht="18.75" customHeight="1" x14ac:dyDescent="0.25">
      <c r="A941" s="5"/>
      <c r="B941" s="5"/>
      <c r="C941" s="6"/>
      <c r="L941" s="5"/>
      <c r="R941" s="5"/>
      <c r="S941" s="5"/>
      <c r="T941" s="5"/>
    </row>
    <row r="942" spans="1:20" ht="18.75" customHeight="1" x14ac:dyDescent="0.25">
      <c r="A942" s="5"/>
      <c r="B942" s="5"/>
      <c r="C942" s="6"/>
      <c r="L942" s="5"/>
      <c r="R942" s="5"/>
      <c r="S942" s="5"/>
      <c r="T942" s="5"/>
    </row>
    <row r="943" spans="1:20" ht="18.75" customHeight="1" x14ac:dyDescent="0.25">
      <c r="A943" s="5"/>
      <c r="B943" s="5"/>
      <c r="C943" s="6"/>
      <c r="L943" s="5"/>
      <c r="R943" s="5"/>
      <c r="S943" s="5"/>
      <c r="T943" s="5"/>
    </row>
    <row r="944" spans="1:20" ht="18.75" customHeight="1" x14ac:dyDescent="0.25">
      <c r="A944" s="5"/>
      <c r="B944" s="5"/>
      <c r="C944" s="6"/>
      <c r="L944" s="5"/>
      <c r="R944" s="5"/>
      <c r="S944" s="5"/>
      <c r="T944" s="5"/>
    </row>
    <row r="945" spans="1:20" ht="18.75" customHeight="1" x14ac:dyDescent="0.25">
      <c r="A945" s="5"/>
      <c r="B945" s="5"/>
      <c r="C945" s="6"/>
      <c r="L945" s="5"/>
      <c r="R945" s="5"/>
      <c r="S945" s="5"/>
      <c r="T945" s="5"/>
    </row>
    <row r="946" spans="1:20" ht="18.75" customHeight="1" x14ac:dyDescent="0.25">
      <c r="A946" s="5"/>
      <c r="B946" s="5"/>
      <c r="C946" s="6"/>
      <c r="L946" s="5"/>
      <c r="R946" s="5"/>
      <c r="S946" s="5"/>
      <c r="T946" s="5"/>
    </row>
    <row r="947" spans="1:20" ht="18.75" customHeight="1" x14ac:dyDescent="0.25">
      <c r="A947" s="5"/>
      <c r="B947" s="5"/>
      <c r="C947" s="6"/>
      <c r="L947" s="5"/>
      <c r="R947" s="5"/>
      <c r="S947" s="5"/>
      <c r="T947" s="5"/>
    </row>
    <row r="948" spans="1:20" ht="18.75" customHeight="1" x14ac:dyDescent="0.25">
      <c r="A948" s="5"/>
      <c r="B948" s="5"/>
      <c r="C948" s="6"/>
      <c r="L948" s="5"/>
      <c r="R948" s="5"/>
      <c r="S948" s="5"/>
      <c r="T948" s="5"/>
    </row>
    <row r="949" spans="1:20" ht="18.75" customHeight="1" x14ac:dyDescent="0.25">
      <c r="A949" s="5"/>
      <c r="B949" s="5"/>
      <c r="C949" s="6"/>
      <c r="L949" s="5"/>
      <c r="R949" s="5"/>
      <c r="S949" s="5"/>
      <c r="T949" s="5"/>
    </row>
    <row r="950" spans="1:20" ht="18.75" customHeight="1" x14ac:dyDescent="0.25">
      <c r="A950" s="5"/>
      <c r="B950" s="5"/>
      <c r="C950" s="6"/>
      <c r="L950" s="5"/>
      <c r="R950" s="5"/>
      <c r="S950" s="5"/>
      <c r="T950" s="5"/>
    </row>
    <row r="951" spans="1:20" ht="18.75" customHeight="1" x14ac:dyDescent="0.25">
      <c r="A951" s="5"/>
      <c r="B951" s="5"/>
      <c r="C951" s="6"/>
      <c r="L951" s="5"/>
      <c r="R951" s="5"/>
      <c r="S951" s="5"/>
      <c r="T951" s="5"/>
    </row>
    <row r="952" spans="1:20" ht="18.75" customHeight="1" x14ac:dyDescent="0.25">
      <c r="A952" s="5"/>
      <c r="B952" s="5"/>
      <c r="C952" s="6"/>
      <c r="L952" s="5"/>
      <c r="R952" s="5"/>
      <c r="S952" s="5"/>
      <c r="T952" s="5"/>
    </row>
    <row r="953" spans="1:20" ht="18.75" customHeight="1" x14ac:dyDescent="0.25">
      <c r="A953" s="5"/>
      <c r="B953" s="5"/>
      <c r="C953" s="6"/>
      <c r="L953" s="5"/>
      <c r="R953" s="5"/>
      <c r="S953" s="5"/>
      <c r="T953" s="5"/>
    </row>
    <row r="954" spans="1:20" ht="18.75" customHeight="1" x14ac:dyDescent="0.25">
      <c r="A954" s="5"/>
      <c r="B954" s="5"/>
      <c r="C954" s="6"/>
      <c r="L954" s="5"/>
      <c r="R954" s="5"/>
      <c r="S954" s="5"/>
      <c r="T954" s="5"/>
    </row>
    <row r="955" spans="1:20" ht="18.75" customHeight="1" x14ac:dyDescent="0.25">
      <c r="A955" s="5"/>
      <c r="B955" s="5"/>
      <c r="C955" s="6"/>
      <c r="L955" s="5"/>
      <c r="R955" s="5"/>
      <c r="S955" s="5"/>
      <c r="T955" s="5"/>
    </row>
    <row r="956" spans="1:20" ht="18.75" customHeight="1" x14ac:dyDescent="0.25">
      <c r="A956" s="5"/>
      <c r="B956" s="5"/>
      <c r="C956" s="6"/>
      <c r="L956" s="5"/>
      <c r="R956" s="5"/>
      <c r="S956" s="5"/>
      <c r="T956" s="5"/>
    </row>
    <row r="957" spans="1:20" ht="18.75" customHeight="1" x14ac:dyDescent="0.25">
      <c r="A957" s="5"/>
      <c r="B957" s="5"/>
      <c r="C957" s="6"/>
      <c r="L957" s="5"/>
      <c r="R957" s="5"/>
      <c r="S957" s="5"/>
      <c r="T957" s="5"/>
    </row>
    <row r="958" spans="1:20" ht="18.75" customHeight="1" x14ac:dyDescent="0.25">
      <c r="A958" s="5"/>
      <c r="B958" s="5"/>
      <c r="C958" s="6"/>
      <c r="L958" s="5"/>
      <c r="R958" s="5"/>
      <c r="S958" s="5"/>
      <c r="T958" s="5"/>
    </row>
    <row r="959" spans="1:20" ht="18.75" customHeight="1" x14ac:dyDescent="0.25">
      <c r="A959" s="5"/>
      <c r="B959" s="5"/>
      <c r="C959" s="6"/>
      <c r="L959" s="5"/>
      <c r="R959" s="5"/>
      <c r="S959" s="5"/>
      <c r="T959" s="5"/>
    </row>
    <row r="960" spans="1:20" ht="18.75" customHeight="1" x14ac:dyDescent="0.25">
      <c r="A960" s="5"/>
      <c r="B960" s="5"/>
      <c r="C960" s="6"/>
      <c r="L960" s="5"/>
      <c r="R960" s="5"/>
      <c r="S960" s="5"/>
      <c r="T960" s="5"/>
    </row>
    <row r="961" spans="1:20" ht="18.75" customHeight="1" x14ac:dyDescent="0.25">
      <c r="A961" s="5"/>
      <c r="B961" s="5"/>
      <c r="C961" s="6"/>
      <c r="L961" s="5"/>
      <c r="R961" s="5"/>
      <c r="S961" s="5"/>
      <c r="T961" s="5"/>
    </row>
    <row r="962" spans="1:20" ht="18.75" customHeight="1" x14ac:dyDescent="0.25">
      <c r="A962" s="5"/>
      <c r="B962" s="5"/>
      <c r="C962" s="6"/>
      <c r="L962" s="5"/>
      <c r="R962" s="5"/>
      <c r="S962" s="5"/>
      <c r="T962" s="5"/>
    </row>
    <row r="963" spans="1:20" ht="18.75" customHeight="1" x14ac:dyDescent="0.25">
      <c r="A963" s="5"/>
      <c r="B963" s="5"/>
      <c r="C963" s="6"/>
      <c r="L963" s="5"/>
      <c r="R963" s="5"/>
      <c r="S963" s="5"/>
      <c r="T963" s="5"/>
    </row>
    <row r="964" spans="1:20" ht="18.75" customHeight="1" x14ac:dyDescent="0.25">
      <c r="A964" s="5"/>
      <c r="B964" s="5"/>
      <c r="C964" s="6"/>
      <c r="L964" s="5"/>
      <c r="R964" s="5"/>
      <c r="S964" s="5"/>
      <c r="T964" s="5"/>
    </row>
    <row r="965" spans="1:20" ht="18.75" customHeight="1" x14ac:dyDescent="0.25">
      <c r="A965" s="5"/>
      <c r="B965" s="5"/>
      <c r="C965" s="6"/>
      <c r="L965" s="5"/>
      <c r="R965" s="5"/>
      <c r="S965" s="5"/>
      <c r="T965" s="5"/>
    </row>
    <row r="966" spans="1:20" ht="18.75" customHeight="1" x14ac:dyDescent="0.25">
      <c r="A966" s="5"/>
      <c r="B966" s="5"/>
      <c r="C966" s="6"/>
      <c r="L966" s="5"/>
      <c r="R966" s="5"/>
      <c r="S966" s="5"/>
      <c r="T966" s="5"/>
    </row>
    <row r="967" spans="1:20" ht="18.75" customHeight="1" x14ac:dyDescent="0.25">
      <c r="A967" s="5"/>
      <c r="B967" s="5"/>
      <c r="C967" s="6"/>
      <c r="L967" s="5"/>
      <c r="R967" s="5"/>
      <c r="S967" s="5"/>
      <c r="T967" s="5"/>
    </row>
    <row r="968" spans="1:20" ht="18.75" customHeight="1" x14ac:dyDescent="0.25">
      <c r="A968" s="5"/>
      <c r="B968" s="5"/>
      <c r="C968" s="6"/>
      <c r="L968" s="5"/>
      <c r="R968" s="5"/>
      <c r="S968" s="5"/>
      <c r="T968" s="5"/>
    </row>
    <row r="969" spans="1:20" ht="18.75" customHeight="1" x14ac:dyDescent="0.25">
      <c r="A969" s="5"/>
      <c r="B969" s="5"/>
      <c r="C969" s="6"/>
      <c r="L969" s="5"/>
      <c r="R969" s="5"/>
      <c r="S969" s="5"/>
      <c r="T969" s="5"/>
    </row>
    <row r="970" spans="1:20" ht="18.75" customHeight="1" x14ac:dyDescent="0.25">
      <c r="A970" s="5"/>
      <c r="B970" s="5"/>
      <c r="C970" s="6"/>
      <c r="L970" s="5"/>
      <c r="R970" s="5"/>
      <c r="S970" s="5"/>
      <c r="T970" s="5"/>
    </row>
    <row r="971" spans="1:20" ht="18.75" customHeight="1" x14ac:dyDescent="0.25">
      <c r="A971" s="5"/>
      <c r="B971" s="5"/>
      <c r="C971" s="6"/>
      <c r="L971" s="5"/>
      <c r="R971" s="5"/>
      <c r="S971" s="5"/>
      <c r="T971" s="5"/>
    </row>
    <row r="972" spans="1:20" ht="18.75" customHeight="1" x14ac:dyDescent="0.25">
      <c r="A972" s="5"/>
      <c r="B972" s="5"/>
      <c r="C972" s="6"/>
      <c r="L972" s="5"/>
      <c r="R972" s="5"/>
      <c r="S972" s="5"/>
      <c r="T972" s="5"/>
    </row>
    <row r="973" spans="1:20" ht="18.75" customHeight="1" x14ac:dyDescent="0.25">
      <c r="A973" s="5"/>
      <c r="B973" s="5"/>
      <c r="C973" s="6"/>
      <c r="L973" s="5"/>
      <c r="R973" s="5"/>
      <c r="S973" s="5"/>
      <c r="T973" s="5"/>
    </row>
    <row r="974" spans="1:20" ht="18.75" customHeight="1" x14ac:dyDescent="0.25">
      <c r="A974" s="5"/>
      <c r="B974" s="5"/>
      <c r="C974" s="6"/>
      <c r="L974" s="5"/>
      <c r="R974" s="5"/>
      <c r="S974" s="5"/>
      <c r="T974" s="5"/>
    </row>
    <row r="975" spans="1:20" ht="18.75" customHeight="1" x14ac:dyDescent="0.25">
      <c r="A975" s="5"/>
      <c r="B975" s="5"/>
      <c r="C975" s="6"/>
      <c r="L975" s="5"/>
      <c r="R975" s="5"/>
      <c r="S975" s="5"/>
      <c r="T975" s="5"/>
    </row>
    <row r="976" spans="1:20" ht="18.75" customHeight="1" x14ac:dyDescent="0.25">
      <c r="A976" s="5"/>
      <c r="B976" s="5"/>
      <c r="C976" s="6"/>
      <c r="L976" s="5"/>
      <c r="R976" s="5"/>
      <c r="S976" s="5"/>
      <c r="T976" s="5"/>
    </row>
    <row r="977" spans="1:20" ht="18.75" customHeight="1" x14ac:dyDescent="0.25">
      <c r="A977" s="5"/>
      <c r="B977" s="5"/>
      <c r="C977" s="6"/>
      <c r="L977" s="5"/>
      <c r="R977" s="5"/>
      <c r="S977" s="5"/>
      <c r="T977" s="5"/>
    </row>
    <row r="978" spans="1:20" ht="18.75" customHeight="1" x14ac:dyDescent="0.25">
      <c r="A978" s="5"/>
      <c r="B978" s="5"/>
      <c r="C978" s="6"/>
      <c r="L978" s="5"/>
      <c r="R978" s="5"/>
      <c r="S978" s="5"/>
      <c r="T978" s="5"/>
    </row>
    <row r="979" spans="1:20" ht="18.75" customHeight="1" x14ac:dyDescent="0.25">
      <c r="A979" s="5"/>
      <c r="B979" s="5"/>
      <c r="C979" s="6"/>
      <c r="L979" s="5"/>
      <c r="R979" s="5"/>
      <c r="S979" s="5"/>
      <c r="T979" s="5"/>
    </row>
    <row r="980" spans="1:20" ht="18.75" customHeight="1" x14ac:dyDescent="0.25">
      <c r="A980" s="5"/>
      <c r="B980" s="5"/>
      <c r="C980" s="6"/>
      <c r="L980" s="5"/>
      <c r="R980" s="5"/>
      <c r="S980" s="5"/>
      <c r="T980" s="5"/>
    </row>
  </sheetData>
  <autoFilter ref="A1:U294" xr:uid="{00000000-0009-0000-0000-000001000000}"/>
  <phoneticPr fontId="9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1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20" customWidth="1"/>
    <col min="2" max="2" width="40.140625" customWidth="1"/>
    <col min="3" max="3" width="23.7109375" customWidth="1"/>
    <col min="4" max="4" width="23.7109375" hidden="1" customWidth="1"/>
    <col min="5" max="5" width="23.7109375" customWidth="1"/>
    <col min="6" max="6" width="63.85546875" customWidth="1"/>
    <col min="7" max="7" width="74.85546875" customWidth="1"/>
    <col min="8" max="26" width="8.7109375" customWidth="1"/>
  </cols>
  <sheetData>
    <row r="1" spans="1:7" ht="18.75" customHeight="1" x14ac:dyDescent="0.25">
      <c r="A1" s="27" t="s">
        <v>343</v>
      </c>
      <c r="B1" s="28"/>
      <c r="C1" s="28"/>
      <c r="D1" s="28"/>
      <c r="E1" s="28"/>
      <c r="F1" s="28"/>
      <c r="G1" s="28"/>
    </row>
    <row r="2" spans="1:7" ht="18.75" customHeight="1" x14ac:dyDescent="0.25">
      <c r="A2" s="7" t="s">
        <v>344</v>
      </c>
      <c r="B2" s="7" t="s">
        <v>345</v>
      </c>
      <c r="C2" s="7" t="s">
        <v>346</v>
      </c>
      <c r="D2" s="7" t="s">
        <v>347</v>
      </c>
      <c r="E2" s="7" t="s">
        <v>348</v>
      </c>
      <c r="F2" s="7" t="s">
        <v>349</v>
      </c>
      <c r="G2" s="7" t="s">
        <v>350</v>
      </c>
    </row>
    <row r="3" spans="1:7" ht="18.75" customHeight="1" x14ac:dyDescent="0.25">
      <c r="A3" s="8" t="s">
        <v>351</v>
      </c>
      <c r="B3" s="9" t="s">
        <v>352</v>
      </c>
      <c r="C3" s="8" t="s">
        <v>353</v>
      </c>
      <c r="D3" s="8">
        <v>2</v>
      </c>
      <c r="E3" s="8">
        <f t="shared" ref="E3:E53" si="0">IF(D3&lt;&gt;"-",D3*8,"-")</f>
        <v>16</v>
      </c>
      <c r="F3" s="8" t="s">
        <v>354</v>
      </c>
      <c r="G3" s="8" t="s">
        <v>355</v>
      </c>
    </row>
    <row r="4" spans="1:7" ht="18.75" customHeight="1" x14ac:dyDescent="0.25">
      <c r="A4" s="10" t="s">
        <v>351</v>
      </c>
      <c r="B4" s="4" t="s">
        <v>113</v>
      </c>
      <c r="C4" s="10" t="s">
        <v>356</v>
      </c>
      <c r="D4" s="10">
        <v>4</v>
      </c>
      <c r="E4" s="10">
        <f t="shared" si="0"/>
        <v>32</v>
      </c>
      <c r="F4" s="10" t="s">
        <v>357</v>
      </c>
      <c r="G4" s="10" t="s">
        <v>358</v>
      </c>
    </row>
    <row r="5" spans="1:7" ht="33" x14ac:dyDescent="0.25">
      <c r="A5" s="8" t="s">
        <v>351</v>
      </c>
      <c r="B5" s="9" t="s">
        <v>359</v>
      </c>
      <c r="C5" s="8" t="s">
        <v>360</v>
      </c>
      <c r="D5" s="8">
        <v>8</v>
      </c>
      <c r="E5" s="8">
        <f t="shared" si="0"/>
        <v>64</v>
      </c>
      <c r="F5" s="8" t="s">
        <v>361</v>
      </c>
      <c r="G5" s="8" t="s">
        <v>362</v>
      </c>
    </row>
    <row r="6" spans="1:7" ht="18.75" customHeight="1" x14ac:dyDescent="0.25">
      <c r="A6" s="10" t="s">
        <v>351</v>
      </c>
      <c r="B6" s="4" t="s">
        <v>363</v>
      </c>
      <c r="C6" s="10" t="s">
        <v>364</v>
      </c>
      <c r="D6" s="11" t="s">
        <v>89</v>
      </c>
      <c r="E6" s="10" t="str">
        <f t="shared" si="0"/>
        <v>-</v>
      </c>
      <c r="F6" s="10" t="s">
        <v>365</v>
      </c>
      <c r="G6" s="10" t="s">
        <v>366</v>
      </c>
    </row>
    <row r="7" spans="1:7" ht="18.75" customHeight="1" x14ac:dyDescent="0.25">
      <c r="A7" s="8" t="s">
        <v>351</v>
      </c>
      <c r="B7" s="9" t="s">
        <v>367</v>
      </c>
      <c r="C7" s="8" t="s">
        <v>364</v>
      </c>
      <c r="D7" s="12" t="s">
        <v>89</v>
      </c>
      <c r="E7" s="8" t="str">
        <f t="shared" si="0"/>
        <v>-</v>
      </c>
      <c r="F7" s="8" t="s">
        <v>365</v>
      </c>
      <c r="G7" s="8" t="s">
        <v>368</v>
      </c>
    </row>
    <row r="8" spans="1:7" ht="18.75" customHeight="1" x14ac:dyDescent="0.25">
      <c r="A8" s="10" t="s">
        <v>351</v>
      </c>
      <c r="B8" s="4" t="s">
        <v>369</v>
      </c>
      <c r="C8" s="10" t="s">
        <v>356</v>
      </c>
      <c r="D8" s="10">
        <v>4</v>
      </c>
      <c r="E8" s="10">
        <f t="shared" si="0"/>
        <v>32</v>
      </c>
      <c r="F8" s="15" t="s">
        <v>370</v>
      </c>
      <c r="G8" s="10" t="s">
        <v>371</v>
      </c>
    </row>
    <row r="9" spans="1:7" ht="18.75" customHeight="1" x14ac:dyDescent="0.25">
      <c r="A9" s="8" t="s">
        <v>351</v>
      </c>
      <c r="B9" s="9" t="s">
        <v>372</v>
      </c>
      <c r="C9" s="8" t="s">
        <v>360</v>
      </c>
      <c r="D9" s="8">
        <v>8</v>
      </c>
      <c r="E9" s="8">
        <f t="shared" si="0"/>
        <v>64</v>
      </c>
      <c r="F9" s="14" t="s">
        <v>373</v>
      </c>
      <c r="G9" s="8" t="s">
        <v>374</v>
      </c>
    </row>
    <row r="10" spans="1:7" ht="18.75" customHeight="1" x14ac:dyDescent="0.25">
      <c r="A10" s="10" t="s">
        <v>351</v>
      </c>
      <c r="B10" s="4" t="s">
        <v>375</v>
      </c>
      <c r="C10" s="10" t="s">
        <v>353</v>
      </c>
      <c r="D10" s="10">
        <v>2</v>
      </c>
      <c r="E10" s="10">
        <f t="shared" si="0"/>
        <v>16</v>
      </c>
      <c r="F10" s="10" t="s">
        <v>376</v>
      </c>
      <c r="G10" s="10" t="s">
        <v>377</v>
      </c>
    </row>
    <row r="11" spans="1:7" ht="18.75" customHeight="1" x14ac:dyDescent="0.25">
      <c r="A11" s="8" t="s">
        <v>351</v>
      </c>
      <c r="B11" s="9" t="s">
        <v>186</v>
      </c>
      <c r="C11" s="8" t="s">
        <v>356</v>
      </c>
      <c r="D11" s="8">
        <v>4</v>
      </c>
      <c r="E11" s="8">
        <f t="shared" si="0"/>
        <v>32</v>
      </c>
      <c r="F11" s="8" t="s">
        <v>378</v>
      </c>
      <c r="G11" s="8" t="s">
        <v>379</v>
      </c>
    </row>
    <row r="12" spans="1:7" ht="18.75" customHeight="1" x14ac:dyDescent="0.25">
      <c r="A12" s="10" t="s">
        <v>351</v>
      </c>
      <c r="B12" s="4" t="s">
        <v>63</v>
      </c>
      <c r="C12" s="10" t="s">
        <v>360</v>
      </c>
      <c r="D12" s="10">
        <v>8</v>
      </c>
      <c r="E12" s="10">
        <f t="shared" si="0"/>
        <v>64</v>
      </c>
      <c r="F12" s="10" t="s">
        <v>380</v>
      </c>
      <c r="G12" s="10" t="s">
        <v>381</v>
      </c>
    </row>
    <row r="13" spans="1:7" ht="18.75" customHeight="1" x14ac:dyDescent="0.25">
      <c r="A13" s="8" t="s">
        <v>382</v>
      </c>
      <c r="B13" s="9" t="s">
        <v>383</v>
      </c>
      <c r="C13" s="8" t="s">
        <v>360</v>
      </c>
      <c r="D13" s="8">
        <v>8</v>
      </c>
      <c r="E13" s="8">
        <f t="shared" si="0"/>
        <v>64</v>
      </c>
      <c r="F13" s="8" t="s">
        <v>384</v>
      </c>
      <c r="G13" s="8" t="s">
        <v>385</v>
      </c>
    </row>
    <row r="14" spans="1:7" ht="18.75" customHeight="1" x14ac:dyDescent="0.25">
      <c r="A14" s="10" t="s">
        <v>386</v>
      </c>
      <c r="B14" s="4" t="s">
        <v>387</v>
      </c>
      <c r="C14" s="10" t="s">
        <v>388</v>
      </c>
      <c r="D14" s="10" t="s">
        <v>89</v>
      </c>
      <c r="E14" s="10" t="str">
        <f t="shared" si="0"/>
        <v>-</v>
      </c>
      <c r="F14" s="10" t="s">
        <v>389</v>
      </c>
      <c r="G14" s="10" t="s">
        <v>390</v>
      </c>
    </row>
    <row r="15" spans="1:7" ht="18.75" customHeight="1" x14ac:dyDescent="0.25">
      <c r="A15" s="8" t="s">
        <v>386</v>
      </c>
      <c r="B15" s="9" t="s">
        <v>391</v>
      </c>
      <c r="C15" s="8" t="s">
        <v>392</v>
      </c>
      <c r="D15" s="12" t="s">
        <v>89</v>
      </c>
      <c r="E15" s="8" t="str">
        <f t="shared" si="0"/>
        <v>-</v>
      </c>
      <c r="F15" s="8" t="s">
        <v>393</v>
      </c>
      <c r="G15" s="8" t="s">
        <v>394</v>
      </c>
    </row>
    <row r="16" spans="1:7" ht="18.75" customHeight="1" x14ac:dyDescent="0.25">
      <c r="A16" s="10" t="s">
        <v>386</v>
      </c>
      <c r="B16" s="4" t="s">
        <v>94</v>
      </c>
      <c r="C16" s="10" t="s">
        <v>364</v>
      </c>
      <c r="D16" s="11" t="s">
        <v>89</v>
      </c>
      <c r="E16" s="10" t="str">
        <f t="shared" si="0"/>
        <v>-</v>
      </c>
      <c r="F16" s="10" t="s">
        <v>395</v>
      </c>
      <c r="G16" s="10" t="s">
        <v>396</v>
      </c>
    </row>
    <row r="17" spans="1:7" ht="18.75" customHeight="1" x14ac:dyDescent="0.25">
      <c r="A17" s="8" t="s">
        <v>397</v>
      </c>
      <c r="B17" s="9" t="s">
        <v>398</v>
      </c>
      <c r="C17" s="8" t="s">
        <v>360</v>
      </c>
      <c r="D17" s="8">
        <v>8</v>
      </c>
      <c r="E17" s="8">
        <f t="shared" si="0"/>
        <v>64</v>
      </c>
      <c r="F17" s="8" t="s">
        <v>399</v>
      </c>
      <c r="G17" s="8" t="s">
        <v>400</v>
      </c>
    </row>
    <row r="18" spans="1:7" ht="18.75" customHeight="1" x14ac:dyDescent="0.25">
      <c r="A18" s="10" t="s">
        <v>397</v>
      </c>
      <c r="B18" s="4" t="s">
        <v>401</v>
      </c>
      <c r="C18" s="10" t="s">
        <v>360</v>
      </c>
      <c r="D18" s="10">
        <v>8</v>
      </c>
      <c r="E18" s="10">
        <f t="shared" ref="E18" si="1">IF(D18&lt;&gt;"-",D18*8,"-")</f>
        <v>64</v>
      </c>
      <c r="F18" s="10" t="s">
        <v>399</v>
      </c>
      <c r="G18" s="10" t="s">
        <v>402</v>
      </c>
    </row>
    <row r="19" spans="1:7" ht="18.75" customHeight="1" x14ac:dyDescent="0.25">
      <c r="A19" s="16" t="s">
        <v>397</v>
      </c>
      <c r="B19" s="18" t="s">
        <v>520</v>
      </c>
      <c r="C19" s="16" t="s">
        <v>360</v>
      </c>
      <c r="D19" s="16">
        <v>8</v>
      </c>
      <c r="E19" s="16">
        <f t="shared" si="0"/>
        <v>64</v>
      </c>
      <c r="F19" s="16"/>
      <c r="G19" s="17" t="s">
        <v>519</v>
      </c>
    </row>
    <row r="20" spans="1:7" ht="18.75" customHeight="1" x14ac:dyDescent="0.25">
      <c r="A20" s="8" t="s">
        <v>397</v>
      </c>
      <c r="B20" s="9" t="s">
        <v>403</v>
      </c>
      <c r="C20" s="8" t="s">
        <v>356</v>
      </c>
      <c r="D20" s="8">
        <v>4</v>
      </c>
      <c r="E20" s="8">
        <f t="shared" si="0"/>
        <v>32</v>
      </c>
      <c r="F20" s="8" t="s">
        <v>404</v>
      </c>
      <c r="G20" s="8" t="s">
        <v>405</v>
      </c>
    </row>
    <row r="21" spans="1:7" ht="18.75" customHeight="1" x14ac:dyDescent="0.25">
      <c r="A21" s="10" t="s">
        <v>397</v>
      </c>
      <c r="B21" s="4" t="s">
        <v>406</v>
      </c>
      <c r="C21" s="10" t="s">
        <v>360</v>
      </c>
      <c r="D21" s="10">
        <v>8</v>
      </c>
      <c r="E21" s="10">
        <f t="shared" si="0"/>
        <v>64</v>
      </c>
      <c r="F21" s="10" t="s">
        <v>407</v>
      </c>
      <c r="G21" s="10" t="s">
        <v>408</v>
      </c>
    </row>
    <row r="22" spans="1:7" ht="18.75" customHeight="1" x14ac:dyDescent="0.25">
      <c r="A22" s="8" t="s">
        <v>397</v>
      </c>
      <c r="B22" s="9" t="s">
        <v>409</v>
      </c>
      <c r="C22" s="8" t="s">
        <v>410</v>
      </c>
      <c r="D22" s="8">
        <v>12</v>
      </c>
      <c r="E22" s="8">
        <f t="shared" si="0"/>
        <v>96</v>
      </c>
      <c r="F22" s="8" t="s">
        <v>411</v>
      </c>
      <c r="G22" s="8" t="s">
        <v>412</v>
      </c>
    </row>
    <row r="23" spans="1:7" ht="18.75" customHeight="1" x14ac:dyDescent="0.25">
      <c r="A23" s="10" t="s">
        <v>397</v>
      </c>
      <c r="B23" s="4" t="s">
        <v>413</v>
      </c>
      <c r="C23" s="10" t="s">
        <v>410</v>
      </c>
      <c r="D23" s="10">
        <v>12</v>
      </c>
      <c r="E23" s="10">
        <f t="shared" si="0"/>
        <v>96</v>
      </c>
      <c r="F23" s="10" t="s">
        <v>414</v>
      </c>
      <c r="G23" s="10" t="s">
        <v>415</v>
      </c>
    </row>
    <row r="24" spans="1:7" ht="18.75" customHeight="1" x14ac:dyDescent="0.25">
      <c r="A24" s="8" t="s">
        <v>416</v>
      </c>
      <c r="B24" s="9" t="s">
        <v>417</v>
      </c>
      <c r="C24" s="8" t="s">
        <v>418</v>
      </c>
      <c r="D24" s="8">
        <v>1</v>
      </c>
      <c r="E24" s="8">
        <f t="shared" si="0"/>
        <v>8</v>
      </c>
      <c r="F24" s="8" t="s">
        <v>419</v>
      </c>
      <c r="G24" s="8" t="s">
        <v>420</v>
      </c>
    </row>
    <row r="25" spans="1:7" ht="18.75" customHeight="1" x14ac:dyDescent="0.25">
      <c r="A25" s="10" t="s">
        <v>421</v>
      </c>
      <c r="B25" s="4" t="s">
        <v>422</v>
      </c>
      <c r="C25" s="10" t="s">
        <v>364</v>
      </c>
      <c r="D25" s="11" t="s">
        <v>89</v>
      </c>
      <c r="E25" s="10" t="str">
        <f t="shared" si="0"/>
        <v>-</v>
      </c>
      <c r="F25" s="10" t="s">
        <v>395</v>
      </c>
      <c r="G25" s="10" t="s">
        <v>423</v>
      </c>
    </row>
    <row r="26" spans="1:7" ht="18.75" customHeight="1" x14ac:dyDescent="0.25">
      <c r="A26" s="8" t="s">
        <v>421</v>
      </c>
      <c r="B26" s="9" t="s">
        <v>424</v>
      </c>
      <c r="C26" s="8" t="s">
        <v>364</v>
      </c>
      <c r="D26" s="12" t="s">
        <v>89</v>
      </c>
      <c r="E26" s="8" t="str">
        <f t="shared" si="0"/>
        <v>-</v>
      </c>
      <c r="F26" s="8" t="s">
        <v>395</v>
      </c>
      <c r="G26" s="8" t="s">
        <v>425</v>
      </c>
    </row>
    <row r="27" spans="1:7" ht="18.75" customHeight="1" x14ac:dyDescent="0.25">
      <c r="A27" s="10" t="s">
        <v>426</v>
      </c>
      <c r="B27" s="4" t="s">
        <v>427</v>
      </c>
      <c r="C27" s="10" t="s">
        <v>428</v>
      </c>
      <c r="D27" s="10">
        <v>16</v>
      </c>
      <c r="E27" s="10">
        <f t="shared" si="0"/>
        <v>128</v>
      </c>
      <c r="F27" s="10" t="s">
        <v>429</v>
      </c>
      <c r="G27" s="10" t="s">
        <v>430</v>
      </c>
    </row>
    <row r="28" spans="1:7" ht="18.75" customHeight="1" x14ac:dyDescent="0.25">
      <c r="A28" s="8" t="s">
        <v>426</v>
      </c>
      <c r="B28" s="9" t="s">
        <v>431</v>
      </c>
      <c r="C28" s="8" t="s">
        <v>432</v>
      </c>
      <c r="D28" s="8">
        <v>32</v>
      </c>
      <c r="E28" s="8">
        <f t="shared" si="0"/>
        <v>256</v>
      </c>
      <c r="F28" s="8" t="s">
        <v>433</v>
      </c>
      <c r="G28" s="8" t="s">
        <v>434</v>
      </c>
    </row>
    <row r="29" spans="1:7" ht="18.75" customHeight="1" x14ac:dyDescent="0.25">
      <c r="A29" s="10" t="s">
        <v>426</v>
      </c>
      <c r="B29" s="4" t="s">
        <v>435</v>
      </c>
      <c r="C29" s="10" t="s">
        <v>432</v>
      </c>
      <c r="D29" s="10">
        <v>32</v>
      </c>
      <c r="E29" s="10">
        <f t="shared" si="0"/>
        <v>256</v>
      </c>
      <c r="F29" s="10" t="s">
        <v>433</v>
      </c>
      <c r="G29" s="10" t="s">
        <v>436</v>
      </c>
    </row>
    <row r="30" spans="1:7" ht="18.75" customHeight="1" x14ac:dyDescent="0.25">
      <c r="A30" s="8" t="s">
        <v>426</v>
      </c>
      <c r="B30" s="9" t="s">
        <v>437</v>
      </c>
      <c r="C30" s="8" t="s">
        <v>432</v>
      </c>
      <c r="D30" s="8">
        <v>32</v>
      </c>
      <c r="E30" s="8">
        <f t="shared" si="0"/>
        <v>256</v>
      </c>
      <c r="F30" s="8" t="s">
        <v>433</v>
      </c>
      <c r="G30" s="8" t="s">
        <v>438</v>
      </c>
    </row>
    <row r="31" spans="1:7" ht="18.75" customHeight="1" x14ac:dyDescent="0.25">
      <c r="A31" s="10" t="s">
        <v>426</v>
      </c>
      <c r="B31" s="4" t="s">
        <v>439</v>
      </c>
      <c r="C31" s="10" t="s">
        <v>440</v>
      </c>
      <c r="D31" s="10" t="s">
        <v>89</v>
      </c>
      <c r="E31" s="10" t="str">
        <f t="shared" si="0"/>
        <v>-</v>
      </c>
      <c r="F31" s="10" t="s">
        <v>441</v>
      </c>
      <c r="G31" s="10" t="s">
        <v>442</v>
      </c>
    </row>
    <row r="32" spans="1:7" ht="18.75" customHeight="1" x14ac:dyDescent="0.25">
      <c r="A32" s="8" t="s">
        <v>426</v>
      </c>
      <c r="B32" s="9" t="s">
        <v>439</v>
      </c>
      <c r="C32" s="8" t="s">
        <v>440</v>
      </c>
      <c r="D32" s="8" t="s">
        <v>89</v>
      </c>
      <c r="E32" s="8" t="str">
        <f t="shared" si="0"/>
        <v>-</v>
      </c>
      <c r="F32" s="8" t="s">
        <v>443</v>
      </c>
      <c r="G32" s="8" t="s">
        <v>444</v>
      </c>
    </row>
    <row r="33" spans="1:7" ht="18.75" customHeight="1" x14ac:dyDescent="0.25">
      <c r="A33" s="10" t="s">
        <v>426</v>
      </c>
      <c r="B33" s="4" t="s">
        <v>445</v>
      </c>
      <c r="C33" s="10" t="s">
        <v>446</v>
      </c>
      <c r="D33" s="10" t="s">
        <v>89</v>
      </c>
      <c r="E33" s="10" t="str">
        <f t="shared" si="0"/>
        <v>-</v>
      </c>
      <c r="F33" s="10" t="s">
        <v>447</v>
      </c>
      <c r="G33" s="10" t="s">
        <v>448</v>
      </c>
    </row>
    <row r="34" spans="1:7" ht="18.75" customHeight="1" x14ac:dyDescent="0.25">
      <c r="A34" s="8" t="s">
        <v>426</v>
      </c>
      <c r="B34" s="9" t="s">
        <v>449</v>
      </c>
      <c r="C34" s="8" t="s">
        <v>450</v>
      </c>
      <c r="D34" s="8">
        <v>24</v>
      </c>
      <c r="E34" s="8">
        <f t="shared" si="0"/>
        <v>192</v>
      </c>
      <c r="F34" s="8" t="s">
        <v>451</v>
      </c>
      <c r="G34" s="8" t="s">
        <v>452</v>
      </c>
    </row>
    <row r="35" spans="1:7" ht="18.75" customHeight="1" x14ac:dyDescent="0.25">
      <c r="A35" s="10" t="s">
        <v>453</v>
      </c>
      <c r="B35" s="4" t="s">
        <v>454</v>
      </c>
      <c r="C35" s="10" t="s">
        <v>455</v>
      </c>
      <c r="D35" s="10" t="s">
        <v>89</v>
      </c>
      <c r="E35" s="10" t="str">
        <f t="shared" si="0"/>
        <v>-</v>
      </c>
      <c r="F35" s="10" t="s">
        <v>456</v>
      </c>
      <c r="G35" s="10" t="s">
        <v>457</v>
      </c>
    </row>
    <row r="36" spans="1:7" ht="18.75" customHeight="1" x14ac:dyDescent="0.25">
      <c r="A36" s="8" t="s">
        <v>453</v>
      </c>
      <c r="B36" s="9" t="s">
        <v>458</v>
      </c>
      <c r="C36" s="8" t="s">
        <v>455</v>
      </c>
      <c r="D36" s="8" t="s">
        <v>89</v>
      </c>
      <c r="E36" s="8" t="str">
        <f t="shared" si="0"/>
        <v>-</v>
      </c>
      <c r="F36" s="8" t="s">
        <v>459</v>
      </c>
      <c r="G36" s="8" t="s">
        <v>460</v>
      </c>
    </row>
    <row r="37" spans="1:7" ht="18.75" customHeight="1" x14ac:dyDescent="0.25">
      <c r="A37" s="10" t="s">
        <v>453</v>
      </c>
      <c r="B37" s="4" t="s">
        <v>461</v>
      </c>
      <c r="C37" s="10" t="s">
        <v>462</v>
      </c>
      <c r="D37" s="10">
        <v>6</v>
      </c>
      <c r="E37" s="10">
        <f t="shared" si="0"/>
        <v>48</v>
      </c>
      <c r="F37" s="10" t="s">
        <v>463</v>
      </c>
      <c r="G37" s="10" t="s">
        <v>464</v>
      </c>
    </row>
    <row r="38" spans="1:7" ht="18.75" customHeight="1" x14ac:dyDescent="0.25">
      <c r="A38" s="8" t="s">
        <v>465</v>
      </c>
      <c r="B38" s="9" t="s">
        <v>466</v>
      </c>
      <c r="C38" s="8" t="s">
        <v>467</v>
      </c>
      <c r="D38" s="8" t="s">
        <v>89</v>
      </c>
      <c r="E38" s="8" t="str">
        <f t="shared" si="0"/>
        <v>-</v>
      </c>
      <c r="F38" s="8" t="s">
        <v>468</v>
      </c>
      <c r="G38" s="8" t="s">
        <v>469</v>
      </c>
    </row>
    <row r="39" spans="1:7" ht="18.75" customHeight="1" x14ac:dyDescent="0.25">
      <c r="A39" s="10" t="s">
        <v>465</v>
      </c>
      <c r="B39" s="4" t="s">
        <v>470</v>
      </c>
      <c r="C39" s="10" t="s">
        <v>471</v>
      </c>
      <c r="D39" s="11" t="s">
        <v>89</v>
      </c>
      <c r="E39" s="10" t="str">
        <f t="shared" si="0"/>
        <v>-</v>
      </c>
      <c r="F39" s="10" t="s">
        <v>472</v>
      </c>
      <c r="G39" s="10" t="s">
        <v>473</v>
      </c>
    </row>
    <row r="40" spans="1:7" ht="18.75" customHeight="1" x14ac:dyDescent="0.25">
      <c r="A40" s="8" t="s">
        <v>474</v>
      </c>
      <c r="B40" s="9" t="s">
        <v>475</v>
      </c>
      <c r="C40" s="8" t="s">
        <v>364</v>
      </c>
      <c r="D40" s="12" t="s">
        <v>89</v>
      </c>
      <c r="E40" s="8" t="str">
        <f t="shared" si="0"/>
        <v>-</v>
      </c>
      <c r="F40" s="8" t="s">
        <v>89</v>
      </c>
      <c r="G40" s="8" t="s">
        <v>476</v>
      </c>
    </row>
    <row r="41" spans="1:7" ht="18.75" customHeight="1" x14ac:dyDescent="0.25">
      <c r="A41" s="10" t="s">
        <v>474</v>
      </c>
      <c r="B41" s="4" t="s">
        <v>477</v>
      </c>
      <c r="C41" s="10" t="s">
        <v>364</v>
      </c>
      <c r="D41" s="11" t="s">
        <v>89</v>
      </c>
      <c r="E41" s="10" t="str">
        <f t="shared" si="0"/>
        <v>-</v>
      </c>
      <c r="F41" s="10" t="s">
        <v>89</v>
      </c>
      <c r="G41" s="10" t="s">
        <v>478</v>
      </c>
    </row>
    <row r="42" spans="1:7" ht="18.75" customHeight="1" x14ac:dyDescent="0.25">
      <c r="A42" s="8" t="s">
        <v>474</v>
      </c>
      <c r="B42" s="9" t="s">
        <v>479</v>
      </c>
      <c r="C42" s="8" t="s">
        <v>356</v>
      </c>
      <c r="D42" s="8">
        <v>4</v>
      </c>
      <c r="E42" s="8">
        <f t="shared" si="0"/>
        <v>32</v>
      </c>
      <c r="F42" s="8" t="s">
        <v>89</v>
      </c>
      <c r="G42" s="8" t="s">
        <v>480</v>
      </c>
    </row>
    <row r="43" spans="1:7" ht="18.75" customHeight="1" x14ac:dyDescent="0.25">
      <c r="A43" s="10" t="s">
        <v>481</v>
      </c>
      <c r="B43" s="4" t="s">
        <v>482</v>
      </c>
      <c r="C43" s="10" t="s">
        <v>364</v>
      </c>
      <c r="D43" s="11" t="s">
        <v>89</v>
      </c>
      <c r="E43" s="10" t="str">
        <f t="shared" si="0"/>
        <v>-</v>
      </c>
      <c r="F43" s="10" t="s">
        <v>483</v>
      </c>
      <c r="G43" s="10" t="s">
        <v>484</v>
      </c>
    </row>
    <row r="44" spans="1:7" ht="18.75" customHeight="1" x14ac:dyDescent="0.25">
      <c r="A44" s="8" t="s">
        <v>485</v>
      </c>
      <c r="B44" s="9" t="s">
        <v>50</v>
      </c>
      <c r="C44" s="8" t="s">
        <v>428</v>
      </c>
      <c r="D44" s="8">
        <v>16</v>
      </c>
      <c r="E44" s="8">
        <f t="shared" si="0"/>
        <v>128</v>
      </c>
      <c r="F44" s="8" t="s">
        <v>486</v>
      </c>
      <c r="G44" s="8" t="s">
        <v>487</v>
      </c>
    </row>
    <row r="45" spans="1:7" ht="18.75" customHeight="1" x14ac:dyDescent="0.25">
      <c r="A45" s="10" t="s">
        <v>488</v>
      </c>
      <c r="B45" s="4" t="s">
        <v>489</v>
      </c>
      <c r="C45" s="10" t="s">
        <v>364</v>
      </c>
      <c r="D45" s="11" t="s">
        <v>89</v>
      </c>
      <c r="E45" s="10" t="str">
        <f t="shared" si="0"/>
        <v>-</v>
      </c>
      <c r="F45" s="10" t="s">
        <v>490</v>
      </c>
      <c r="G45" s="10" t="s">
        <v>491</v>
      </c>
    </row>
    <row r="46" spans="1:7" ht="18.75" customHeight="1" x14ac:dyDescent="0.25">
      <c r="A46" s="8" t="s">
        <v>492</v>
      </c>
      <c r="B46" s="9" t="s">
        <v>493</v>
      </c>
      <c r="C46" s="8" t="s">
        <v>364</v>
      </c>
      <c r="D46" s="12" t="s">
        <v>89</v>
      </c>
      <c r="E46" s="8" t="str">
        <f t="shared" si="0"/>
        <v>-</v>
      </c>
      <c r="F46" s="8" t="s">
        <v>494</v>
      </c>
      <c r="G46" s="8" t="s">
        <v>495</v>
      </c>
    </row>
    <row r="47" spans="1:7" ht="18.75" customHeight="1" x14ac:dyDescent="0.25">
      <c r="A47" s="10" t="s">
        <v>496</v>
      </c>
      <c r="B47" s="4" t="s">
        <v>497</v>
      </c>
      <c r="C47" s="10" t="s">
        <v>364</v>
      </c>
      <c r="D47" s="11" t="s">
        <v>89</v>
      </c>
      <c r="E47" s="10" t="str">
        <f t="shared" si="0"/>
        <v>-</v>
      </c>
      <c r="F47" s="10" t="s">
        <v>498</v>
      </c>
      <c r="G47" s="10" t="s">
        <v>499</v>
      </c>
    </row>
    <row r="48" spans="1:7" ht="18.75" customHeight="1" x14ac:dyDescent="0.25">
      <c r="A48" s="8" t="s">
        <v>500</v>
      </c>
      <c r="B48" s="9" t="s">
        <v>501</v>
      </c>
      <c r="C48" s="8" t="s">
        <v>364</v>
      </c>
      <c r="D48" s="12" t="s">
        <v>89</v>
      </c>
      <c r="E48" s="8" t="str">
        <f t="shared" si="0"/>
        <v>-</v>
      </c>
      <c r="F48" s="8" t="s">
        <v>502</v>
      </c>
      <c r="G48" s="8" t="s">
        <v>503</v>
      </c>
    </row>
    <row r="49" spans="1:7" ht="18.75" customHeight="1" x14ac:dyDescent="0.25">
      <c r="A49" s="10" t="s">
        <v>500</v>
      </c>
      <c r="B49" s="4" t="s">
        <v>504</v>
      </c>
      <c r="C49" s="10" t="s">
        <v>364</v>
      </c>
      <c r="D49" s="11" t="s">
        <v>89</v>
      </c>
      <c r="E49" s="10" t="str">
        <f t="shared" si="0"/>
        <v>-</v>
      </c>
      <c r="F49" s="10" t="s">
        <v>505</v>
      </c>
      <c r="G49" s="10" t="s">
        <v>506</v>
      </c>
    </row>
    <row r="50" spans="1:7" ht="18.75" customHeight="1" x14ac:dyDescent="0.25">
      <c r="A50" s="8" t="s">
        <v>500</v>
      </c>
      <c r="B50" s="9" t="s">
        <v>507</v>
      </c>
      <c r="C50" s="8" t="s">
        <v>364</v>
      </c>
      <c r="D50" s="12" t="s">
        <v>89</v>
      </c>
      <c r="E50" s="8" t="str">
        <f t="shared" si="0"/>
        <v>-</v>
      </c>
      <c r="F50" s="8" t="s">
        <v>508</v>
      </c>
      <c r="G50" s="8" t="s">
        <v>509</v>
      </c>
    </row>
    <row r="51" spans="1:7" ht="18.75" customHeight="1" x14ac:dyDescent="0.25">
      <c r="A51" s="10" t="s">
        <v>500</v>
      </c>
      <c r="B51" s="4" t="s">
        <v>510</v>
      </c>
      <c r="C51" s="10" t="s">
        <v>364</v>
      </c>
      <c r="D51" s="11" t="s">
        <v>89</v>
      </c>
      <c r="E51" s="10" t="str">
        <f t="shared" si="0"/>
        <v>-</v>
      </c>
      <c r="F51" s="10" t="s">
        <v>511</v>
      </c>
      <c r="G51" s="10" t="s">
        <v>512</v>
      </c>
    </row>
    <row r="52" spans="1:7" ht="18.75" customHeight="1" x14ac:dyDescent="0.25">
      <c r="A52" s="8" t="s">
        <v>500</v>
      </c>
      <c r="B52" s="9" t="s">
        <v>513</v>
      </c>
      <c r="C52" s="8" t="s">
        <v>364</v>
      </c>
      <c r="D52" s="12" t="s">
        <v>89</v>
      </c>
      <c r="E52" s="8" t="str">
        <f t="shared" si="0"/>
        <v>-</v>
      </c>
      <c r="F52" s="8" t="s">
        <v>514</v>
      </c>
      <c r="G52" s="8" t="s">
        <v>515</v>
      </c>
    </row>
    <row r="53" spans="1:7" ht="18.75" customHeight="1" x14ac:dyDescent="0.25">
      <c r="A53" s="10" t="s">
        <v>500</v>
      </c>
      <c r="B53" s="4" t="s">
        <v>516</v>
      </c>
      <c r="C53" s="10" t="s">
        <v>364</v>
      </c>
      <c r="D53" s="11" t="s">
        <v>89</v>
      </c>
      <c r="E53" s="10" t="str">
        <f t="shared" si="0"/>
        <v>-</v>
      </c>
      <c r="F53" s="10" t="s">
        <v>517</v>
      </c>
      <c r="G53" s="10" t="s">
        <v>518</v>
      </c>
    </row>
    <row r="54" spans="1:7" ht="18.75" customHeight="1" x14ac:dyDescent="0.25">
      <c r="B54" s="13"/>
    </row>
    <row r="55" spans="1:7" ht="18.75" customHeight="1" x14ac:dyDescent="0.25"/>
    <row r="56" spans="1:7" ht="18.75" customHeight="1" x14ac:dyDescent="0.25"/>
    <row r="57" spans="1:7" ht="18.75" customHeight="1" x14ac:dyDescent="0.25"/>
    <row r="58" spans="1:7" ht="18.75" customHeight="1" x14ac:dyDescent="0.25"/>
    <row r="59" spans="1:7" ht="18.75" customHeight="1" x14ac:dyDescent="0.25"/>
    <row r="60" spans="1:7" ht="18.75" customHeight="1" x14ac:dyDescent="0.25"/>
    <row r="61" spans="1:7" ht="18.75" customHeight="1" x14ac:dyDescent="0.25"/>
    <row r="62" spans="1:7" ht="18.75" customHeight="1" x14ac:dyDescent="0.25"/>
    <row r="63" spans="1:7" ht="18.75" customHeight="1" x14ac:dyDescent="0.25"/>
    <row r="64" spans="1:7" ht="18.75" customHeight="1" x14ac:dyDescent="0.25"/>
    <row r="65" ht="18.75" customHeight="1" x14ac:dyDescent="0.25"/>
    <row r="66" ht="18.75" customHeight="1" x14ac:dyDescent="0.25"/>
    <row r="67" ht="18.75" customHeight="1" x14ac:dyDescent="0.25"/>
    <row r="68" ht="18.75" customHeight="1" x14ac:dyDescent="0.25"/>
    <row r="69" ht="18.75" customHeight="1" x14ac:dyDescent="0.25"/>
    <row r="70" ht="18.75" customHeight="1" x14ac:dyDescent="0.25"/>
    <row r="71" ht="18.75" customHeight="1" x14ac:dyDescent="0.25"/>
    <row r="72" ht="18.75" customHeight="1" x14ac:dyDescent="0.25"/>
    <row r="73" ht="18.75" customHeight="1" x14ac:dyDescent="0.25"/>
    <row r="74" ht="18.75" customHeight="1" x14ac:dyDescent="0.25"/>
    <row r="75" ht="18.75" customHeight="1" x14ac:dyDescent="0.25"/>
    <row r="76" ht="18.75" customHeight="1" x14ac:dyDescent="0.25"/>
    <row r="77" ht="18.75" customHeight="1" x14ac:dyDescent="0.25"/>
    <row r="78" ht="18.75" customHeight="1" x14ac:dyDescent="0.25"/>
    <row r="79" ht="18.75" customHeight="1" x14ac:dyDescent="0.25"/>
    <row r="80" ht="18.75" customHeight="1" x14ac:dyDescent="0.25"/>
    <row r="81" ht="18.75" customHeight="1" x14ac:dyDescent="0.25"/>
    <row r="82" ht="18.75" customHeight="1" x14ac:dyDescent="0.25"/>
    <row r="83" ht="18.75" customHeight="1" x14ac:dyDescent="0.25"/>
    <row r="84" ht="18.75" customHeight="1" x14ac:dyDescent="0.25"/>
    <row r="85" ht="18.75" customHeight="1" x14ac:dyDescent="0.25"/>
    <row r="86" ht="18.75" customHeight="1" x14ac:dyDescent="0.25"/>
    <row r="87" ht="18.75" customHeight="1" x14ac:dyDescent="0.25"/>
    <row r="88" ht="18.75" customHeight="1" x14ac:dyDescent="0.25"/>
    <row r="89" ht="18.75" customHeight="1" x14ac:dyDescent="0.25"/>
    <row r="90" ht="18.75" customHeight="1" x14ac:dyDescent="0.25"/>
    <row r="91" ht="18.75" customHeight="1" x14ac:dyDescent="0.25"/>
    <row r="92" ht="18.75" customHeight="1" x14ac:dyDescent="0.25"/>
    <row r="93" ht="18.75" customHeight="1" x14ac:dyDescent="0.25"/>
    <row r="94" ht="18.75" customHeight="1" x14ac:dyDescent="0.25"/>
    <row r="95" ht="18.75" customHeight="1" x14ac:dyDescent="0.25"/>
    <row r="96" ht="18.75" customHeight="1" x14ac:dyDescent="0.25"/>
    <row r="97" ht="18.75" customHeight="1" x14ac:dyDescent="0.25"/>
    <row r="98" ht="18.75" customHeight="1" x14ac:dyDescent="0.25"/>
    <row r="99" ht="18.75" customHeight="1" x14ac:dyDescent="0.25"/>
    <row r="100" ht="18.75" customHeight="1" x14ac:dyDescent="0.25"/>
    <row r="101" ht="18.75" customHeight="1" x14ac:dyDescent="0.25"/>
    <row r="102" ht="18.75" customHeight="1" x14ac:dyDescent="0.25"/>
    <row r="103" ht="18.75" customHeight="1" x14ac:dyDescent="0.25"/>
    <row r="104" ht="18.75" customHeight="1" x14ac:dyDescent="0.25"/>
    <row r="105" ht="18.75" customHeight="1" x14ac:dyDescent="0.25"/>
    <row r="106" ht="18.75" customHeight="1" x14ac:dyDescent="0.25"/>
    <row r="107" ht="18.75" customHeight="1" x14ac:dyDescent="0.25"/>
    <row r="108" ht="18.75" customHeight="1" x14ac:dyDescent="0.25"/>
    <row r="109" ht="18.75" customHeight="1" x14ac:dyDescent="0.25"/>
    <row r="110" ht="18.75" customHeight="1" x14ac:dyDescent="0.25"/>
    <row r="111" ht="18.75" customHeight="1" x14ac:dyDescent="0.25"/>
    <row r="112" ht="18.75" customHeight="1" x14ac:dyDescent="0.25"/>
    <row r="113" ht="18.75" customHeight="1" x14ac:dyDescent="0.25"/>
    <row r="114" ht="18.75" customHeight="1" x14ac:dyDescent="0.25"/>
    <row r="115" ht="18.75" customHeight="1" x14ac:dyDescent="0.25"/>
    <row r="116" ht="18.75" customHeight="1" x14ac:dyDescent="0.25"/>
    <row r="117" ht="18.75" customHeight="1" x14ac:dyDescent="0.25"/>
    <row r="118" ht="18.75" customHeight="1" x14ac:dyDescent="0.25"/>
    <row r="119" ht="18.75" customHeight="1" x14ac:dyDescent="0.25"/>
    <row r="120" ht="18.75" customHeight="1" x14ac:dyDescent="0.25"/>
    <row r="121" ht="18.75" customHeight="1" x14ac:dyDescent="0.25"/>
    <row r="122" ht="18.75" customHeight="1" x14ac:dyDescent="0.25"/>
    <row r="123" ht="18.75" customHeight="1" x14ac:dyDescent="0.25"/>
    <row r="124" ht="18.75" customHeight="1" x14ac:dyDescent="0.25"/>
    <row r="125" ht="18.75" customHeight="1" x14ac:dyDescent="0.25"/>
    <row r="126" ht="18.75" customHeight="1" x14ac:dyDescent="0.25"/>
    <row r="127" ht="18.75" customHeight="1" x14ac:dyDescent="0.25"/>
    <row r="128" ht="18.75" customHeight="1" x14ac:dyDescent="0.25"/>
    <row r="129" ht="18.75" customHeight="1" x14ac:dyDescent="0.25"/>
    <row r="130" ht="18.75" customHeight="1" x14ac:dyDescent="0.25"/>
    <row r="131" ht="18.75" customHeight="1" x14ac:dyDescent="0.25"/>
    <row r="132" ht="18.75" customHeight="1" x14ac:dyDescent="0.25"/>
    <row r="133" ht="18.75" customHeight="1" x14ac:dyDescent="0.25"/>
    <row r="134" ht="18.75" customHeight="1" x14ac:dyDescent="0.25"/>
    <row r="135" ht="18.75" customHeight="1" x14ac:dyDescent="0.25"/>
    <row r="136" ht="18.75" customHeight="1" x14ac:dyDescent="0.25"/>
    <row r="137" ht="18.75" customHeight="1" x14ac:dyDescent="0.25"/>
    <row r="138" ht="18.75" customHeight="1" x14ac:dyDescent="0.25"/>
    <row r="139" ht="18.75" customHeight="1" x14ac:dyDescent="0.25"/>
    <row r="140" ht="18.75" customHeight="1" x14ac:dyDescent="0.25"/>
    <row r="141" ht="18.75" customHeight="1" x14ac:dyDescent="0.25"/>
    <row r="142" ht="18.75" customHeight="1" x14ac:dyDescent="0.25"/>
    <row r="143" ht="18.75" customHeight="1" x14ac:dyDescent="0.25"/>
    <row r="144" ht="18.75" customHeight="1" x14ac:dyDescent="0.25"/>
    <row r="145" ht="18.75" customHeight="1" x14ac:dyDescent="0.25"/>
    <row r="146" ht="18.75" customHeight="1" x14ac:dyDescent="0.25"/>
    <row r="147" ht="18.75" customHeight="1" x14ac:dyDescent="0.25"/>
    <row r="148" ht="18.75" customHeight="1" x14ac:dyDescent="0.25"/>
    <row r="149" ht="18.75" customHeight="1" x14ac:dyDescent="0.25"/>
    <row r="150" ht="18.75" customHeight="1" x14ac:dyDescent="0.25"/>
    <row r="151" ht="18.75" customHeight="1" x14ac:dyDescent="0.25"/>
    <row r="152" ht="18.75" customHeight="1" x14ac:dyDescent="0.25"/>
    <row r="153" ht="18.75" customHeight="1" x14ac:dyDescent="0.25"/>
    <row r="154" ht="18.75" customHeight="1" x14ac:dyDescent="0.25"/>
    <row r="155" ht="18.75" customHeight="1" x14ac:dyDescent="0.25"/>
    <row r="156" ht="18.75" customHeight="1" x14ac:dyDescent="0.25"/>
    <row r="157" ht="18.75" customHeight="1" x14ac:dyDescent="0.25"/>
    <row r="158" ht="18.75" customHeight="1" x14ac:dyDescent="0.25"/>
    <row r="159" ht="18.75" customHeight="1" x14ac:dyDescent="0.25"/>
    <row r="160" ht="18.75" customHeight="1" x14ac:dyDescent="0.25"/>
    <row r="161" ht="18.75" customHeight="1" x14ac:dyDescent="0.25"/>
    <row r="162" ht="18.75" customHeight="1" x14ac:dyDescent="0.25"/>
    <row r="163" ht="18.75" customHeight="1" x14ac:dyDescent="0.25"/>
    <row r="164" ht="18.75" customHeight="1" x14ac:dyDescent="0.25"/>
    <row r="165" ht="18.75" customHeight="1" x14ac:dyDescent="0.25"/>
    <row r="166" ht="18.75" customHeight="1" x14ac:dyDescent="0.25"/>
    <row r="167" ht="18.75" customHeight="1" x14ac:dyDescent="0.25"/>
    <row r="168" ht="18.75" customHeight="1" x14ac:dyDescent="0.25"/>
    <row r="169" ht="18.75" customHeight="1" x14ac:dyDescent="0.25"/>
    <row r="170" ht="18.75" customHeight="1" x14ac:dyDescent="0.25"/>
    <row r="171" ht="18.75" customHeight="1" x14ac:dyDescent="0.25"/>
    <row r="172" ht="18.75" customHeight="1" x14ac:dyDescent="0.25"/>
    <row r="173" ht="18.75" customHeight="1" x14ac:dyDescent="0.25"/>
    <row r="174" ht="18.75" customHeight="1" x14ac:dyDescent="0.25"/>
    <row r="175" ht="18.75" customHeight="1" x14ac:dyDescent="0.25"/>
    <row r="176" ht="18.75" customHeight="1" x14ac:dyDescent="0.25"/>
    <row r="177" ht="18.75" customHeight="1" x14ac:dyDescent="0.25"/>
    <row r="178" ht="18.75" customHeight="1" x14ac:dyDescent="0.25"/>
    <row r="179" ht="18.75" customHeight="1" x14ac:dyDescent="0.25"/>
    <row r="180" ht="18.75" customHeight="1" x14ac:dyDescent="0.25"/>
    <row r="181" ht="18.75" customHeight="1" x14ac:dyDescent="0.25"/>
    <row r="182" ht="18.75" customHeight="1" x14ac:dyDescent="0.25"/>
    <row r="183" ht="18.75" customHeight="1" x14ac:dyDescent="0.25"/>
    <row r="184" ht="18.75" customHeight="1" x14ac:dyDescent="0.25"/>
    <row r="185" ht="18.75" customHeight="1" x14ac:dyDescent="0.25"/>
    <row r="186" ht="18.75" customHeight="1" x14ac:dyDescent="0.25"/>
    <row r="187" ht="18.75" customHeight="1" x14ac:dyDescent="0.25"/>
    <row r="188" ht="18.75" customHeight="1" x14ac:dyDescent="0.25"/>
    <row r="189" ht="18.75" customHeight="1" x14ac:dyDescent="0.25"/>
    <row r="190" ht="18.75" customHeight="1" x14ac:dyDescent="0.25"/>
    <row r="191" ht="18.75" customHeight="1" x14ac:dyDescent="0.25"/>
    <row r="192" ht="18.75" customHeight="1" x14ac:dyDescent="0.25"/>
    <row r="193" ht="18.75" customHeight="1" x14ac:dyDescent="0.25"/>
    <row r="194" ht="18.75" customHeight="1" x14ac:dyDescent="0.25"/>
    <row r="195" ht="18.75" customHeight="1" x14ac:dyDescent="0.25"/>
    <row r="196" ht="18.75" customHeight="1" x14ac:dyDescent="0.25"/>
    <row r="197" ht="18.75" customHeight="1" x14ac:dyDescent="0.25"/>
    <row r="198" ht="18.75" customHeight="1" x14ac:dyDescent="0.25"/>
    <row r="199" ht="18.75" customHeight="1" x14ac:dyDescent="0.25"/>
    <row r="200" ht="18.75" customHeight="1" x14ac:dyDescent="0.25"/>
    <row r="201" ht="18.75" customHeight="1" x14ac:dyDescent="0.25"/>
    <row r="202" ht="18.75" customHeight="1" x14ac:dyDescent="0.25"/>
    <row r="203" ht="18.75" customHeight="1" x14ac:dyDescent="0.25"/>
    <row r="204" ht="18.75" customHeight="1" x14ac:dyDescent="0.25"/>
    <row r="205" ht="18.75" customHeight="1" x14ac:dyDescent="0.25"/>
    <row r="206" ht="18.75" customHeight="1" x14ac:dyDescent="0.25"/>
    <row r="207" ht="18.75" customHeight="1" x14ac:dyDescent="0.25"/>
    <row r="208" ht="18.75" customHeight="1" x14ac:dyDescent="0.25"/>
    <row r="209" ht="18.75" customHeight="1" x14ac:dyDescent="0.25"/>
    <row r="210" ht="18.75" customHeight="1" x14ac:dyDescent="0.25"/>
    <row r="211" ht="18.75" customHeight="1" x14ac:dyDescent="0.25"/>
    <row r="212" ht="18.75" customHeight="1" x14ac:dyDescent="0.25"/>
    <row r="213" ht="18.75" customHeight="1" x14ac:dyDescent="0.25"/>
    <row r="214" ht="18.75" customHeight="1" x14ac:dyDescent="0.25"/>
    <row r="215" ht="18.75" customHeight="1" x14ac:dyDescent="0.25"/>
    <row r="216" ht="18.75" customHeight="1" x14ac:dyDescent="0.25"/>
    <row r="217" ht="18.75" customHeight="1" x14ac:dyDescent="0.25"/>
    <row r="218" ht="18.75" customHeight="1" x14ac:dyDescent="0.25"/>
    <row r="219" ht="18.75" customHeight="1" x14ac:dyDescent="0.25"/>
    <row r="220" ht="18.75" customHeight="1" x14ac:dyDescent="0.25"/>
    <row r="221" ht="18.75" customHeight="1" x14ac:dyDescent="0.25"/>
    <row r="222" ht="18.75" customHeight="1" x14ac:dyDescent="0.25"/>
    <row r="223" ht="18.75" customHeight="1" x14ac:dyDescent="0.25"/>
    <row r="224" ht="18.75" customHeight="1" x14ac:dyDescent="0.25"/>
    <row r="225" ht="18.75" customHeight="1" x14ac:dyDescent="0.25"/>
    <row r="226" ht="18.75" customHeight="1" x14ac:dyDescent="0.25"/>
    <row r="227" ht="18.75" customHeight="1" x14ac:dyDescent="0.25"/>
    <row r="228" ht="18.75" customHeight="1" x14ac:dyDescent="0.25"/>
    <row r="229" ht="18.75" customHeight="1" x14ac:dyDescent="0.25"/>
    <row r="230" ht="18.75" customHeight="1" x14ac:dyDescent="0.25"/>
    <row r="231" ht="18.75" customHeight="1" x14ac:dyDescent="0.25"/>
    <row r="232" ht="18.75" customHeight="1" x14ac:dyDescent="0.25"/>
    <row r="233" ht="18.75" customHeight="1" x14ac:dyDescent="0.25"/>
    <row r="234" ht="18.75" customHeight="1" x14ac:dyDescent="0.25"/>
    <row r="235" ht="18.75" customHeight="1" x14ac:dyDescent="0.25"/>
    <row r="236" ht="18.75" customHeight="1" x14ac:dyDescent="0.25"/>
    <row r="237" ht="18.75" customHeight="1" x14ac:dyDescent="0.25"/>
    <row r="238" ht="18.75" customHeight="1" x14ac:dyDescent="0.25"/>
    <row r="239" ht="18.75" customHeight="1" x14ac:dyDescent="0.25"/>
    <row r="240" ht="18.75" customHeight="1" x14ac:dyDescent="0.25"/>
    <row r="241" ht="18.75" customHeight="1" x14ac:dyDescent="0.25"/>
    <row r="242" ht="18.75" customHeight="1" x14ac:dyDescent="0.25"/>
    <row r="243" ht="18.75" customHeight="1" x14ac:dyDescent="0.25"/>
    <row r="244" ht="18.75" customHeight="1" x14ac:dyDescent="0.25"/>
    <row r="245" ht="18.75" customHeight="1" x14ac:dyDescent="0.25"/>
    <row r="246" ht="18.75" customHeight="1" x14ac:dyDescent="0.25"/>
    <row r="247" ht="18.75" customHeight="1" x14ac:dyDescent="0.25"/>
    <row r="248" ht="18.75" customHeight="1" x14ac:dyDescent="0.25"/>
    <row r="249" ht="18.75" customHeight="1" x14ac:dyDescent="0.25"/>
    <row r="250" ht="18.75" customHeight="1" x14ac:dyDescent="0.25"/>
    <row r="251" ht="18.75" customHeight="1" x14ac:dyDescent="0.25"/>
    <row r="252" ht="18.75" customHeight="1" x14ac:dyDescent="0.25"/>
    <row r="253" ht="18.75" customHeight="1" x14ac:dyDescent="0.25"/>
    <row r="254" ht="18.75" customHeight="1" x14ac:dyDescent="0.25"/>
    <row r="255" ht="18.75" customHeight="1" x14ac:dyDescent="0.25"/>
    <row r="256" ht="18.75" customHeight="1" x14ac:dyDescent="0.25"/>
    <row r="257" ht="18.75" customHeight="1" x14ac:dyDescent="0.25"/>
    <row r="258" ht="18.75" customHeight="1" x14ac:dyDescent="0.25"/>
    <row r="259" ht="18.75" customHeight="1" x14ac:dyDescent="0.25"/>
    <row r="260" ht="18.75" customHeight="1" x14ac:dyDescent="0.25"/>
    <row r="261" ht="18.75" customHeight="1" x14ac:dyDescent="0.25"/>
    <row r="262" ht="18.75" customHeight="1" x14ac:dyDescent="0.25"/>
    <row r="263" ht="18.75" customHeight="1" x14ac:dyDescent="0.25"/>
    <row r="264" ht="18.75" customHeight="1" x14ac:dyDescent="0.25"/>
    <row r="265" ht="18.75" customHeight="1" x14ac:dyDescent="0.25"/>
    <row r="266" ht="18.75" customHeight="1" x14ac:dyDescent="0.25"/>
    <row r="267" ht="18.75" customHeight="1" x14ac:dyDescent="0.25"/>
    <row r="268" ht="18.75" customHeight="1" x14ac:dyDescent="0.25"/>
    <row r="269" ht="18.75" customHeight="1" x14ac:dyDescent="0.25"/>
    <row r="270" ht="18.75" customHeight="1" x14ac:dyDescent="0.25"/>
    <row r="271" ht="18.75" customHeight="1" x14ac:dyDescent="0.25"/>
    <row r="272" ht="18.75" customHeight="1" x14ac:dyDescent="0.25"/>
    <row r="273" ht="18.75" customHeight="1" x14ac:dyDescent="0.25"/>
    <row r="274" ht="18.75" customHeight="1" x14ac:dyDescent="0.25"/>
    <row r="275" ht="18.75" customHeight="1" x14ac:dyDescent="0.25"/>
    <row r="276" ht="18.75" customHeight="1" x14ac:dyDescent="0.25"/>
    <row r="277" ht="18.75" customHeight="1" x14ac:dyDescent="0.25"/>
    <row r="278" ht="18.75" customHeight="1" x14ac:dyDescent="0.25"/>
    <row r="279" ht="18.75" customHeight="1" x14ac:dyDescent="0.25"/>
    <row r="280" ht="18.75" customHeight="1" x14ac:dyDescent="0.25"/>
    <row r="281" ht="18.75" customHeight="1" x14ac:dyDescent="0.25"/>
    <row r="282" ht="18.75" customHeight="1" x14ac:dyDescent="0.25"/>
    <row r="283" ht="18.75" customHeight="1" x14ac:dyDescent="0.25"/>
    <row r="284" ht="18.75" customHeight="1" x14ac:dyDescent="0.25"/>
    <row r="285" ht="18.75" customHeight="1" x14ac:dyDescent="0.25"/>
    <row r="286" ht="18.75" customHeight="1" x14ac:dyDescent="0.25"/>
    <row r="287" ht="18.75" customHeight="1" x14ac:dyDescent="0.25"/>
    <row r="288" ht="18.75" customHeight="1" x14ac:dyDescent="0.25"/>
    <row r="289" ht="18.75" customHeight="1" x14ac:dyDescent="0.25"/>
    <row r="290" ht="18.75" customHeight="1" x14ac:dyDescent="0.25"/>
    <row r="291" ht="18.75" customHeight="1" x14ac:dyDescent="0.25"/>
    <row r="292" ht="18.75" customHeight="1" x14ac:dyDescent="0.25"/>
    <row r="293" ht="18.75" customHeight="1" x14ac:dyDescent="0.25"/>
    <row r="294" ht="18.75" customHeight="1" x14ac:dyDescent="0.25"/>
    <row r="295" ht="18.75" customHeight="1" x14ac:dyDescent="0.25"/>
    <row r="296" ht="18.75" customHeight="1" x14ac:dyDescent="0.25"/>
    <row r="297" ht="18.75" customHeight="1" x14ac:dyDescent="0.25"/>
    <row r="298" ht="18.75" customHeight="1" x14ac:dyDescent="0.25"/>
    <row r="299" ht="18.75" customHeight="1" x14ac:dyDescent="0.25"/>
    <row r="300" ht="18.75" customHeight="1" x14ac:dyDescent="0.25"/>
    <row r="301" ht="18.75" customHeight="1" x14ac:dyDescent="0.25"/>
    <row r="302" ht="18.75" customHeight="1" x14ac:dyDescent="0.25"/>
    <row r="303" ht="18.75" customHeight="1" x14ac:dyDescent="0.25"/>
    <row r="304" ht="18.75" customHeight="1" x14ac:dyDescent="0.25"/>
    <row r="305" ht="18.75" customHeight="1" x14ac:dyDescent="0.25"/>
    <row r="306" ht="18.75" customHeight="1" x14ac:dyDescent="0.25"/>
    <row r="307" ht="18.75" customHeight="1" x14ac:dyDescent="0.25"/>
    <row r="308" ht="18.75" customHeight="1" x14ac:dyDescent="0.25"/>
    <row r="309" ht="18.75" customHeight="1" x14ac:dyDescent="0.25"/>
    <row r="310" ht="18.75" customHeight="1" x14ac:dyDescent="0.25"/>
    <row r="311" ht="18.75" customHeight="1" x14ac:dyDescent="0.25"/>
    <row r="312" ht="18.75" customHeight="1" x14ac:dyDescent="0.25"/>
    <row r="313" ht="18.75" customHeight="1" x14ac:dyDescent="0.25"/>
    <row r="314" ht="18.75" customHeight="1" x14ac:dyDescent="0.25"/>
    <row r="315" ht="18.75" customHeight="1" x14ac:dyDescent="0.25"/>
    <row r="316" ht="18.75" customHeight="1" x14ac:dyDescent="0.25"/>
    <row r="317" ht="18.75" customHeight="1" x14ac:dyDescent="0.25"/>
    <row r="318" ht="18.75" customHeight="1" x14ac:dyDescent="0.25"/>
    <row r="319" ht="18.75" customHeight="1" x14ac:dyDescent="0.25"/>
    <row r="320" ht="18.75" customHeight="1" x14ac:dyDescent="0.25"/>
    <row r="321" ht="18.75" customHeight="1" x14ac:dyDescent="0.25"/>
    <row r="322" ht="18.75" customHeight="1" x14ac:dyDescent="0.25"/>
    <row r="323" ht="18.75" customHeight="1" x14ac:dyDescent="0.25"/>
    <row r="324" ht="18.75" customHeight="1" x14ac:dyDescent="0.25"/>
    <row r="325" ht="18.75" customHeight="1" x14ac:dyDescent="0.25"/>
    <row r="326" ht="18.75" customHeight="1" x14ac:dyDescent="0.25"/>
    <row r="327" ht="18.75" customHeight="1" x14ac:dyDescent="0.25"/>
    <row r="328" ht="18.75" customHeight="1" x14ac:dyDescent="0.25"/>
    <row r="329" ht="18.75" customHeight="1" x14ac:dyDescent="0.25"/>
    <row r="330" ht="18.75" customHeight="1" x14ac:dyDescent="0.25"/>
    <row r="331" ht="18.75" customHeight="1" x14ac:dyDescent="0.25"/>
    <row r="332" ht="18.75" customHeight="1" x14ac:dyDescent="0.25"/>
    <row r="333" ht="18.75" customHeight="1" x14ac:dyDescent="0.25"/>
    <row r="334" ht="18.75" customHeight="1" x14ac:dyDescent="0.25"/>
    <row r="335" ht="18.75" customHeight="1" x14ac:dyDescent="0.25"/>
    <row r="336" ht="18.75" customHeight="1" x14ac:dyDescent="0.25"/>
    <row r="337" ht="18.75" customHeight="1" x14ac:dyDescent="0.25"/>
    <row r="338" ht="18.75" customHeight="1" x14ac:dyDescent="0.25"/>
    <row r="339" ht="18.75" customHeight="1" x14ac:dyDescent="0.25"/>
    <row r="340" ht="18.75" customHeight="1" x14ac:dyDescent="0.25"/>
    <row r="341" ht="18.75" customHeight="1" x14ac:dyDescent="0.25"/>
    <row r="342" ht="18.75" customHeight="1" x14ac:dyDescent="0.25"/>
    <row r="343" ht="18.75" customHeight="1" x14ac:dyDescent="0.25"/>
    <row r="344" ht="18.75" customHeight="1" x14ac:dyDescent="0.25"/>
    <row r="345" ht="18.75" customHeight="1" x14ac:dyDescent="0.25"/>
    <row r="346" ht="18.75" customHeight="1" x14ac:dyDescent="0.25"/>
    <row r="347" ht="18.75" customHeight="1" x14ac:dyDescent="0.25"/>
    <row r="348" ht="18.75" customHeight="1" x14ac:dyDescent="0.25"/>
    <row r="349" ht="18.75" customHeight="1" x14ac:dyDescent="0.25"/>
    <row r="350" ht="18.75" customHeight="1" x14ac:dyDescent="0.25"/>
    <row r="351" ht="18.75" customHeight="1" x14ac:dyDescent="0.25"/>
    <row r="352" ht="18.75" customHeight="1" x14ac:dyDescent="0.25"/>
    <row r="353" ht="18.75" customHeight="1" x14ac:dyDescent="0.25"/>
    <row r="354" ht="18.75" customHeight="1" x14ac:dyDescent="0.25"/>
    <row r="355" ht="18.75" customHeight="1" x14ac:dyDescent="0.25"/>
    <row r="356" ht="18.75" customHeight="1" x14ac:dyDescent="0.25"/>
    <row r="357" ht="18.75" customHeight="1" x14ac:dyDescent="0.25"/>
    <row r="358" ht="18.75" customHeight="1" x14ac:dyDescent="0.25"/>
    <row r="359" ht="18.75" customHeight="1" x14ac:dyDescent="0.25"/>
    <row r="360" ht="18.75" customHeight="1" x14ac:dyDescent="0.25"/>
    <row r="361" ht="18.75" customHeight="1" x14ac:dyDescent="0.25"/>
    <row r="362" ht="18.75" customHeight="1" x14ac:dyDescent="0.25"/>
    <row r="363" ht="18.75" customHeight="1" x14ac:dyDescent="0.25"/>
    <row r="364" ht="18.75" customHeight="1" x14ac:dyDescent="0.25"/>
    <row r="365" ht="18.75" customHeight="1" x14ac:dyDescent="0.25"/>
    <row r="366" ht="18.75" customHeight="1" x14ac:dyDescent="0.25"/>
    <row r="367" ht="18.75" customHeight="1" x14ac:dyDescent="0.25"/>
    <row r="368" ht="18.75" customHeight="1" x14ac:dyDescent="0.25"/>
    <row r="369" ht="18.75" customHeight="1" x14ac:dyDescent="0.25"/>
    <row r="370" ht="18.75" customHeight="1" x14ac:dyDescent="0.25"/>
    <row r="371" ht="18.75" customHeight="1" x14ac:dyDescent="0.25"/>
    <row r="372" ht="18.75" customHeight="1" x14ac:dyDescent="0.25"/>
    <row r="373" ht="18.75" customHeight="1" x14ac:dyDescent="0.25"/>
    <row r="374" ht="18.75" customHeight="1" x14ac:dyDescent="0.25"/>
    <row r="375" ht="18.75" customHeight="1" x14ac:dyDescent="0.25"/>
    <row r="376" ht="18.75" customHeight="1" x14ac:dyDescent="0.25"/>
    <row r="377" ht="18.75" customHeight="1" x14ac:dyDescent="0.25"/>
    <row r="378" ht="18.75" customHeight="1" x14ac:dyDescent="0.25"/>
    <row r="379" ht="18.75" customHeight="1" x14ac:dyDescent="0.25"/>
    <row r="380" ht="18.75" customHeight="1" x14ac:dyDescent="0.25"/>
    <row r="381" ht="18.75" customHeight="1" x14ac:dyDescent="0.25"/>
    <row r="382" ht="18.75" customHeight="1" x14ac:dyDescent="0.25"/>
    <row r="383" ht="18.75" customHeight="1" x14ac:dyDescent="0.25"/>
    <row r="384" ht="18.75" customHeight="1" x14ac:dyDescent="0.25"/>
    <row r="385" ht="18.75" customHeight="1" x14ac:dyDescent="0.25"/>
    <row r="386" ht="18.75" customHeight="1" x14ac:dyDescent="0.25"/>
    <row r="387" ht="18.75" customHeight="1" x14ac:dyDescent="0.25"/>
    <row r="388" ht="18.75" customHeight="1" x14ac:dyDescent="0.25"/>
    <row r="389" ht="18.75" customHeight="1" x14ac:dyDescent="0.25"/>
    <row r="390" ht="18.75" customHeight="1" x14ac:dyDescent="0.25"/>
    <row r="391" ht="18.75" customHeight="1" x14ac:dyDescent="0.25"/>
    <row r="392" ht="18.75" customHeight="1" x14ac:dyDescent="0.25"/>
    <row r="393" ht="18.75" customHeight="1" x14ac:dyDescent="0.25"/>
    <row r="394" ht="18.75" customHeight="1" x14ac:dyDescent="0.25"/>
    <row r="395" ht="18.75" customHeight="1" x14ac:dyDescent="0.25"/>
    <row r="396" ht="18.75" customHeight="1" x14ac:dyDescent="0.25"/>
    <row r="397" ht="18.75" customHeight="1" x14ac:dyDescent="0.25"/>
    <row r="398" ht="18.75" customHeight="1" x14ac:dyDescent="0.25"/>
    <row r="399" ht="18.75" customHeight="1" x14ac:dyDescent="0.25"/>
    <row r="400" ht="18.75" customHeight="1" x14ac:dyDescent="0.25"/>
    <row r="401" ht="18.75" customHeight="1" x14ac:dyDescent="0.25"/>
    <row r="402" ht="18.75" customHeight="1" x14ac:dyDescent="0.25"/>
    <row r="403" ht="18.75" customHeight="1" x14ac:dyDescent="0.25"/>
    <row r="404" ht="18.75" customHeight="1" x14ac:dyDescent="0.25"/>
    <row r="405" ht="18.75" customHeight="1" x14ac:dyDescent="0.25"/>
    <row r="406" ht="18.75" customHeight="1" x14ac:dyDescent="0.25"/>
    <row r="407" ht="18.75" customHeight="1" x14ac:dyDescent="0.25"/>
    <row r="408" ht="18.75" customHeight="1" x14ac:dyDescent="0.25"/>
    <row r="409" ht="18.75" customHeight="1" x14ac:dyDescent="0.25"/>
    <row r="410" ht="18.75" customHeight="1" x14ac:dyDescent="0.25"/>
    <row r="411" ht="18.75" customHeight="1" x14ac:dyDescent="0.25"/>
    <row r="412" ht="18.75" customHeight="1" x14ac:dyDescent="0.25"/>
    <row r="413" ht="18.75" customHeight="1" x14ac:dyDescent="0.25"/>
    <row r="414" ht="18.75" customHeight="1" x14ac:dyDescent="0.25"/>
    <row r="415" ht="18.75" customHeight="1" x14ac:dyDescent="0.25"/>
    <row r="416" ht="18.75" customHeight="1" x14ac:dyDescent="0.25"/>
    <row r="417" ht="18.75" customHeight="1" x14ac:dyDescent="0.25"/>
    <row r="418" ht="18.75" customHeight="1" x14ac:dyDescent="0.25"/>
    <row r="419" ht="18.75" customHeight="1" x14ac:dyDescent="0.25"/>
    <row r="420" ht="18.75" customHeight="1" x14ac:dyDescent="0.25"/>
    <row r="421" ht="18.75" customHeight="1" x14ac:dyDescent="0.25"/>
    <row r="422" ht="18.75" customHeight="1" x14ac:dyDescent="0.25"/>
    <row r="423" ht="18.75" customHeight="1" x14ac:dyDescent="0.25"/>
    <row r="424" ht="18.75" customHeight="1" x14ac:dyDescent="0.25"/>
    <row r="425" ht="18.75" customHeight="1" x14ac:dyDescent="0.25"/>
    <row r="426" ht="18.75" customHeight="1" x14ac:dyDescent="0.25"/>
    <row r="427" ht="18.75" customHeight="1" x14ac:dyDescent="0.25"/>
    <row r="428" ht="18.75" customHeight="1" x14ac:dyDescent="0.25"/>
    <row r="429" ht="18.75" customHeight="1" x14ac:dyDescent="0.25"/>
    <row r="430" ht="18.75" customHeight="1" x14ac:dyDescent="0.25"/>
    <row r="431" ht="18.75" customHeight="1" x14ac:dyDescent="0.25"/>
    <row r="432" ht="18.75" customHeight="1" x14ac:dyDescent="0.25"/>
    <row r="433" ht="18.75" customHeight="1" x14ac:dyDescent="0.25"/>
    <row r="434" ht="18.75" customHeight="1" x14ac:dyDescent="0.25"/>
    <row r="435" ht="18.75" customHeight="1" x14ac:dyDescent="0.25"/>
    <row r="436" ht="18.75" customHeight="1" x14ac:dyDescent="0.25"/>
    <row r="437" ht="18.75" customHeight="1" x14ac:dyDescent="0.25"/>
    <row r="438" ht="18.75" customHeight="1" x14ac:dyDescent="0.25"/>
    <row r="439" ht="18.75" customHeight="1" x14ac:dyDescent="0.25"/>
    <row r="440" ht="18.75" customHeight="1" x14ac:dyDescent="0.25"/>
    <row r="441" ht="18.75" customHeight="1" x14ac:dyDescent="0.25"/>
    <row r="442" ht="18.75" customHeight="1" x14ac:dyDescent="0.25"/>
    <row r="443" ht="18.75" customHeight="1" x14ac:dyDescent="0.25"/>
    <row r="444" ht="18.75" customHeight="1" x14ac:dyDescent="0.25"/>
    <row r="445" ht="18.75" customHeight="1" x14ac:dyDescent="0.25"/>
    <row r="446" ht="18.75" customHeight="1" x14ac:dyDescent="0.25"/>
    <row r="447" ht="18.75" customHeight="1" x14ac:dyDescent="0.25"/>
    <row r="448" ht="18.75" customHeight="1" x14ac:dyDescent="0.25"/>
    <row r="449" ht="18.75" customHeight="1" x14ac:dyDescent="0.25"/>
    <row r="450" ht="18.75" customHeight="1" x14ac:dyDescent="0.25"/>
    <row r="451" ht="18.75" customHeight="1" x14ac:dyDescent="0.25"/>
    <row r="452" ht="18.75" customHeight="1" x14ac:dyDescent="0.25"/>
    <row r="453" ht="18.75" customHeight="1" x14ac:dyDescent="0.25"/>
    <row r="454" ht="18.75" customHeight="1" x14ac:dyDescent="0.25"/>
    <row r="455" ht="18.75" customHeight="1" x14ac:dyDescent="0.25"/>
    <row r="456" ht="18.75" customHeight="1" x14ac:dyDescent="0.25"/>
    <row r="457" ht="18.75" customHeight="1" x14ac:dyDescent="0.25"/>
    <row r="458" ht="18.75" customHeight="1" x14ac:dyDescent="0.25"/>
    <row r="459" ht="18.75" customHeight="1" x14ac:dyDescent="0.25"/>
    <row r="460" ht="18.75" customHeight="1" x14ac:dyDescent="0.25"/>
    <row r="461" ht="18.75" customHeight="1" x14ac:dyDescent="0.25"/>
    <row r="462" ht="18.75" customHeight="1" x14ac:dyDescent="0.25"/>
    <row r="463" ht="18.75" customHeight="1" x14ac:dyDescent="0.25"/>
    <row r="464" ht="18.75" customHeight="1" x14ac:dyDescent="0.25"/>
    <row r="465" ht="18.75" customHeight="1" x14ac:dyDescent="0.25"/>
    <row r="466" ht="18.75" customHeight="1" x14ac:dyDescent="0.25"/>
    <row r="467" ht="18.75" customHeight="1" x14ac:dyDescent="0.25"/>
    <row r="468" ht="18.75" customHeight="1" x14ac:dyDescent="0.25"/>
    <row r="469" ht="18.75" customHeight="1" x14ac:dyDescent="0.25"/>
    <row r="470" ht="18.75" customHeight="1" x14ac:dyDescent="0.25"/>
    <row r="471" ht="18.75" customHeight="1" x14ac:dyDescent="0.25"/>
    <row r="472" ht="18.75" customHeight="1" x14ac:dyDescent="0.25"/>
    <row r="473" ht="18.75" customHeight="1" x14ac:dyDescent="0.25"/>
    <row r="474" ht="18.75" customHeight="1" x14ac:dyDescent="0.25"/>
    <row r="475" ht="18.75" customHeight="1" x14ac:dyDescent="0.25"/>
    <row r="476" ht="18.75" customHeight="1" x14ac:dyDescent="0.25"/>
    <row r="477" ht="18.75" customHeight="1" x14ac:dyDescent="0.25"/>
    <row r="478" ht="18.75" customHeight="1" x14ac:dyDescent="0.25"/>
    <row r="479" ht="18.75" customHeight="1" x14ac:dyDescent="0.25"/>
    <row r="480" ht="18.75" customHeight="1" x14ac:dyDescent="0.25"/>
    <row r="481" ht="18.75" customHeight="1" x14ac:dyDescent="0.25"/>
    <row r="482" ht="18.75" customHeight="1" x14ac:dyDescent="0.25"/>
    <row r="483" ht="18.75" customHeight="1" x14ac:dyDescent="0.25"/>
    <row r="484" ht="18.75" customHeight="1" x14ac:dyDescent="0.25"/>
    <row r="485" ht="18.75" customHeight="1" x14ac:dyDescent="0.25"/>
    <row r="486" ht="18.75" customHeight="1" x14ac:dyDescent="0.25"/>
    <row r="487" ht="18.75" customHeight="1" x14ac:dyDescent="0.25"/>
    <row r="488" ht="18.75" customHeight="1" x14ac:dyDescent="0.25"/>
    <row r="489" ht="18.75" customHeight="1" x14ac:dyDescent="0.25"/>
    <row r="490" ht="18.75" customHeight="1" x14ac:dyDescent="0.25"/>
    <row r="491" ht="18.75" customHeight="1" x14ac:dyDescent="0.25"/>
    <row r="492" ht="18.75" customHeight="1" x14ac:dyDescent="0.25"/>
    <row r="493" ht="18.75" customHeight="1" x14ac:dyDescent="0.25"/>
    <row r="494" ht="18.75" customHeight="1" x14ac:dyDescent="0.25"/>
    <row r="495" ht="18.75" customHeight="1" x14ac:dyDescent="0.25"/>
    <row r="496" ht="18.75" customHeight="1" x14ac:dyDescent="0.25"/>
    <row r="497" ht="18.75" customHeight="1" x14ac:dyDescent="0.25"/>
    <row r="498" ht="18.75" customHeight="1" x14ac:dyDescent="0.25"/>
    <row r="499" ht="18.75" customHeight="1" x14ac:dyDescent="0.25"/>
    <row r="500" ht="18.75" customHeight="1" x14ac:dyDescent="0.25"/>
    <row r="501" ht="18.75" customHeight="1" x14ac:dyDescent="0.25"/>
    <row r="502" ht="18.75" customHeight="1" x14ac:dyDescent="0.25"/>
    <row r="503" ht="18.75" customHeight="1" x14ac:dyDescent="0.25"/>
    <row r="504" ht="18.75" customHeight="1" x14ac:dyDescent="0.25"/>
    <row r="505" ht="18.75" customHeight="1" x14ac:dyDescent="0.25"/>
    <row r="506" ht="18.75" customHeight="1" x14ac:dyDescent="0.25"/>
    <row r="507" ht="18.75" customHeight="1" x14ac:dyDescent="0.25"/>
    <row r="508" ht="18.75" customHeight="1" x14ac:dyDescent="0.25"/>
    <row r="509" ht="18.75" customHeight="1" x14ac:dyDescent="0.25"/>
    <row r="510" ht="18.75" customHeight="1" x14ac:dyDescent="0.25"/>
    <row r="511" ht="18.75" customHeight="1" x14ac:dyDescent="0.25"/>
    <row r="512" ht="18.75" customHeight="1" x14ac:dyDescent="0.25"/>
    <row r="513" ht="18.75" customHeight="1" x14ac:dyDescent="0.25"/>
    <row r="514" ht="18.75" customHeight="1" x14ac:dyDescent="0.25"/>
    <row r="515" ht="18.75" customHeight="1" x14ac:dyDescent="0.25"/>
    <row r="516" ht="18.75" customHeight="1" x14ac:dyDescent="0.25"/>
    <row r="517" ht="18.75" customHeight="1" x14ac:dyDescent="0.25"/>
    <row r="518" ht="18.75" customHeight="1" x14ac:dyDescent="0.25"/>
    <row r="519" ht="18.75" customHeight="1" x14ac:dyDescent="0.25"/>
    <row r="520" ht="18.75" customHeight="1" x14ac:dyDescent="0.25"/>
    <row r="521" ht="18.75" customHeight="1" x14ac:dyDescent="0.25"/>
    <row r="522" ht="18.75" customHeight="1" x14ac:dyDescent="0.25"/>
    <row r="523" ht="18.75" customHeight="1" x14ac:dyDescent="0.25"/>
    <row r="524" ht="18.75" customHeight="1" x14ac:dyDescent="0.25"/>
    <row r="525" ht="18.75" customHeight="1" x14ac:dyDescent="0.25"/>
    <row r="526" ht="18.75" customHeight="1" x14ac:dyDescent="0.25"/>
    <row r="527" ht="18.75" customHeight="1" x14ac:dyDescent="0.25"/>
    <row r="528" ht="18.75" customHeight="1" x14ac:dyDescent="0.25"/>
    <row r="529" ht="18.75" customHeight="1" x14ac:dyDescent="0.25"/>
    <row r="530" ht="18.75" customHeight="1" x14ac:dyDescent="0.25"/>
    <row r="531" ht="18.75" customHeight="1" x14ac:dyDescent="0.25"/>
    <row r="532" ht="18.75" customHeight="1" x14ac:dyDescent="0.25"/>
    <row r="533" ht="18.75" customHeight="1" x14ac:dyDescent="0.25"/>
    <row r="534" ht="18.75" customHeight="1" x14ac:dyDescent="0.25"/>
    <row r="535" ht="18.75" customHeight="1" x14ac:dyDescent="0.25"/>
    <row r="536" ht="18.75" customHeight="1" x14ac:dyDescent="0.25"/>
    <row r="537" ht="18.75" customHeight="1" x14ac:dyDescent="0.25"/>
    <row r="538" ht="18.75" customHeight="1" x14ac:dyDescent="0.25"/>
    <row r="539" ht="18.75" customHeight="1" x14ac:dyDescent="0.25"/>
    <row r="540" ht="18.75" customHeight="1" x14ac:dyDescent="0.25"/>
    <row r="541" ht="18.75" customHeight="1" x14ac:dyDescent="0.25"/>
    <row r="542" ht="18.75" customHeight="1" x14ac:dyDescent="0.25"/>
    <row r="543" ht="18.75" customHeight="1" x14ac:dyDescent="0.25"/>
    <row r="544" ht="18.75" customHeight="1" x14ac:dyDescent="0.25"/>
    <row r="545" ht="18.75" customHeight="1" x14ac:dyDescent="0.25"/>
    <row r="546" ht="18.75" customHeight="1" x14ac:dyDescent="0.25"/>
    <row r="547" ht="18.75" customHeight="1" x14ac:dyDescent="0.25"/>
    <row r="548" ht="18.75" customHeight="1" x14ac:dyDescent="0.25"/>
    <row r="549" ht="18.75" customHeight="1" x14ac:dyDescent="0.25"/>
    <row r="550" ht="18.75" customHeight="1" x14ac:dyDescent="0.25"/>
    <row r="551" ht="18.75" customHeight="1" x14ac:dyDescent="0.25"/>
    <row r="552" ht="18.75" customHeight="1" x14ac:dyDescent="0.25"/>
    <row r="553" ht="18.75" customHeight="1" x14ac:dyDescent="0.25"/>
    <row r="554" ht="18.75" customHeight="1" x14ac:dyDescent="0.25"/>
    <row r="555" ht="18.75" customHeight="1" x14ac:dyDescent="0.25"/>
    <row r="556" ht="18.75" customHeight="1" x14ac:dyDescent="0.25"/>
    <row r="557" ht="18.75" customHeight="1" x14ac:dyDescent="0.25"/>
    <row r="558" ht="18.75" customHeight="1" x14ac:dyDescent="0.25"/>
    <row r="559" ht="18.75" customHeight="1" x14ac:dyDescent="0.25"/>
    <row r="560" ht="18.75" customHeight="1" x14ac:dyDescent="0.25"/>
    <row r="561" ht="18.75" customHeight="1" x14ac:dyDescent="0.25"/>
    <row r="562" ht="18.75" customHeight="1" x14ac:dyDescent="0.25"/>
    <row r="563" ht="18.75" customHeight="1" x14ac:dyDescent="0.25"/>
    <row r="564" ht="18.75" customHeight="1" x14ac:dyDescent="0.25"/>
    <row r="565" ht="18.75" customHeight="1" x14ac:dyDescent="0.25"/>
    <row r="566" ht="18.75" customHeight="1" x14ac:dyDescent="0.25"/>
    <row r="567" ht="18.75" customHeight="1" x14ac:dyDescent="0.25"/>
    <row r="568" ht="18.75" customHeight="1" x14ac:dyDescent="0.25"/>
    <row r="569" ht="18.75" customHeight="1" x14ac:dyDescent="0.25"/>
    <row r="570" ht="18.75" customHeight="1" x14ac:dyDescent="0.25"/>
    <row r="571" ht="18.75" customHeight="1" x14ac:dyDescent="0.25"/>
    <row r="572" ht="18.75" customHeight="1" x14ac:dyDescent="0.25"/>
    <row r="573" ht="18.75" customHeight="1" x14ac:dyDescent="0.25"/>
    <row r="574" ht="18.75" customHeight="1" x14ac:dyDescent="0.25"/>
    <row r="575" ht="18.75" customHeight="1" x14ac:dyDescent="0.25"/>
    <row r="576" ht="18.75" customHeight="1" x14ac:dyDescent="0.25"/>
    <row r="577" ht="18.75" customHeight="1" x14ac:dyDescent="0.25"/>
    <row r="578" ht="18.75" customHeight="1" x14ac:dyDescent="0.25"/>
    <row r="579" ht="18.75" customHeight="1" x14ac:dyDescent="0.25"/>
    <row r="580" ht="18.75" customHeight="1" x14ac:dyDescent="0.25"/>
    <row r="581" ht="18.75" customHeight="1" x14ac:dyDescent="0.25"/>
    <row r="582" ht="18.75" customHeight="1" x14ac:dyDescent="0.25"/>
    <row r="583" ht="18.75" customHeight="1" x14ac:dyDescent="0.25"/>
    <row r="584" ht="18.75" customHeight="1" x14ac:dyDescent="0.25"/>
    <row r="585" ht="18.75" customHeight="1" x14ac:dyDescent="0.25"/>
    <row r="586" ht="18.75" customHeight="1" x14ac:dyDescent="0.25"/>
    <row r="587" ht="18.75" customHeight="1" x14ac:dyDescent="0.25"/>
    <row r="588" ht="18.75" customHeight="1" x14ac:dyDescent="0.25"/>
    <row r="589" ht="18.75" customHeight="1" x14ac:dyDescent="0.25"/>
    <row r="590" ht="18.75" customHeight="1" x14ac:dyDescent="0.25"/>
    <row r="591" ht="18.75" customHeight="1" x14ac:dyDescent="0.25"/>
    <row r="592" ht="18.75" customHeight="1" x14ac:dyDescent="0.25"/>
    <row r="593" ht="18.75" customHeight="1" x14ac:dyDescent="0.25"/>
    <row r="594" ht="18.75" customHeight="1" x14ac:dyDescent="0.25"/>
    <row r="595" ht="18.75" customHeight="1" x14ac:dyDescent="0.25"/>
    <row r="596" ht="18.75" customHeight="1" x14ac:dyDescent="0.25"/>
    <row r="597" ht="18.75" customHeight="1" x14ac:dyDescent="0.25"/>
    <row r="598" ht="18.75" customHeight="1" x14ac:dyDescent="0.25"/>
    <row r="599" ht="18.75" customHeight="1" x14ac:dyDescent="0.25"/>
    <row r="600" ht="18.75" customHeight="1" x14ac:dyDescent="0.25"/>
    <row r="601" ht="18.75" customHeight="1" x14ac:dyDescent="0.25"/>
    <row r="602" ht="18.75" customHeight="1" x14ac:dyDescent="0.25"/>
    <row r="603" ht="18.75" customHeight="1" x14ac:dyDescent="0.25"/>
    <row r="604" ht="18.75" customHeight="1" x14ac:dyDescent="0.25"/>
    <row r="605" ht="18.75" customHeight="1" x14ac:dyDescent="0.25"/>
    <row r="606" ht="18.75" customHeight="1" x14ac:dyDescent="0.25"/>
    <row r="607" ht="18.75" customHeight="1" x14ac:dyDescent="0.25"/>
    <row r="608" ht="18.75" customHeight="1" x14ac:dyDescent="0.25"/>
    <row r="609" ht="18.75" customHeight="1" x14ac:dyDescent="0.25"/>
    <row r="610" ht="18.75" customHeight="1" x14ac:dyDescent="0.25"/>
    <row r="611" ht="18.75" customHeight="1" x14ac:dyDescent="0.25"/>
    <row r="612" ht="18.75" customHeight="1" x14ac:dyDescent="0.25"/>
    <row r="613" ht="18.75" customHeight="1" x14ac:dyDescent="0.25"/>
    <row r="614" ht="18.75" customHeight="1" x14ac:dyDescent="0.25"/>
    <row r="615" ht="18.75" customHeight="1" x14ac:dyDescent="0.25"/>
    <row r="616" ht="18.75" customHeight="1" x14ac:dyDescent="0.25"/>
    <row r="617" ht="18.75" customHeight="1" x14ac:dyDescent="0.25"/>
    <row r="618" ht="18.75" customHeight="1" x14ac:dyDescent="0.25"/>
    <row r="619" ht="18.75" customHeight="1" x14ac:dyDescent="0.25"/>
    <row r="620" ht="18.75" customHeight="1" x14ac:dyDescent="0.25"/>
    <row r="621" ht="18.75" customHeight="1" x14ac:dyDescent="0.25"/>
    <row r="622" ht="18.75" customHeight="1" x14ac:dyDescent="0.25"/>
    <row r="623" ht="18.75" customHeight="1" x14ac:dyDescent="0.25"/>
    <row r="624" ht="18.75" customHeight="1" x14ac:dyDescent="0.25"/>
    <row r="625" ht="18.75" customHeight="1" x14ac:dyDescent="0.25"/>
    <row r="626" ht="18.75" customHeight="1" x14ac:dyDescent="0.25"/>
    <row r="627" ht="18.75" customHeight="1" x14ac:dyDescent="0.25"/>
    <row r="628" ht="18.75" customHeight="1" x14ac:dyDescent="0.25"/>
    <row r="629" ht="18.75" customHeight="1" x14ac:dyDescent="0.25"/>
    <row r="630" ht="18.75" customHeight="1" x14ac:dyDescent="0.25"/>
    <row r="631" ht="18.75" customHeight="1" x14ac:dyDescent="0.25"/>
    <row r="632" ht="18.75" customHeight="1" x14ac:dyDescent="0.25"/>
    <row r="633" ht="18.75" customHeight="1" x14ac:dyDescent="0.25"/>
    <row r="634" ht="18.75" customHeight="1" x14ac:dyDescent="0.25"/>
    <row r="635" ht="18.75" customHeight="1" x14ac:dyDescent="0.25"/>
    <row r="636" ht="18.75" customHeight="1" x14ac:dyDescent="0.25"/>
    <row r="637" ht="18.75" customHeight="1" x14ac:dyDescent="0.25"/>
    <row r="638" ht="18.75" customHeight="1" x14ac:dyDescent="0.25"/>
    <row r="639" ht="18.75" customHeight="1" x14ac:dyDescent="0.25"/>
    <row r="640" ht="18.75" customHeight="1" x14ac:dyDescent="0.25"/>
    <row r="641" ht="18.75" customHeight="1" x14ac:dyDescent="0.25"/>
    <row r="642" ht="18.75" customHeight="1" x14ac:dyDescent="0.25"/>
    <row r="643" ht="18.75" customHeight="1" x14ac:dyDescent="0.25"/>
    <row r="644" ht="18.75" customHeight="1" x14ac:dyDescent="0.25"/>
    <row r="645" ht="18.75" customHeight="1" x14ac:dyDescent="0.25"/>
    <row r="646" ht="18.75" customHeight="1" x14ac:dyDescent="0.25"/>
    <row r="647" ht="18.75" customHeight="1" x14ac:dyDescent="0.25"/>
    <row r="648" ht="18.75" customHeight="1" x14ac:dyDescent="0.25"/>
    <row r="649" ht="18.75" customHeight="1" x14ac:dyDescent="0.25"/>
    <row r="650" ht="18.75" customHeight="1" x14ac:dyDescent="0.25"/>
    <row r="651" ht="18.75" customHeight="1" x14ac:dyDescent="0.25"/>
    <row r="652" ht="18.75" customHeight="1" x14ac:dyDescent="0.25"/>
    <row r="653" ht="18.75" customHeight="1" x14ac:dyDescent="0.25"/>
    <row r="654" ht="18.75" customHeight="1" x14ac:dyDescent="0.25"/>
    <row r="655" ht="18.75" customHeight="1" x14ac:dyDescent="0.25"/>
    <row r="656" ht="18.75" customHeight="1" x14ac:dyDescent="0.25"/>
    <row r="657" ht="18.75" customHeight="1" x14ac:dyDescent="0.25"/>
    <row r="658" ht="18.75" customHeight="1" x14ac:dyDescent="0.25"/>
    <row r="659" ht="18.75" customHeight="1" x14ac:dyDescent="0.25"/>
    <row r="660" ht="18.75" customHeight="1" x14ac:dyDescent="0.25"/>
    <row r="661" ht="18.75" customHeight="1" x14ac:dyDescent="0.25"/>
    <row r="662" ht="18.75" customHeight="1" x14ac:dyDescent="0.25"/>
    <row r="663" ht="18.75" customHeight="1" x14ac:dyDescent="0.25"/>
    <row r="664" ht="18.75" customHeight="1" x14ac:dyDescent="0.25"/>
    <row r="665" ht="18.75" customHeight="1" x14ac:dyDescent="0.25"/>
    <row r="666" ht="18.75" customHeight="1" x14ac:dyDescent="0.25"/>
    <row r="667" ht="18.75" customHeight="1" x14ac:dyDescent="0.25"/>
    <row r="668" ht="18.75" customHeight="1" x14ac:dyDescent="0.25"/>
    <row r="669" ht="18.75" customHeight="1" x14ac:dyDescent="0.25"/>
    <row r="670" ht="18.75" customHeight="1" x14ac:dyDescent="0.25"/>
    <row r="671" ht="18.75" customHeight="1" x14ac:dyDescent="0.25"/>
    <row r="672" ht="18.75" customHeight="1" x14ac:dyDescent="0.25"/>
    <row r="673" ht="18.75" customHeight="1" x14ac:dyDescent="0.25"/>
    <row r="674" ht="18.75" customHeight="1" x14ac:dyDescent="0.25"/>
    <row r="675" ht="18.75" customHeight="1" x14ac:dyDescent="0.25"/>
    <row r="676" ht="18.75" customHeight="1" x14ac:dyDescent="0.25"/>
    <row r="677" ht="18.75" customHeight="1" x14ac:dyDescent="0.25"/>
    <row r="678" ht="18.75" customHeight="1" x14ac:dyDescent="0.25"/>
    <row r="679" ht="18.75" customHeight="1" x14ac:dyDescent="0.25"/>
    <row r="680" ht="18.75" customHeight="1" x14ac:dyDescent="0.25"/>
    <row r="681" ht="18.75" customHeight="1" x14ac:dyDescent="0.25"/>
    <row r="682" ht="18.75" customHeight="1" x14ac:dyDescent="0.25"/>
    <row r="683" ht="18.75" customHeight="1" x14ac:dyDescent="0.25"/>
    <row r="684" ht="18.75" customHeight="1" x14ac:dyDescent="0.25"/>
    <row r="685" ht="18.75" customHeight="1" x14ac:dyDescent="0.25"/>
    <row r="686" ht="18.75" customHeight="1" x14ac:dyDescent="0.25"/>
    <row r="687" ht="18.75" customHeight="1" x14ac:dyDescent="0.25"/>
    <row r="688" ht="18.75" customHeight="1" x14ac:dyDescent="0.25"/>
    <row r="689" ht="18.75" customHeight="1" x14ac:dyDescent="0.25"/>
    <row r="690" ht="18.75" customHeight="1" x14ac:dyDescent="0.25"/>
    <row r="691" ht="18.75" customHeight="1" x14ac:dyDescent="0.25"/>
    <row r="692" ht="18.75" customHeight="1" x14ac:dyDescent="0.25"/>
    <row r="693" ht="18.75" customHeight="1" x14ac:dyDescent="0.25"/>
    <row r="694" ht="18.75" customHeight="1" x14ac:dyDescent="0.25"/>
    <row r="695" ht="18.75" customHeight="1" x14ac:dyDescent="0.25"/>
    <row r="696" ht="18.75" customHeight="1" x14ac:dyDescent="0.25"/>
    <row r="697" ht="18.75" customHeight="1" x14ac:dyDescent="0.25"/>
    <row r="698" ht="18.75" customHeight="1" x14ac:dyDescent="0.25"/>
    <row r="699" ht="18.75" customHeight="1" x14ac:dyDescent="0.25"/>
    <row r="700" ht="18.75" customHeight="1" x14ac:dyDescent="0.25"/>
    <row r="701" ht="18.75" customHeight="1" x14ac:dyDescent="0.25"/>
    <row r="702" ht="18.75" customHeight="1" x14ac:dyDescent="0.25"/>
    <row r="703" ht="18.75" customHeight="1" x14ac:dyDescent="0.25"/>
    <row r="704" ht="18.75" customHeight="1" x14ac:dyDescent="0.25"/>
    <row r="705" ht="18.75" customHeight="1" x14ac:dyDescent="0.25"/>
    <row r="706" ht="18.75" customHeight="1" x14ac:dyDescent="0.25"/>
    <row r="707" ht="18.75" customHeight="1" x14ac:dyDescent="0.25"/>
    <row r="708" ht="18.75" customHeight="1" x14ac:dyDescent="0.25"/>
    <row r="709" ht="18.75" customHeight="1" x14ac:dyDescent="0.25"/>
    <row r="710" ht="18.75" customHeight="1" x14ac:dyDescent="0.25"/>
    <row r="711" ht="18.75" customHeight="1" x14ac:dyDescent="0.25"/>
    <row r="712" ht="18.75" customHeight="1" x14ac:dyDescent="0.25"/>
    <row r="713" ht="18.75" customHeight="1" x14ac:dyDescent="0.25"/>
    <row r="714" ht="18.75" customHeight="1" x14ac:dyDescent="0.25"/>
    <row r="715" ht="18.75" customHeight="1" x14ac:dyDescent="0.25"/>
    <row r="716" ht="18.75" customHeight="1" x14ac:dyDescent="0.25"/>
    <row r="717" ht="18.75" customHeight="1" x14ac:dyDescent="0.25"/>
    <row r="718" ht="18.75" customHeight="1" x14ac:dyDescent="0.25"/>
    <row r="719" ht="18.75" customHeight="1" x14ac:dyDescent="0.25"/>
    <row r="720" ht="18.75" customHeight="1" x14ac:dyDescent="0.25"/>
    <row r="721" ht="18.75" customHeight="1" x14ac:dyDescent="0.25"/>
    <row r="722" ht="18.75" customHeight="1" x14ac:dyDescent="0.25"/>
    <row r="723" ht="18.75" customHeight="1" x14ac:dyDescent="0.25"/>
    <row r="724" ht="18.75" customHeight="1" x14ac:dyDescent="0.25"/>
    <row r="725" ht="18.75" customHeight="1" x14ac:dyDescent="0.25"/>
    <row r="726" ht="18.75" customHeight="1" x14ac:dyDescent="0.25"/>
    <row r="727" ht="18.75" customHeight="1" x14ac:dyDescent="0.25"/>
    <row r="728" ht="18.75" customHeight="1" x14ac:dyDescent="0.25"/>
    <row r="729" ht="18.75" customHeight="1" x14ac:dyDescent="0.25"/>
    <row r="730" ht="18.75" customHeight="1" x14ac:dyDescent="0.25"/>
    <row r="731" ht="18.75" customHeight="1" x14ac:dyDescent="0.25"/>
    <row r="732" ht="18.75" customHeight="1" x14ac:dyDescent="0.25"/>
    <row r="733" ht="18.75" customHeight="1" x14ac:dyDescent="0.25"/>
    <row r="734" ht="18.75" customHeight="1" x14ac:dyDescent="0.25"/>
    <row r="735" ht="18.75" customHeight="1" x14ac:dyDescent="0.25"/>
    <row r="736" ht="18.75" customHeight="1" x14ac:dyDescent="0.25"/>
    <row r="737" ht="18.75" customHeight="1" x14ac:dyDescent="0.25"/>
    <row r="738" ht="18.75" customHeight="1" x14ac:dyDescent="0.25"/>
    <row r="739" ht="18.75" customHeight="1" x14ac:dyDescent="0.25"/>
    <row r="740" ht="18.75" customHeight="1" x14ac:dyDescent="0.25"/>
    <row r="741" ht="18.75" customHeight="1" x14ac:dyDescent="0.25"/>
    <row r="742" ht="18.75" customHeight="1" x14ac:dyDescent="0.25"/>
    <row r="743" ht="18.75" customHeight="1" x14ac:dyDescent="0.25"/>
    <row r="744" ht="18.75" customHeight="1" x14ac:dyDescent="0.25"/>
    <row r="745" ht="18.75" customHeight="1" x14ac:dyDescent="0.25"/>
    <row r="746" ht="18.75" customHeight="1" x14ac:dyDescent="0.25"/>
    <row r="747" ht="18.75" customHeight="1" x14ac:dyDescent="0.25"/>
    <row r="748" ht="18.75" customHeight="1" x14ac:dyDescent="0.25"/>
    <row r="749" ht="18.75" customHeight="1" x14ac:dyDescent="0.25"/>
    <row r="750" ht="18.75" customHeight="1" x14ac:dyDescent="0.25"/>
    <row r="751" ht="18.75" customHeight="1" x14ac:dyDescent="0.25"/>
    <row r="752" ht="18.75" customHeight="1" x14ac:dyDescent="0.25"/>
    <row r="753" ht="18.75" customHeight="1" x14ac:dyDescent="0.25"/>
    <row r="754" ht="18.75" customHeight="1" x14ac:dyDescent="0.25"/>
    <row r="755" ht="18.75" customHeight="1" x14ac:dyDescent="0.25"/>
    <row r="756" ht="18.75" customHeight="1" x14ac:dyDescent="0.25"/>
    <row r="757" ht="18.75" customHeight="1" x14ac:dyDescent="0.25"/>
    <row r="758" ht="18.75" customHeight="1" x14ac:dyDescent="0.25"/>
    <row r="759" ht="18.75" customHeight="1" x14ac:dyDescent="0.25"/>
    <row r="760" ht="18.75" customHeight="1" x14ac:dyDescent="0.25"/>
    <row r="761" ht="18.75" customHeight="1" x14ac:dyDescent="0.25"/>
    <row r="762" ht="18.75" customHeight="1" x14ac:dyDescent="0.25"/>
    <row r="763" ht="18.75" customHeight="1" x14ac:dyDescent="0.25"/>
    <row r="764" ht="18.75" customHeight="1" x14ac:dyDescent="0.25"/>
    <row r="765" ht="18.75" customHeight="1" x14ac:dyDescent="0.25"/>
    <row r="766" ht="18.75" customHeight="1" x14ac:dyDescent="0.25"/>
    <row r="767" ht="18.75" customHeight="1" x14ac:dyDescent="0.25"/>
    <row r="768" ht="18.75" customHeight="1" x14ac:dyDescent="0.25"/>
    <row r="769" ht="18.75" customHeight="1" x14ac:dyDescent="0.25"/>
    <row r="770" ht="18.75" customHeight="1" x14ac:dyDescent="0.25"/>
    <row r="771" ht="18.75" customHeight="1" x14ac:dyDescent="0.25"/>
    <row r="772" ht="18.75" customHeight="1" x14ac:dyDescent="0.25"/>
    <row r="773" ht="18.75" customHeight="1" x14ac:dyDescent="0.25"/>
    <row r="774" ht="18.75" customHeight="1" x14ac:dyDescent="0.25"/>
    <row r="775" ht="18.75" customHeight="1" x14ac:dyDescent="0.25"/>
    <row r="776" ht="18.75" customHeight="1" x14ac:dyDescent="0.25"/>
    <row r="777" ht="18.75" customHeight="1" x14ac:dyDescent="0.25"/>
    <row r="778" ht="18.75" customHeight="1" x14ac:dyDescent="0.25"/>
    <row r="779" ht="18.75" customHeight="1" x14ac:dyDescent="0.25"/>
    <row r="780" ht="18.75" customHeight="1" x14ac:dyDescent="0.25"/>
    <row r="781" ht="18.75" customHeight="1" x14ac:dyDescent="0.25"/>
    <row r="782" ht="18.75" customHeight="1" x14ac:dyDescent="0.25"/>
    <row r="783" ht="18.75" customHeight="1" x14ac:dyDescent="0.25"/>
    <row r="784" ht="18.75" customHeight="1" x14ac:dyDescent="0.25"/>
    <row r="785" ht="18.75" customHeight="1" x14ac:dyDescent="0.25"/>
    <row r="786" ht="18.75" customHeight="1" x14ac:dyDescent="0.25"/>
    <row r="787" ht="18.75" customHeight="1" x14ac:dyDescent="0.25"/>
    <row r="788" ht="18.75" customHeight="1" x14ac:dyDescent="0.25"/>
    <row r="789" ht="18.75" customHeight="1" x14ac:dyDescent="0.25"/>
    <row r="790" ht="18.75" customHeight="1" x14ac:dyDescent="0.25"/>
    <row r="791" ht="18.75" customHeight="1" x14ac:dyDescent="0.25"/>
    <row r="792" ht="18.75" customHeight="1" x14ac:dyDescent="0.25"/>
    <row r="793" ht="18.75" customHeight="1" x14ac:dyDescent="0.25"/>
    <row r="794" ht="18.75" customHeight="1" x14ac:dyDescent="0.25"/>
    <row r="795" ht="18.75" customHeight="1" x14ac:dyDescent="0.25"/>
    <row r="796" ht="18.75" customHeight="1" x14ac:dyDescent="0.25"/>
    <row r="797" ht="18.75" customHeight="1" x14ac:dyDescent="0.25"/>
    <row r="798" ht="18.75" customHeight="1" x14ac:dyDescent="0.25"/>
    <row r="799" ht="18.75" customHeight="1" x14ac:dyDescent="0.25"/>
    <row r="800" ht="18.75" customHeight="1" x14ac:dyDescent="0.25"/>
    <row r="801" ht="18.75" customHeight="1" x14ac:dyDescent="0.25"/>
    <row r="802" ht="18.75" customHeight="1" x14ac:dyDescent="0.25"/>
    <row r="803" ht="18.75" customHeight="1" x14ac:dyDescent="0.25"/>
    <row r="804" ht="18.75" customHeight="1" x14ac:dyDescent="0.25"/>
    <row r="805" ht="18.75" customHeight="1" x14ac:dyDescent="0.25"/>
    <row r="806" ht="18.75" customHeight="1" x14ac:dyDescent="0.25"/>
    <row r="807" ht="18.75" customHeight="1" x14ac:dyDescent="0.25"/>
    <row r="808" ht="18.75" customHeight="1" x14ac:dyDescent="0.25"/>
    <row r="809" ht="18.75" customHeight="1" x14ac:dyDescent="0.25"/>
    <row r="810" ht="18.75" customHeight="1" x14ac:dyDescent="0.25"/>
    <row r="811" ht="18.75" customHeight="1" x14ac:dyDescent="0.25"/>
    <row r="812" ht="18.75" customHeight="1" x14ac:dyDescent="0.25"/>
    <row r="813" ht="18.75" customHeight="1" x14ac:dyDescent="0.25"/>
    <row r="814" ht="18.75" customHeight="1" x14ac:dyDescent="0.25"/>
    <row r="815" ht="18.75" customHeight="1" x14ac:dyDescent="0.25"/>
    <row r="816" ht="18.75" customHeight="1" x14ac:dyDescent="0.25"/>
    <row r="817" ht="18.75" customHeight="1" x14ac:dyDescent="0.25"/>
    <row r="818" ht="18.75" customHeight="1" x14ac:dyDescent="0.25"/>
    <row r="819" ht="18.75" customHeight="1" x14ac:dyDescent="0.25"/>
    <row r="820" ht="18.75" customHeight="1" x14ac:dyDescent="0.25"/>
    <row r="821" ht="18.75" customHeight="1" x14ac:dyDescent="0.25"/>
    <row r="822" ht="18.75" customHeight="1" x14ac:dyDescent="0.25"/>
    <row r="823" ht="18.75" customHeight="1" x14ac:dyDescent="0.25"/>
    <row r="824" ht="18.75" customHeight="1" x14ac:dyDescent="0.25"/>
    <row r="825" ht="18.75" customHeight="1" x14ac:dyDescent="0.25"/>
    <row r="826" ht="18.75" customHeight="1" x14ac:dyDescent="0.25"/>
    <row r="827" ht="18.75" customHeight="1" x14ac:dyDescent="0.25"/>
    <row r="828" ht="18.75" customHeight="1" x14ac:dyDescent="0.25"/>
    <row r="829" ht="18.75" customHeight="1" x14ac:dyDescent="0.25"/>
    <row r="830" ht="18.75" customHeight="1" x14ac:dyDescent="0.25"/>
    <row r="831" ht="18.75" customHeight="1" x14ac:dyDescent="0.25"/>
    <row r="832" ht="18.75" customHeight="1" x14ac:dyDescent="0.25"/>
    <row r="833" ht="18.75" customHeight="1" x14ac:dyDescent="0.25"/>
    <row r="834" ht="18.75" customHeight="1" x14ac:dyDescent="0.25"/>
    <row r="835" ht="18.75" customHeight="1" x14ac:dyDescent="0.25"/>
    <row r="836" ht="18.75" customHeight="1" x14ac:dyDescent="0.25"/>
    <row r="837" ht="18.75" customHeight="1" x14ac:dyDescent="0.25"/>
    <row r="838" ht="18.75" customHeight="1" x14ac:dyDescent="0.25"/>
    <row r="839" ht="18.75" customHeight="1" x14ac:dyDescent="0.25"/>
    <row r="840" ht="18.75" customHeight="1" x14ac:dyDescent="0.25"/>
    <row r="841" ht="18.75" customHeight="1" x14ac:dyDescent="0.25"/>
    <row r="842" ht="18.75" customHeight="1" x14ac:dyDescent="0.25"/>
    <row r="843" ht="18.75" customHeight="1" x14ac:dyDescent="0.25"/>
    <row r="844" ht="18.75" customHeight="1" x14ac:dyDescent="0.25"/>
    <row r="845" ht="18.75" customHeight="1" x14ac:dyDescent="0.25"/>
    <row r="846" ht="18.75" customHeight="1" x14ac:dyDescent="0.25"/>
    <row r="847" ht="18.75" customHeight="1" x14ac:dyDescent="0.25"/>
    <row r="848" ht="18.75" customHeight="1" x14ac:dyDescent="0.25"/>
    <row r="849" ht="18.75" customHeight="1" x14ac:dyDescent="0.25"/>
    <row r="850" ht="18.75" customHeight="1" x14ac:dyDescent="0.25"/>
    <row r="851" ht="18.75" customHeight="1" x14ac:dyDescent="0.25"/>
    <row r="852" ht="18.75" customHeight="1" x14ac:dyDescent="0.25"/>
    <row r="853" ht="18.75" customHeight="1" x14ac:dyDescent="0.25"/>
    <row r="854" ht="18.75" customHeight="1" x14ac:dyDescent="0.25"/>
    <row r="855" ht="18.75" customHeight="1" x14ac:dyDescent="0.25"/>
    <row r="856" ht="18.75" customHeight="1" x14ac:dyDescent="0.25"/>
    <row r="857" ht="18.75" customHeight="1" x14ac:dyDescent="0.25"/>
    <row r="858" ht="18.75" customHeight="1" x14ac:dyDescent="0.25"/>
    <row r="859" ht="18.75" customHeight="1" x14ac:dyDescent="0.25"/>
    <row r="860" ht="18.75" customHeight="1" x14ac:dyDescent="0.25"/>
    <row r="861" ht="18.75" customHeight="1" x14ac:dyDescent="0.25"/>
    <row r="862" ht="18.75" customHeight="1" x14ac:dyDescent="0.25"/>
    <row r="863" ht="18.75" customHeight="1" x14ac:dyDescent="0.25"/>
    <row r="864" ht="18.75" customHeight="1" x14ac:dyDescent="0.25"/>
    <row r="865" ht="18.75" customHeight="1" x14ac:dyDescent="0.25"/>
    <row r="866" ht="18.75" customHeight="1" x14ac:dyDescent="0.25"/>
    <row r="867" ht="18.75" customHeight="1" x14ac:dyDescent="0.25"/>
    <row r="868" ht="18.75" customHeight="1" x14ac:dyDescent="0.25"/>
    <row r="869" ht="18.75" customHeight="1" x14ac:dyDescent="0.25"/>
    <row r="870" ht="18.75" customHeight="1" x14ac:dyDescent="0.25"/>
    <row r="871" ht="18.75" customHeight="1" x14ac:dyDescent="0.25"/>
    <row r="872" ht="18.75" customHeight="1" x14ac:dyDescent="0.25"/>
    <row r="873" ht="18.75" customHeight="1" x14ac:dyDescent="0.25"/>
    <row r="874" ht="18.75" customHeight="1" x14ac:dyDescent="0.25"/>
    <row r="875" ht="18.75" customHeight="1" x14ac:dyDescent="0.25"/>
    <row r="876" ht="18.75" customHeight="1" x14ac:dyDescent="0.25"/>
    <row r="877" ht="18.75" customHeight="1" x14ac:dyDescent="0.25"/>
    <row r="878" ht="18.75" customHeight="1" x14ac:dyDescent="0.25"/>
    <row r="879" ht="18.75" customHeight="1" x14ac:dyDescent="0.25"/>
    <row r="880" ht="18.75" customHeight="1" x14ac:dyDescent="0.25"/>
    <row r="881" ht="18.75" customHeight="1" x14ac:dyDescent="0.25"/>
    <row r="882" ht="18.75" customHeight="1" x14ac:dyDescent="0.25"/>
    <row r="883" ht="18.75" customHeight="1" x14ac:dyDescent="0.25"/>
    <row r="884" ht="18.75" customHeight="1" x14ac:dyDescent="0.25"/>
    <row r="885" ht="18.75" customHeight="1" x14ac:dyDescent="0.25"/>
    <row r="886" ht="18.75" customHeight="1" x14ac:dyDescent="0.25"/>
    <row r="887" ht="18.75" customHeight="1" x14ac:dyDescent="0.25"/>
    <row r="888" ht="18.75" customHeight="1" x14ac:dyDescent="0.25"/>
    <row r="889" ht="18.75" customHeight="1" x14ac:dyDescent="0.25"/>
    <row r="890" ht="18.75" customHeight="1" x14ac:dyDescent="0.25"/>
    <row r="891" ht="18.75" customHeight="1" x14ac:dyDescent="0.25"/>
    <row r="892" ht="18.75" customHeight="1" x14ac:dyDescent="0.25"/>
    <row r="893" ht="18.75" customHeight="1" x14ac:dyDescent="0.25"/>
    <row r="894" ht="18.75" customHeight="1" x14ac:dyDescent="0.25"/>
    <row r="895" ht="18.75" customHeight="1" x14ac:dyDescent="0.25"/>
    <row r="896" ht="18.75" customHeight="1" x14ac:dyDescent="0.25"/>
    <row r="897" ht="18.75" customHeight="1" x14ac:dyDescent="0.25"/>
    <row r="898" ht="18.75" customHeight="1" x14ac:dyDescent="0.25"/>
    <row r="899" ht="18.75" customHeight="1" x14ac:dyDescent="0.25"/>
    <row r="900" ht="18.75" customHeight="1" x14ac:dyDescent="0.25"/>
    <row r="901" ht="18.75" customHeight="1" x14ac:dyDescent="0.25"/>
    <row r="902" ht="18.75" customHeight="1" x14ac:dyDescent="0.25"/>
    <row r="903" ht="18.75" customHeight="1" x14ac:dyDescent="0.25"/>
    <row r="904" ht="18.75" customHeight="1" x14ac:dyDescent="0.25"/>
    <row r="905" ht="18.75" customHeight="1" x14ac:dyDescent="0.25"/>
    <row r="906" ht="18.75" customHeight="1" x14ac:dyDescent="0.25"/>
    <row r="907" ht="18.75" customHeight="1" x14ac:dyDescent="0.25"/>
    <row r="908" ht="18.75" customHeight="1" x14ac:dyDescent="0.25"/>
    <row r="909" ht="18.75" customHeight="1" x14ac:dyDescent="0.25"/>
    <row r="910" ht="18.75" customHeight="1" x14ac:dyDescent="0.25"/>
    <row r="911" ht="18.75" customHeight="1" x14ac:dyDescent="0.25"/>
    <row r="912" ht="18.75" customHeight="1" x14ac:dyDescent="0.25"/>
    <row r="913" ht="18.75" customHeight="1" x14ac:dyDescent="0.25"/>
    <row r="914" ht="18.75" customHeight="1" x14ac:dyDescent="0.25"/>
    <row r="915" ht="18.75" customHeight="1" x14ac:dyDescent="0.25"/>
    <row r="916" ht="18.75" customHeight="1" x14ac:dyDescent="0.25"/>
    <row r="917" ht="18.75" customHeight="1" x14ac:dyDescent="0.25"/>
    <row r="918" ht="18.75" customHeight="1" x14ac:dyDescent="0.25"/>
    <row r="919" ht="18.75" customHeight="1" x14ac:dyDescent="0.25"/>
    <row r="920" ht="18.75" customHeight="1" x14ac:dyDescent="0.25"/>
    <row r="921" ht="18.75" customHeight="1" x14ac:dyDescent="0.25"/>
    <row r="922" ht="18.75" customHeight="1" x14ac:dyDescent="0.25"/>
    <row r="923" ht="18.75" customHeight="1" x14ac:dyDescent="0.25"/>
    <row r="924" ht="18.75" customHeight="1" x14ac:dyDescent="0.25"/>
    <row r="925" ht="18.75" customHeight="1" x14ac:dyDescent="0.25"/>
    <row r="926" ht="18.75" customHeight="1" x14ac:dyDescent="0.25"/>
    <row r="927" ht="18.75" customHeight="1" x14ac:dyDescent="0.25"/>
    <row r="928" ht="18.75" customHeight="1" x14ac:dyDescent="0.25"/>
    <row r="929" ht="18.75" customHeight="1" x14ac:dyDescent="0.25"/>
    <row r="930" ht="18.75" customHeight="1" x14ac:dyDescent="0.25"/>
    <row r="931" ht="18.75" customHeight="1" x14ac:dyDescent="0.25"/>
    <row r="932" ht="18.75" customHeight="1" x14ac:dyDescent="0.25"/>
    <row r="933" ht="18.75" customHeight="1" x14ac:dyDescent="0.25"/>
    <row r="934" ht="18.75" customHeight="1" x14ac:dyDescent="0.25"/>
    <row r="935" ht="18.75" customHeight="1" x14ac:dyDescent="0.25"/>
    <row r="936" ht="18.75" customHeight="1" x14ac:dyDescent="0.25"/>
    <row r="937" ht="18.75" customHeight="1" x14ac:dyDescent="0.25"/>
    <row r="938" ht="18.75" customHeight="1" x14ac:dyDescent="0.25"/>
    <row r="939" ht="18.75" customHeight="1" x14ac:dyDescent="0.25"/>
    <row r="940" ht="18.75" customHeight="1" x14ac:dyDescent="0.25"/>
    <row r="941" ht="18.75" customHeight="1" x14ac:dyDescent="0.25"/>
    <row r="942" ht="18.75" customHeight="1" x14ac:dyDescent="0.25"/>
    <row r="943" ht="18.75" customHeight="1" x14ac:dyDescent="0.25"/>
    <row r="944" ht="18.75" customHeight="1" x14ac:dyDescent="0.25"/>
    <row r="945" ht="18.75" customHeight="1" x14ac:dyDescent="0.25"/>
    <row r="946" ht="18.75" customHeight="1" x14ac:dyDescent="0.25"/>
    <row r="947" ht="18.75" customHeight="1" x14ac:dyDescent="0.25"/>
    <row r="948" ht="18.75" customHeight="1" x14ac:dyDescent="0.25"/>
    <row r="949" ht="18.75" customHeight="1" x14ac:dyDescent="0.25"/>
    <row r="950" ht="18.75" customHeight="1" x14ac:dyDescent="0.25"/>
    <row r="951" ht="18.75" customHeight="1" x14ac:dyDescent="0.25"/>
    <row r="952" ht="18.75" customHeight="1" x14ac:dyDescent="0.25"/>
    <row r="953" ht="18.75" customHeight="1" x14ac:dyDescent="0.25"/>
    <row r="954" ht="18.75" customHeight="1" x14ac:dyDescent="0.25"/>
    <row r="955" ht="18.75" customHeight="1" x14ac:dyDescent="0.25"/>
    <row r="956" ht="18.75" customHeight="1" x14ac:dyDescent="0.25"/>
    <row r="957" ht="18.75" customHeight="1" x14ac:dyDescent="0.25"/>
    <row r="958" ht="18.75" customHeight="1" x14ac:dyDescent="0.25"/>
    <row r="959" ht="18.75" customHeight="1" x14ac:dyDescent="0.25"/>
    <row r="960" ht="18.75" customHeight="1" x14ac:dyDescent="0.25"/>
    <row r="961" ht="18.75" customHeight="1" x14ac:dyDescent="0.25"/>
    <row r="962" ht="18.75" customHeight="1" x14ac:dyDescent="0.25"/>
    <row r="963" ht="18.75" customHeight="1" x14ac:dyDescent="0.25"/>
    <row r="964" ht="18.75" customHeight="1" x14ac:dyDescent="0.25"/>
    <row r="965" ht="18.75" customHeight="1" x14ac:dyDescent="0.25"/>
    <row r="966" ht="18.75" customHeight="1" x14ac:dyDescent="0.25"/>
    <row r="967" ht="18.75" customHeight="1" x14ac:dyDescent="0.25"/>
    <row r="968" ht="18.75" customHeight="1" x14ac:dyDescent="0.25"/>
    <row r="969" ht="18.75" customHeight="1" x14ac:dyDescent="0.25"/>
    <row r="970" ht="18.75" customHeight="1" x14ac:dyDescent="0.25"/>
    <row r="971" ht="18.75" customHeight="1" x14ac:dyDescent="0.25"/>
    <row r="972" ht="18.75" customHeight="1" x14ac:dyDescent="0.25"/>
    <row r="973" ht="18.75" customHeight="1" x14ac:dyDescent="0.25"/>
    <row r="974" ht="18.75" customHeight="1" x14ac:dyDescent="0.25"/>
    <row r="975" ht="18.75" customHeight="1" x14ac:dyDescent="0.25"/>
    <row r="976" ht="18.75" customHeight="1" x14ac:dyDescent="0.25"/>
    <row r="977" ht="18.75" customHeight="1" x14ac:dyDescent="0.25"/>
    <row r="978" ht="18.75" customHeight="1" x14ac:dyDescent="0.25"/>
    <row r="979" ht="18.75" customHeight="1" x14ac:dyDescent="0.25"/>
    <row r="980" ht="18.75" customHeight="1" x14ac:dyDescent="0.25"/>
    <row r="981" ht="18.75" customHeight="1" x14ac:dyDescent="0.25"/>
    <row r="982" ht="18.75" customHeight="1" x14ac:dyDescent="0.25"/>
    <row r="983" ht="18.75" customHeight="1" x14ac:dyDescent="0.25"/>
    <row r="984" ht="18.75" customHeight="1" x14ac:dyDescent="0.25"/>
    <row r="985" ht="18.75" customHeight="1" x14ac:dyDescent="0.25"/>
    <row r="986" ht="18.75" customHeight="1" x14ac:dyDescent="0.25"/>
    <row r="987" ht="18.75" customHeight="1" x14ac:dyDescent="0.25"/>
    <row r="988" ht="18.75" customHeight="1" x14ac:dyDescent="0.25"/>
    <row r="989" ht="18.75" customHeight="1" x14ac:dyDescent="0.25"/>
    <row r="990" ht="18.75" customHeight="1" x14ac:dyDescent="0.25"/>
    <row r="991" ht="18.75" customHeight="1" x14ac:dyDescent="0.25"/>
    <row r="992" ht="18.75" customHeight="1" x14ac:dyDescent="0.25"/>
    <row r="993" ht="18.75" customHeight="1" x14ac:dyDescent="0.25"/>
    <row r="994" ht="18.75" customHeight="1" x14ac:dyDescent="0.25"/>
    <row r="995" ht="18.75" customHeight="1" x14ac:dyDescent="0.25"/>
    <row r="996" ht="18.75" customHeight="1" x14ac:dyDescent="0.25"/>
    <row r="997" ht="18.75" customHeight="1" x14ac:dyDescent="0.25"/>
    <row r="998" ht="18.75" customHeight="1" x14ac:dyDescent="0.25"/>
    <row r="999" ht="18.75" customHeight="1" x14ac:dyDescent="0.25"/>
    <row r="1000" ht="18.75" customHeight="1" x14ac:dyDescent="0.25"/>
    <row r="1001" ht="18.75" customHeight="1" x14ac:dyDescent="0.25"/>
  </sheetData>
  <autoFilter ref="A2:G2" xr:uid="{00000000-0009-0000-0000-000002000000}"/>
  <mergeCells count="1">
    <mergeCell ref="A1:G1"/>
  </mergeCells>
  <phoneticPr fontId="9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テーブル一覧</vt:lpstr>
      <vt:lpstr>テーブル定義_一覧</vt:lpstr>
      <vt:lpstr>型とバイト数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2026-07-18T17:49:10Z</dcterms:modified>
</cp:coreProperties>
</file>